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INGENIO\1. PLANEACIÓN FINANCIERA\0. PLANEACIÓN FINANCIERA\Cuentas x Cobrar\"/>
    </mc:Choice>
  </mc:AlternateContent>
  <xr:revisionPtr revIDLastSave="0" documentId="13_ncr:1_{AC2812B1-1DD1-40E5-B685-F8B630E52A06}" xr6:coauthVersionLast="47" xr6:coauthVersionMax="47" xr10:uidLastSave="{00000000-0000-0000-0000-000000000000}"/>
  <bookViews>
    <workbookView xWindow="14295" yWindow="0" windowWidth="14610" windowHeight="15585" firstSheet="3" activeTab="5" xr2:uid="{95545F85-1F53-4F99-8DE7-1F01CAB2B16A}"/>
  </bookViews>
  <sheets>
    <sheet name="TD" sheetId="2" state="hidden" r:id="rId1"/>
    <sheet name="TD " sheetId="4" r:id="rId2"/>
    <sheet name="COMISIONES ENERO-MARZO 2025" sheetId="1" state="hidden" r:id="rId3"/>
    <sheet name="COMISIONES ENERO-MARZO 2025 (2)" sheetId="3" r:id="rId4"/>
    <sheet name="COMISIONES" sheetId="7" state="hidden" r:id="rId5"/>
    <sheet name="4 x 1000" sheetId="5" r:id="rId6"/>
    <sheet name="datos" sheetId="8" r:id="rId7"/>
  </sheets>
  <definedNames>
    <definedName name="_xlnm._FilterDatabase" localSheetId="5" hidden="1">'4 x 1000'!$A$1:$P$385</definedName>
    <definedName name="_xlnm._FilterDatabase" localSheetId="4" hidden="1">COMISIONES!$A$1:$X$248</definedName>
    <definedName name="_xlnm._FilterDatabase" localSheetId="3" hidden="1">'COMISIONES ENERO-MARZO 2025 (2)'!$A$1:$Q$569</definedName>
  </definedNames>
  <calcPr calcId="191029"/>
  <pivotCaches>
    <pivotCache cacheId="50" r:id="rId8"/>
    <pivotCache cacheId="5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9" i="5" l="1"/>
  <c r="F568" i="5"/>
  <c r="P635" i="3"/>
  <c r="O635" i="3"/>
  <c r="O646" i="3"/>
  <c r="P646" i="3" s="1"/>
  <c r="O645" i="3"/>
  <c r="P645" i="3" s="1"/>
  <c r="O644" i="3"/>
  <c r="P644" i="3" s="1"/>
  <c r="O649" i="3"/>
  <c r="P649" i="3" s="1"/>
  <c r="O648" i="3"/>
  <c r="P648" i="3" s="1"/>
  <c r="O647" i="3"/>
  <c r="P647" i="3" s="1"/>
  <c r="P566" i="5"/>
  <c r="O566" i="5"/>
  <c r="Q566" i="5" s="1"/>
  <c r="P565" i="5"/>
  <c r="O565" i="5"/>
  <c r="Q565" i="5" s="1"/>
  <c r="P564" i="5"/>
  <c r="O564" i="5"/>
  <c r="Q564" i="5" s="1"/>
  <c r="Q563" i="5"/>
  <c r="P563" i="5"/>
  <c r="O563" i="5"/>
  <c r="P562" i="5"/>
  <c r="O562" i="5"/>
  <c r="Q562" i="5" s="1"/>
  <c r="Q561" i="5"/>
  <c r="P561" i="5"/>
  <c r="O561" i="5"/>
  <c r="P560" i="5"/>
  <c r="O560" i="5"/>
  <c r="Q560" i="5" s="1"/>
  <c r="P559" i="5"/>
  <c r="O559" i="5"/>
  <c r="Q559" i="5" s="1"/>
  <c r="P558" i="5"/>
  <c r="O558" i="5"/>
  <c r="Q558" i="5" s="1"/>
  <c r="P557" i="5"/>
  <c r="O557" i="5"/>
  <c r="Q557" i="5" s="1"/>
  <c r="Q556" i="5"/>
  <c r="P556" i="5"/>
  <c r="O556" i="5"/>
  <c r="P555" i="5"/>
  <c r="O555" i="5"/>
  <c r="Q555" i="5" s="1"/>
  <c r="P554" i="5"/>
  <c r="O554" i="5"/>
  <c r="Q554" i="5" s="1"/>
  <c r="Q553" i="5"/>
  <c r="P553" i="5"/>
  <c r="O553" i="5"/>
  <c r="P552" i="5"/>
  <c r="O552" i="5"/>
  <c r="Q552" i="5" s="1"/>
  <c r="P551" i="5"/>
  <c r="O551" i="5"/>
  <c r="Q551" i="5" s="1"/>
  <c r="P550" i="5"/>
  <c r="O550" i="5"/>
  <c r="Q550" i="5" s="1"/>
  <c r="P549" i="5"/>
  <c r="O549" i="5"/>
  <c r="Q549" i="5" s="1"/>
  <c r="P548" i="5"/>
  <c r="O548" i="5"/>
  <c r="Q548" i="5" s="1"/>
  <c r="P547" i="5"/>
  <c r="O547" i="5"/>
  <c r="Q547" i="5" s="1"/>
  <c r="P546" i="5"/>
  <c r="O546" i="5"/>
  <c r="Q546" i="5" s="1"/>
  <c r="O534" i="5"/>
  <c r="Q534" i="5" s="1"/>
  <c r="P534" i="5"/>
  <c r="O543" i="5"/>
  <c r="Q543" i="5" s="1"/>
  <c r="P543" i="5"/>
  <c r="P540" i="5"/>
  <c r="O540" i="5"/>
  <c r="Q540" i="5" s="1"/>
  <c r="P526" i="5"/>
  <c r="O526" i="5"/>
  <c r="Q526" i="5" s="1"/>
  <c r="P533" i="5"/>
  <c r="O533" i="5"/>
  <c r="Q533" i="5" s="1"/>
  <c r="P536" i="5"/>
  <c r="O536" i="5"/>
  <c r="Q536" i="5" s="1"/>
  <c r="P523" i="5"/>
  <c r="O523" i="5"/>
  <c r="Q523" i="5" s="1"/>
  <c r="P544" i="5"/>
  <c r="O544" i="5"/>
  <c r="Q544" i="5" s="1"/>
  <c r="P528" i="5"/>
  <c r="O528" i="5"/>
  <c r="Q528" i="5" s="1"/>
  <c r="P525" i="5"/>
  <c r="O525" i="5"/>
  <c r="Q525" i="5" s="1"/>
  <c r="P531" i="5"/>
  <c r="O531" i="5"/>
  <c r="Q531" i="5" s="1"/>
  <c r="P524" i="5"/>
  <c r="O524" i="5"/>
  <c r="Q524" i="5" s="1"/>
  <c r="P529" i="5"/>
  <c r="O529" i="5"/>
  <c r="Q529" i="5" s="1"/>
  <c r="P537" i="5"/>
  <c r="O537" i="5"/>
  <c r="Q537" i="5" s="1"/>
  <c r="P538" i="5"/>
  <c r="O538" i="5"/>
  <c r="Q538" i="5" s="1"/>
  <c r="P542" i="5"/>
  <c r="O542" i="5"/>
  <c r="Q542" i="5" s="1"/>
  <c r="P535" i="5"/>
  <c r="O535" i="5"/>
  <c r="Q535" i="5" s="1"/>
  <c r="P532" i="5"/>
  <c r="O532" i="5"/>
  <c r="Q532" i="5" s="1"/>
  <c r="P541" i="5"/>
  <c r="O541" i="5"/>
  <c r="Q541" i="5" s="1"/>
  <c r="P539" i="5"/>
  <c r="O539" i="5"/>
  <c r="Q539" i="5" s="1"/>
  <c r="P530" i="5"/>
  <c r="O530" i="5"/>
  <c r="Q530" i="5" s="1"/>
  <c r="O620" i="3"/>
  <c r="P620" i="3" s="1"/>
  <c r="O626" i="3"/>
  <c r="P626" i="3" s="1"/>
  <c r="O621" i="3"/>
  <c r="P621" i="3" s="1"/>
  <c r="O622" i="3"/>
  <c r="P622" i="3" s="1"/>
  <c r="O650" i="3"/>
  <c r="P650" i="3" s="1"/>
  <c r="O651" i="3"/>
  <c r="P651" i="3" s="1"/>
  <c r="O652" i="3"/>
  <c r="P652" i="3" s="1"/>
  <c r="O653" i="3"/>
  <c r="P653" i="3" s="1"/>
  <c r="O643" i="3"/>
  <c r="P643" i="3" s="1"/>
  <c r="O623" i="3"/>
  <c r="P623" i="3" s="1"/>
  <c r="O616" i="3"/>
  <c r="P616" i="3" s="1"/>
  <c r="O617" i="3"/>
  <c r="P617" i="3" s="1"/>
  <c r="O615" i="3"/>
  <c r="P615" i="3" s="1"/>
  <c r="O633" i="3"/>
  <c r="P633" i="3" s="1"/>
  <c r="O637" i="3"/>
  <c r="P637" i="3" s="1"/>
  <c r="O631" i="3"/>
  <c r="P631" i="3" s="1"/>
  <c r="O618" i="3"/>
  <c r="P618" i="3" s="1"/>
  <c r="O629" i="3"/>
  <c r="P629" i="3" s="1"/>
  <c r="O636" i="3"/>
  <c r="P636" i="3" s="1"/>
  <c r="O627" i="3"/>
  <c r="P627" i="3" s="1"/>
  <c r="O630" i="3"/>
  <c r="P630" i="3" s="1"/>
  <c r="O632" i="3"/>
  <c r="P632" i="3" s="1"/>
  <c r="O614" i="3"/>
  <c r="P614" i="3" s="1"/>
  <c r="O625" i="3"/>
  <c r="P625" i="3" s="1"/>
  <c r="O624" i="3"/>
  <c r="P624" i="3" s="1"/>
  <c r="O657" i="3"/>
  <c r="P657" i="3" s="1"/>
  <c r="O638" i="3"/>
  <c r="P638" i="3" s="1"/>
  <c r="O628" i="3"/>
  <c r="P628" i="3" s="1"/>
  <c r="O642" i="3"/>
  <c r="P642" i="3" s="1"/>
  <c r="O654" i="3"/>
  <c r="P654" i="3" s="1"/>
  <c r="O639" i="3"/>
  <c r="P639" i="3" s="1"/>
  <c r="O641" i="3"/>
  <c r="P641" i="3" s="1"/>
  <c r="O634" i="3"/>
  <c r="P634" i="3" s="1"/>
  <c r="O655" i="3"/>
  <c r="P655" i="3" s="1"/>
  <c r="O640" i="3"/>
  <c r="P640" i="3" s="1"/>
  <c r="O656" i="3"/>
  <c r="P656" i="3" s="1"/>
  <c r="O619" i="3"/>
  <c r="P619" i="3" s="1"/>
  <c r="O572" i="3"/>
  <c r="P572" i="3" s="1"/>
  <c r="O573" i="3"/>
  <c r="P573" i="3" s="1"/>
  <c r="O574" i="3"/>
  <c r="P574" i="3" s="1"/>
  <c r="O575" i="3"/>
  <c r="P575" i="3" s="1"/>
  <c r="O576" i="3"/>
  <c r="P576" i="3" s="1"/>
  <c r="O577" i="3"/>
  <c r="P577" i="3" s="1"/>
  <c r="O578" i="3"/>
  <c r="P578" i="3" s="1"/>
  <c r="O579" i="3"/>
  <c r="P579" i="3" s="1"/>
  <c r="O580" i="3"/>
  <c r="P580" i="3" s="1"/>
  <c r="O581" i="3"/>
  <c r="P581" i="3" s="1"/>
  <c r="O582" i="3"/>
  <c r="P582" i="3" s="1"/>
  <c r="O583" i="3"/>
  <c r="P583" i="3"/>
  <c r="O584" i="3"/>
  <c r="P584" i="3" s="1"/>
  <c r="O585" i="3"/>
  <c r="P585" i="3"/>
  <c r="O586" i="3"/>
  <c r="P586" i="3" s="1"/>
  <c r="O587" i="3"/>
  <c r="P587" i="3" s="1"/>
  <c r="O588" i="3"/>
  <c r="P588" i="3" s="1"/>
  <c r="O589" i="3"/>
  <c r="P589" i="3"/>
  <c r="O590" i="3"/>
  <c r="P590" i="3" s="1"/>
  <c r="O591" i="3"/>
  <c r="P591" i="3" s="1"/>
  <c r="O592" i="3"/>
  <c r="P592" i="3" s="1"/>
  <c r="O593" i="3"/>
  <c r="P593" i="3" s="1"/>
  <c r="O594" i="3"/>
  <c r="P594" i="3" s="1"/>
  <c r="O595" i="3"/>
  <c r="P595" i="3" s="1"/>
  <c r="O596" i="3"/>
  <c r="P596" i="3" s="1"/>
  <c r="O597" i="3"/>
  <c r="P597" i="3"/>
  <c r="O598" i="3"/>
  <c r="P598" i="3" s="1"/>
  <c r="O599" i="3"/>
  <c r="P599" i="3" s="1"/>
  <c r="O600" i="3"/>
  <c r="P600" i="3" s="1"/>
  <c r="O601" i="3"/>
  <c r="P601" i="3" s="1"/>
  <c r="O602" i="3"/>
  <c r="P602" i="3" s="1"/>
  <c r="O603" i="3"/>
  <c r="P603" i="3" s="1"/>
  <c r="O604" i="3"/>
  <c r="P604" i="3" s="1"/>
  <c r="O605" i="3"/>
  <c r="P605" i="3" s="1"/>
  <c r="O606" i="3"/>
  <c r="P606" i="3"/>
  <c r="O607" i="3"/>
  <c r="P607" i="3"/>
  <c r="O608" i="3"/>
  <c r="P608" i="3" s="1"/>
  <c r="O609" i="3"/>
  <c r="P609" i="3" s="1"/>
  <c r="O610" i="3"/>
  <c r="P610" i="3" s="1"/>
  <c r="O611" i="3"/>
  <c r="P611" i="3" s="1"/>
  <c r="O612" i="3"/>
  <c r="P612" i="3" s="1"/>
  <c r="O571" i="3"/>
  <c r="P571" i="3" s="1"/>
  <c r="O500" i="5"/>
  <c r="Q500" i="5" s="1"/>
  <c r="P500" i="5"/>
  <c r="O501" i="5"/>
  <c r="Q501" i="5" s="1"/>
  <c r="P501" i="5"/>
  <c r="O502" i="5"/>
  <c r="P502" i="5"/>
  <c r="Q502" i="5"/>
  <c r="O503" i="5"/>
  <c r="P503" i="5"/>
  <c r="Q503" i="5"/>
  <c r="O504" i="5"/>
  <c r="P504" i="5"/>
  <c r="Q504" i="5"/>
  <c r="O505" i="5"/>
  <c r="Q505" i="5" s="1"/>
  <c r="P505" i="5"/>
  <c r="O506" i="5"/>
  <c r="P506" i="5"/>
  <c r="Q506" i="5"/>
  <c r="O507" i="5"/>
  <c r="P507" i="5"/>
  <c r="Q507" i="5"/>
  <c r="O508" i="5"/>
  <c r="Q508" i="5" s="1"/>
  <c r="P508" i="5"/>
  <c r="O509" i="5"/>
  <c r="P509" i="5"/>
  <c r="Q509" i="5"/>
  <c r="O510" i="5"/>
  <c r="P510" i="5"/>
  <c r="Q510" i="5"/>
  <c r="O511" i="5"/>
  <c r="Q511" i="5" s="1"/>
  <c r="P511" i="5"/>
  <c r="O512" i="5"/>
  <c r="Q512" i="5" s="1"/>
  <c r="P512" i="5"/>
  <c r="O513" i="5"/>
  <c r="Q513" i="5" s="1"/>
  <c r="P513" i="5"/>
  <c r="O514" i="5"/>
  <c r="Q514" i="5" s="1"/>
  <c r="P514" i="5"/>
  <c r="O515" i="5"/>
  <c r="Q515" i="5" s="1"/>
  <c r="P515" i="5"/>
  <c r="O516" i="5"/>
  <c r="Q516" i="5" s="1"/>
  <c r="P516" i="5"/>
  <c r="O517" i="5"/>
  <c r="Q517" i="5" s="1"/>
  <c r="P517" i="5"/>
  <c r="O518" i="5"/>
  <c r="Q518" i="5" s="1"/>
  <c r="P518" i="5"/>
  <c r="O519" i="5"/>
  <c r="P519" i="5"/>
  <c r="Q519" i="5"/>
  <c r="O520" i="5"/>
  <c r="P520" i="5"/>
  <c r="Q520" i="5"/>
  <c r="O521" i="5"/>
  <c r="Q521" i="5" s="1"/>
  <c r="P521" i="5"/>
  <c r="P499" i="5"/>
  <c r="O499" i="5"/>
  <c r="Q499" i="5" s="1"/>
  <c r="O509" i="3" l="1"/>
  <c r="P509" i="3" s="1"/>
  <c r="O510" i="3"/>
  <c r="P510" i="3" s="1"/>
  <c r="O511" i="3"/>
  <c r="P511" i="3" s="1"/>
  <c r="O512" i="3"/>
  <c r="P512" i="3" s="1"/>
  <c r="O513" i="3"/>
  <c r="P513" i="3" s="1"/>
  <c r="O514" i="3"/>
  <c r="P514" i="3" s="1"/>
  <c r="O515" i="3"/>
  <c r="P515" i="3" s="1"/>
  <c r="O516" i="3"/>
  <c r="P516" i="3" s="1"/>
  <c r="O517" i="3"/>
  <c r="P517" i="3" s="1"/>
  <c r="O518" i="3"/>
  <c r="P518" i="3" s="1"/>
  <c r="O519" i="3"/>
  <c r="P519" i="3" s="1"/>
  <c r="O520" i="3"/>
  <c r="P520" i="3" s="1"/>
  <c r="O521" i="3"/>
  <c r="P521" i="3" s="1"/>
  <c r="O522" i="3"/>
  <c r="P522" i="3" s="1"/>
  <c r="O523" i="3"/>
  <c r="P523" i="3" s="1"/>
  <c r="O524" i="3"/>
  <c r="P524" i="3" s="1"/>
  <c r="O525" i="3"/>
  <c r="P525" i="3" s="1"/>
  <c r="O526" i="3"/>
  <c r="P526" i="3" s="1"/>
  <c r="O527" i="3"/>
  <c r="P527" i="3" s="1"/>
  <c r="O528" i="3"/>
  <c r="P528" i="3" s="1"/>
  <c r="O529" i="3"/>
  <c r="P529" i="3" s="1"/>
  <c r="O530" i="3"/>
  <c r="P530" i="3" s="1"/>
  <c r="O531" i="3"/>
  <c r="P531" i="3" s="1"/>
  <c r="O532" i="3"/>
  <c r="P532" i="3" s="1"/>
  <c r="O533" i="3"/>
  <c r="P533" i="3" s="1"/>
  <c r="O534" i="3"/>
  <c r="P534" i="3" s="1"/>
  <c r="O535" i="3"/>
  <c r="P535" i="3" s="1"/>
  <c r="O536" i="3"/>
  <c r="P536" i="3" s="1"/>
  <c r="O537" i="3"/>
  <c r="P537" i="3" s="1"/>
  <c r="O538" i="3"/>
  <c r="P538" i="3" s="1"/>
  <c r="O539" i="3"/>
  <c r="P539" i="3" s="1"/>
  <c r="O540" i="3"/>
  <c r="P540" i="3" s="1"/>
  <c r="O541" i="3"/>
  <c r="P541" i="3" s="1"/>
  <c r="O542" i="3"/>
  <c r="P542" i="3" s="1"/>
  <c r="O543" i="3"/>
  <c r="P543" i="3" s="1"/>
  <c r="O544" i="3"/>
  <c r="P544" i="3" s="1"/>
  <c r="O545" i="3"/>
  <c r="P545" i="3" s="1"/>
  <c r="O546" i="3"/>
  <c r="P546" i="3" s="1"/>
  <c r="O547" i="3"/>
  <c r="P547" i="3" s="1"/>
  <c r="O548" i="3"/>
  <c r="P548" i="3" s="1"/>
  <c r="O549" i="3"/>
  <c r="P549" i="3" s="1"/>
  <c r="O550" i="3"/>
  <c r="P550" i="3" s="1"/>
  <c r="O551" i="3"/>
  <c r="P551" i="3" s="1"/>
  <c r="O552" i="3"/>
  <c r="P552" i="3" s="1"/>
  <c r="O553" i="3"/>
  <c r="P553" i="3" s="1"/>
  <c r="O554" i="3"/>
  <c r="P554" i="3" s="1"/>
  <c r="O555" i="3"/>
  <c r="P555" i="3" s="1"/>
  <c r="O556" i="3"/>
  <c r="P556" i="3" s="1"/>
  <c r="O557" i="3"/>
  <c r="P557" i="3" s="1"/>
  <c r="O558" i="3"/>
  <c r="P558" i="3" s="1"/>
  <c r="O559" i="3"/>
  <c r="P559" i="3" s="1"/>
  <c r="O560" i="3"/>
  <c r="P560" i="3" s="1"/>
  <c r="O561" i="3"/>
  <c r="P561" i="3" s="1"/>
  <c r="O562" i="3"/>
  <c r="P562" i="3" s="1"/>
  <c r="O563" i="3"/>
  <c r="P563" i="3" s="1"/>
  <c r="O564" i="3"/>
  <c r="P564" i="3" s="1"/>
  <c r="O565" i="3"/>
  <c r="P565" i="3" s="1"/>
  <c r="O566" i="3"/>
  <c r="P566" i="3" s="1"/>
  <c r="O567" i="3"/>
  <c r="P567" i="3" s="1"/>
  <c r="O568" i="3"/>
  <c r="P568" i="3" s="1"/>
  <c r="O569" i="3"/>
  <c r="P569" i="3" s="1"/>
  <c r="O508" i="3"/>
  <c r="P508" i="3" s="1"/>
  <c r="O477" i="5"/>
  <c r="Q477" i="5" s="1"/>
  <c r="P477" i="5"/>
  <c r="O478" i="5"/>
  <c r="Q478" i="5" s="1"/>
  <c r="P478" i="5"/>
  <c r="O479" i="5"/>
  <c r="Q479" i="5" s="1"/>
  <c r="P479" i="5"/>
  <c r="O480" i="5"/>
  <c r="Q480" i="5" s="1"/>
  <c r="P480" i="5"/>
  <c r="O481" i="5"/>
  <c r="Q481" i="5" s="1"/>
  <c r="P481" i="5"/>
  <c r="O482" i="5"/>
  <c r="Q482" i="5" s="1"/>
  <c r="P482" i="5"/>
  <c r="O483" i="5"/>
  <c r="Q483" i="5" s="1"/>
  <c r="P483" i="5"/>
  <c r="O484" i="5"/>
  <c r="Q484" i="5" s="1"/>
  <c r="P484" i="5"/>
  <c r="O485" i="5"/>
  <c r="P485" i="5"/>
  <c r="Q485" i="5"/>
  <c r="O486" i="5"/>
  <c r="Q486" i="5" s="1"/>
  <c r="P486" i="5"/>
  <c r="O487" i="5"/>
  <c r="Q487" i="5" s="1"/>
  <c r="P487" i="5"/>
  <c r="O488" i="5"/>
  <c r="P488" i="5"/>
  <c r="Q488" i="5"/>
  <c r="O489" i="5"/>
  <c r="Q489" i="5" s="1"/>
  <c r="P489" i="5"/>
  <c r="O490" i="5"/>
  <c r="Q490" i="5" s="1"/>
  <c r="P490" i="5"/>
  <c r="O491" i="5"/>
  <c r="Q491" i="5" s="1"/>
  <c r="P491" i="5"/>
  <c r="O492" i="5"/>
  <c r="Q492" i="5" s="1"/>
  <c r="P492" i="5"/>
  <c r="O493" i="5"/>
  <c r="Q493" i="5" s="1"/>
  <c r="P493" i="5"/>
  <c r="O494" i="5"/>
  <c r="Q494" i="5" s="1"/>
  <c r="P494" i="5"/>
  <c r="O495" i="5"/>
  <c r="Q495" i="5" s="1"/>
  <c r="P495" i="5"/>
  <c r="O496" i="5"/>
  <c r="Q496" i="5" s="1"/>
  <c r="P496" i="5"/>
  <c r="O497" i="5"/>
  <c r="Q497" i="5" s="1"/>
  <c r="P497" i="5"/>
  <c r="O501" i="3"/>
  <c r="P501" i="3" s="1"/>
  <c r="O502" i="3"/>
  <c r="P502" i="3" s="1"/>
  <c r="O503" i="3"/>
  <c r="P503" i="3" s="1"/>
  <c r="O504" i="3"/>
  <c r="P504" i="3" s="1"/>
  <c r="O505" i="3"/>
  <c r="P505" i="3" s="1"/>
  <c r="O506" i="3"/>
  <c r="P506" i="3" s="1"/>
  <c r="O494" i="3"/>
  <c r="P494" i="3" s="1"/>
  <c r="O495" i="3"/>
  <c r="P495" i="3" s="1"/>
  <c r="O496" i="3"/>
  <c r="P496" i="3" s="1"/>
  <c r="O497" i="3"/>
  <c r="P497" i="3" s="1"/>
  <c r="O498" i="3"/>
  <c r="P498" i="3" s="1"/>
  <c r="O499" i="3"/>
  <c r="P499" i="3" s="1"/>
  <c r="O500" i="3"/>
  <c r="P500" i="3" s="1"/>
  <c r="O438" i="3"/>
  <c r="P438" i="3" s="1"/>
  <c r="O439" i="3"/>
  <c r="P439" i="3" s="1"/>
  <c r="O440" i="3"/>
  <c r="P440" i="3" s="1"/>
  <c r="O441" i="3"/>
  <c r="P441" i="3" s="1"/>
  <c r="O442" i="3"/>
  <c r="P442" i="3" s="1"/>
  <c r="O443" i="3"/>
  <c r="P443" i="3" s="1"/>
  <c r="O444" i="3"/>
  <c r="P444" i="3" s="1"/>
  <c r="O445" i="3"/>
  <c r="P445" i="3" s="1"/>
  <c r="O446" i="3"/>
  <c r="P446" i="3" s="1"/>
  <c r="O447" i="3"/>
  <c r="P447" i="3" s="1"/>
  <c r="O448" i="3"/>
  <c r="P448" i="3" s="1"/>
  <c r="O449" i="3"/>
  <c r="P449" i="3" s="1"/>
  <c r="O450" i="3"/>
  <c r="P450" i="3" s="1"/>
  <c r="O451" i="3"/>
  <c r="P451" i="3" s="1"/>
  <c r="O452" i="3"/>
  <c r="P452" i="3" s="1"/>
  <c r="O453" i="3"/>
  <c r="P453" i="3" s="1"/>
  <c r="O454" i="3"/>
  <c r="P454" i="3" s="1"/>
  <c r="O455" i="3"/>
  <c r="P455" i="3" s="1"/>
  <c r="O456" i="3"/>
  <c r="P456" i="3" s="1"/>
  <c r="O457" i="3"/>
  <c r="P457" i="3" s="1"/>
  <c r="O458" i="3"/>
  <c r="P458" i="3" s="1"/>
  <c r="O459" i="3"/>
  <c r="P459" i="3" s="1"/>
  <c r="O460" i="3"/>
  <c r="P460" i="3" s="1"/>
  <c r="O461" i="3"/>
  <c r="P461" i="3" s="1"/>
  <c r="O462" i="3"/>
  <c r="P462" i="3" s="1"/>
  <c r="O463" i="3"/>
  <c r="P463" i="3" s="1"/>
  <c r="O464" i="3"/>
  <c r="P464" i="3" s="1"/>
  <c r="O465" i="3"/>
  <c r="P465" i="3" s="1"/>
  <c r="O466" i="3"/>
  <c r="P466" i="3" s="1"/>
  <c r="O467" i="3"/>
  <c r="P467" i="3" s="1"/>
  <c r="O468" i="3"/>
  <c r="P468" i="3" s="1"/>
  <c r="O469" i="3"/>
  <c r="P469" i="3" s="1"/>
  <c r="O470" i="3"/>
  <c r="P470" i="3" s="1"/>
  <c r="O471" i="3"/>
  <c r="P471" i="3" s="1"/>
  <c r="O472" i="3"/>
  <c r="P472" i="3" s="1"/>
  <c r="O473" i="3"/>
  <c r="P473" i="3" s="1"/>
  <c r="O474" i="3"/>
  <c r="P474" i="3" s="1"/>
  <c r="O475" i="3"/>
  <c r="P475" i="3" s="1"/>
  <c r="O476" i="3"/>
  <c r="P476" i="3" s="1"/>
  <c r="O477" i="3"/>
  <c r="P477" i="3" s="1"/>
  <c r="O478" i="3"/>
  <c r="P478" i="3" s="1"/>
  <c r="O479" i="3"/>
  <c r="P479" i="3" s="1"/>
  <c r="O480" i="3"/>
  <c r="P480" i="3" s="1"/>
  <c r="O481" i="3"/>
  <c r="P481" i="3" s="1"/>
  <c r="O482" i="3"/>
  <c r="P482" i="3" s="1"/>
  <c r="O483" i="3"/>
  <c r="P483" i="3" s="1"/>
  <c r="O484" i="3"/>
  <c r="P484" i="3" s="1"/>
  <c r="O485" i="3"/>
  <c r="P485" i="3" s="1"/>
  <c r="O486" i="3"/>
  <c r="P486" i="3" s="1"/>
  <c r="O487" i="3"/>
  <c r="P487" i="3" s="1"/>
  <c r="O488" i="3"/>
  <c r="P488" i="3" s="1"/>
  <c r="O489" i="3"/>
  <c r="P489" i="3" s="1"/>
  <c r="O490" i="3"/>
  <c r="P490" i="3" s="1"/>
  <c r="O491" i="3"/>
  <c r="P491" i="3" s="1"/>
  <c r="O492" i="3"/>
  <c r="P492" i="3" s="1"/>
  <c r="O493" i="3"/>
  <c r="P493" i="3" s="1"/>
  <c r="O425" i="3"/>
  <c r="P425" i="3" s="1"/>
  <c r="O426" i="3"/>
  <c r="P426" i="3" s="1"/>
  <c r="O427" i="3"/>
  <c r="P427" i="3" s="1"/>
  <c r="O428" i="3"/>
  <c r="P428" i="3" s="1"/>
  <c r="O429" i="3"/>
  <c r="P429" i="3" s="1"/>
  <c r="O430" i="3"/>
  <c r="P430" i="3" s="1"/>
  <c r="O431" i="3"/>
  <c r="P431" i="3" s="1"/>
  <c r="O432" i="3"/>
  <c r="P432" i="3" s="1"/>
  <c r="O433" i="3"/>
  <c r="P433" i="3" s="1"/>
  <c r="O434" i="3"/>
  <c r="P434" i="3" s="1"/>
  <c r="O435" i="3"/>
  <c r="P435" i="3" s="1"/>
  <c r="O436" i="3"/>
  <c r="P436" i="3" s="1"/>
  <c r="O437" i="3"/>
  <c r="P437" i="3" s="1"/>
  <c r="O455" i="5"/>
  <c r="Q455" i="5" s="1"/>
  <c r="P455" i="5"/>
  <c r="O456" i="5"/>
  <c r="Q456" i="5" s="1"/>
  <c r="P456" i="5"/>
  <c r="O457" i="5"/>
  <c r="P457" i="5"/>
  <c r="Q457" i="5"/>
  <c r="O458" i="5"/>
  <c r="Q458" i="5" s="1"/>
  <c r="P458" i="5"/>
  <c r="O459" i="5"/>
  <c r="Q459" i="5" s="1"/>
  <c r="P459" i="5"/>
  <c r="O460" i="5"/>
  <c r="Q460" i="5" s="1"/>
  <c r="P460" i="5"/>
  <c r="O461" i="5"/>
  <c r="Q461" i="5" s="1"/>
  <c r="P461" i="5"/>
  <c r="O462" i="5"/>
  <c r="Q462" i="5" s="1"/>
  <c r="P462" i="5"/>
  <c r="O463" i="5"/>
  <c r="Q463" i="5" s="1"/>
  <c r="P463" i="5"/>
  <c r="O464" i="5"/>
  <c r="P464" i="5"/>
  <c r="Q464" i="5"/>
  <c r="O465" i="5"/>
  <c r="P465" i="5"/>
  <c r="Q465" i="5"/>
  <c r="O466" i="5"/>
  <c r="Q466" i="5" s="1"/>
  <c r="P466" i="5"/>
  <c r="O467" i="5"/>
  <c r="Q467" i="5" s="1"/>
  <c r="P467" i="5"/>
  <c r="O468" i="5"/>
  <c r="Q468" i="5" s="1"/>
  <c r="P468" i="5"/>
  <c r="O469" i="5"/>
  <c r="Q469" i="5" s="1"/>
  <c r="P469" i="5"/>
  <c r="O470" i="5"/>
  <c r="Q470" i="5" s="1"/>
  <c r="P470" i="5"/>
  <c r="O471" i="5"/>
  <c r="Q471" i="5" s="1"/>
  <c r="P471" i="5"/>
  <c r="O472" i="5"/>
  <c r="Q472" i="5" s="1"/>
  <c r="P472" i="5"/>
  <c r="O473" i="5"/>
  <c r="P473" i="5"/>
  <c r="Q473" i="5"/>
  <c r="O474" i="5"/>
  <c r="Q474" i="5" s="1"/>
  <c r="P474" i="5"/>
  <c r="O475" i="5"/>
  <c r="Q475" i="5" s="1"/>
  <c r="P475" i="5"/>
  <c r="O476" i="5"/>
  <c r="Q476" i="5" s="1"/>
  <c r="P476" i="5"/>
  <c r="O354" i="3"/>
  <c r="P354" i="3" s="1"/>
  <c r="O355" i="3"/>
  <c r="P355" i="3" s="1"/>
  <c r="O356" i="3"/>
  <c r="P356" i="3" s="1"/>
  <c r="O357" i="3"/>
  <c r="P357" i="3" s="1"/>
  <c r="O358" i="3"/>
  <c r="P358" i="3" s="1"/>
  <c r="O359" i="3"/>
  <c r="P359" i="3" s="1"/>
  <c r="O360" i="3"/>
  <c r="P360" i="3" s="1"/>
  <c r="O361" i="3"/>
  <c r="P361" i="3" s="1"/>
  <c r="O362" i="3"/>
  <c r="P362" i="3" s="1"/>
  <c r="O363" i="3"/>
  <c r="P363" i="3" s="1"/>
  <c r="O364" i="3"/>
  <c r="P364" i="3" s="1"/>
  <c r="O365" i="3"/>
  <c r="P365" i="3" s="1"/>
  <c r="O366" i="3"/>
  <c r="P366" i="3" s="1"/>
  <c r="O367" i="3"/>
  <c r="P367" i="3" s="1"/>
  <c r="O368" i="3"/>
  <c r="P368" i="3" s="1"/>
  <c r="O369" i="3"/>
  <c r="P369" i="3" s="1"/>
  <c r="O370" i="3"/>
  <c r="P370" i="3" s="1"/>
  <c r="O371" i="3"/>
  <c r="P371" i="3" s="1"/>
  <c r="O372" i="3"/>
  <c r="P372" i="3" s="1"/>
  <c r="O373" i="3"/>
  <c r="P373" i="3" s="1"/>
  <c r="O374" i="3"/>
  <c r="P374" i="3" s="1"/>
  <c r="O375" i="3"/>
  <c r="P375" i="3" s="1"/>
  <c r="O376" i="3"/>
  <c r="P376" i="3" s="1"/>
  <c r="O377" i="3"/>
  <c r="P377" i="3" s="1"/>
  <c r="O378" i="3"/>
  <c r="P378" i="3" s="1"/>
  <c r="O379" i="3"/>
  <c r="P379" i="3" s="1"/>
  <c r="O380" i="3"/>
  <c r="P380" i="3" s="1"/>
  <c r="O381" i="3"/>
  <c r="P381" i="3" s="1"/>
  <c r="O382" i="3"/>
  <c r="P382" i="3" s="1"/>
  <c r="O383" i="3"/>
  <c r="P383" i="3" s="1"/>
  <c r="O384" i="3"/>
  <c r="P384" i="3" s="1"/>
  <c r="O385" i="3"/>
  <c r="P385" i="3" s="1"/>
  <c r="O386" i="3"/>
  <c r="P386" i="3" s="1"/>
  <c r="O387" i="3"/>
  <c r="P387" i="3" s="1"/>
  <c r="O388" i="3"/>
  <c r="P388" i="3" s="1"/>
  <c r="O389" i="3"/>
  <c r="P389" i="3" s="1"/>
  <c r="O390" i="3"/>
  <c r="P390" i="3" s="1"/>
  <c r="O391" i="3"/>
  <c r="P391" i="3" s="1"/>
  <c r="O392" i="3"/>
  <c r="P392" i="3" s="1"/>
  <c r="O393" i="3"/>
  <c r="P393" i="3" s="1"/>
  <c r="O394" i="3"/>
  <c r="P394" i="3" s="1"/>
  <c r="O395" i="3"/>
  <c r="P395" i="3" s="1"/>
  <c r="O396" i="3"/>
  <c r="P396" i="3" s="1"/>
  <c r="O397" i="3"/>
  <c r="P397" i="3" s="1"/>
  <c r="O398" i="3"/>
  <c r="P398" i="3" s="1"/>
  <c r="O399" i="3"/>
  <c r="P399" i="3" s="1"/>
  <c r="O400" i="3"/>
  <c r="P400" i="3" s="1"/>
  <c r="O401" i="3"/>
  <c r="P401" i="3" s="1"/>
  <c r="O402" i="3"/>
  <c r="P402" i="3" s="1"/>
  <c r="O403" i="3"/>
  <c r="P403" i="3" s="1"/>
  <c r="O404" i="3"/>
  <c r="P404" i="3" s="1"/>
  <c r="O405" i="3"/>
  <c r="P405" i="3" s="1"/>
  <c r="O406" i="3"/>
  <c r="P406" i="3" s="1"/>
  <c r="O407" i="3"/>
  <c r="P407" i="3" s="1"/>
  <c r="O408" i="3"/>
  <c r="P408" i="3" s="1"/>
  <c r="O409" i="3"/>
  <c r="P409" i="3" s="1"/>
  <c r="O410" i="3"/>
  <c r="P410" i="3" s="1"/>
  <c r="O411" i="3"/>
  <c r="P411" i="3" s="1"/>
  <c r="O412" i="3"/>
  <c r="P412" i="3" s="1"/>
  <c r="O413" i="3"/>
  <c r="P413" i="3" s="1"/>
  <c r="O414" i="3"/>
  <c r="P414" i="3" s="1"/>
  <c r="O415" i="3"/>
  <c r="P415" i="3" s="1"/>
  <c r="O416" i="3"/>
  <c r="P416" i="3" s="1"/>
  <c r="O417" i="3"/>
  <c r="P417" i="3" s="1"/>
  <c r="O418" i="3"/>
  <c r="P418" i="3" s="1"/>
  <c r="O419" i="3"/>
  <c r="P419" i="3" s="1"/>
  <c r="O420" i="3"/>
  <c r="P420" i="3" s="1"/>
  <c r="O421" i="3"/>
  <c r="P421" i="3" s="1"/>
  <c r="O422" i="3"/>
  <c r="P422" i="3" s="1"/>
  <c r="O423" i="3"/>
  <c r="P423" i="3" s="1"/>
  <c r="O424" i="3"/>
  <c r="P424" i="3" s="1"/>
  <c r="O426" i="5"/>
  <c r="Q426" i="5" s="1"/>
  <c r="P426" i="5"/>
  <c r="O427" i="5"/>
  <c r="Q427" i="5" s="1"/>
  <c r="P427" i="5"/>
  <c r="O428" i="5"/>
  <c r="Q428" i="5" s="1"/>
  <c r="P428" i="5"/>
  <c r="O429" i="5"/>
  <c r="P429" i="5"/>
  <c r="Q429" i="5"/>
  <c r="O430" i="5"/>
  <c r="Q430" i="5" s="1"/>
  <c r="P430" i="5"/>
  <c r="O431" i="5"/>
  <c r="Q431" i="5" s="1"/>
  <c r="P431" i="5"/>
  <c r="O432" i="5"/>
  <c r="P432" i="5"/>
  <c r="Q432" i="5"/>
  <c r="O433" i="5"/>
  <c r="Q433" i="5" s="1"/>
  <c r="P433" i="5"/>
  <c r="O434" i="5"/>
  <c r="Q434" i="5" s="1"/>
  <c r="P434" i="5"/>
  <c r="O435" i="5"/>
  <c r="Q435" i="5" s="1"/>
  <c r="P435" i="5"/>
  <c r="O436" i="5"/>
  <c r="Q436" i="5" s="1"/>
  <c r="P436" i="5"/>
  <c r="O437" i="5"/>
  <c r="P437" i="5"/>
  <c r="Q437" i="5"/>
  <c r="O438" i="5"/>
  <c r="Q438" i="5" s="1"/>
  <c r="P438" i="5"/>
  <c r="O439" i="5"/>
  <c r="Q439" i="5" s="1"/>
  <c r="P439" i="5"/>
  <c r="O440" i="5"/>
  <c r="P440" i="5"/>
  <c r="Q440" i="5"/>
  <c r="O441" i="5"/>
  <c r="Q441" i="5" s="1"/>
  <c r="P441" i="5"/>
  <c r="O442" i="5"/>
  <c r="Q442" i="5" s="1"/>
  <c r="P442" i="5"/>
  <c r="O443" i="5"/>
  <c r="Q443" i="5" s="1"/>
  <c r="P443" i="5"/>
  <c r="O444" i="5"/>
  <c r="Q444" i="5" s="1"/>
  <c r="P444" i="5"/>
  <c r="O445" i="5"/>
  <c r="P445" i="5"/>
  <c r="Q445" i="5"/>
  <c r="O446" i="5"/>
  <c r="Q446" i="5" s="1"/>
  <c r="P446" i="5"/>
  <c r="O447" i="5"/>
  <c r="Q447" i="5" s="1"/>
  <c r="P447" i="5"/>
  <c r="O448" i="5"/>
  <c r="P448" i="5"/>
  <c r="Q448" i="5"/>
  <c r="O449" i="5"/>
  <c r="Q449" i="5" s="1"/>
  <c r="P449" i="5"/>
  <c r="O450" i="5"/>
  <c r="Q450" i="5" s="1"/>
  <c r="P450" i="5"/>
  <c r="O451" i="5"/>
  <c r="Q451" i="5" s="1"/>
  <c r="P451" i="5"/>
  <c r="O452" i="5"/>
  <c r="Q452" i="5" s="1"/>
  <c r="P452" i="5"/>
  <c r="O453" i="5"/>
  <c r="P453" i="5"/>
  <c r="Q453" i="5"/>
  <c r="O454" i="5"/>
  <c r="Q454" i="5" s="1"/>
  <c r="P454" i="5"/>
  <c r="O284" i="3"/>
  <c r="P284" i="3" s="1"/>
  <c r="O285" i="3"/>
  <c r="P285" i="3" s="1"/>
  <c r="O286" i="3"/>
  <c r="P286" i="3" s="1"/>
  <c r="O287" i="3"/>
  <c r="P287" i="3" s="1"/>
  <c r="O288" i="3"/>
  <c r="P288" i="3" s="1"/>
  <c r="O289" i="3"/>
  <c r="P289" i="3" s="1"/>
  <c r="O290" i="3"/>
  <c r="P290" i="3" s="1"/>
  <c r="O291" i="3"/>
  <c r="P291" i="3" s="1"/>
  <c r="O292" i="3"/>
  <c r="P292" i="3" s="1"/>
  <c r="O293" i="3"/>
  <c r="P293" i="3" s="1"/>
  <c r="O294" i="3"/>
  <c r="P294" i="3" s="1"/>
  <c r="O295" i="3"/>
  <c r="P295" i="3" s="1"/>
  <c r="O296" i="3"/>
  <c r="P296" i="3" s="1"/>
  <c r="O297" i="3"/>
  <c r="P297" i="3" s="1"/>
  <c r="O298" i="3"/>
  <c r="P298" i="3" s="1"/>
  <c r="O299" i="3"/>
  <c r="P299" i="3" s="1"/>
  <c r="O300" i="3"/>
  <c r="P300" i="3" s="1"/>
  <c r="O301" i="3"/>
  <c r="P301" i="3" s="1"/>
  <c r="O302" i="3"/>
  <c r="P302" i="3" s="1"/>
  <c r="O303" i="3"/>
  <c r="P303" i="3" s="1"/>
  <c r="O304" i="3"/>
  <c r="P304" i="3" s="1"/>
  <c r="O305" i="3"/>
  <c r="P305" i="3" s="1"/>
  <c r="O306" i="3"/>
  <c r="P306" i="3" s="1"/>
  <c r="O307" i="3"/>
  <c r="P307" i="3" s="1"/>
  <c r="O308" i="3"/>
  <c r="P308" i="3" s="1"/>
  <c r="O309" i="3"/>
  <c r="P309" i="3" s="1"/>
  <c r="O310" i="3"/>
  <c r="P310" i="3" s="1"/>
  <c r="O311" i="3"/>
  <c r="P311" i="3" s="1"/>
  <c r="O312" i="3"/>
  <c r="P312" i="3" s="1"/>
  <c r="O313" i="3"/>
  <c r="P313" i="3" s="1"/>
  <c r="O314" i="3"/>
  <c r="P314" i="3" s="1"/>
  <c r="O315" i="3"/>
  <c r="P315" i="3" s="1"/>
  <c r="O316" i="3"/>
  <c r="P316" i="3" s="1"/>
  <c r="O317" i="3"/>
  <c r="P317" i="3" s="1"/>
  <c r="O318" i="3"/>
  <c r="P318" i="3" s="1"/>
  <c r="O319" i="3"/>
  <c r="P319" i="3" s="1"/>
  <c r="O320" i="3"/>
  <c r="P320" i="3" s="1"/>
  <c r="O321" i="3"/>
  <c r="P321" i="3" s="1"/>
  <c r="O322" i="3"/>
  <c r="P322" i="3" s="1"/>
  <c r="O323" i="3"/>
  <c r="P323" i="3" s="1"/>
  <c r="O324" i="3"/>
  <c r="P324" i="3" s="1"/>
  <c r="O325" i="3"/>
  <c r="P325" i="3" s="1"/>
  <c r="O326" i="3"/>
  <c r="P326" i="3" s="1"/>
  <c r="O327" i="3"/>
  <c r="P327" i="3" s="1"/>
  <c r="O328" i="3"/>
  <c r="P328" i="3" s="1"/>
  <c r="O329" i="3"/>
  <c r="P329" i="3" s="1"/>
  <c r="O330" i="3"/>
  <c r="P330" i="3" s="1"/>
  <c r="O331" i="3"/>
  <c r="P331" i="3" s="1"/>
  <c r="O332" i="3"/>
  <c r="P332" i="3" s="1"/>
  <c r="O333" i="3"/>
  <c r="P333" i="3" s="1"/>
  <c r="O334" i="3"/>
  <c r="P334" i="3" s="1"/>
  <c r="O335" i="3"/>
  <c r="P335" i="3" s="1"/>
  <c r="O336" i="3"/>
  <c r="P336" i="3" s="1"/>
  <c r="O337" i="3"/>
  <c r="P337" i="3" s="1"/>
  <c r="O338" i="3"/>
  <c r="P338" i="3" s="1"/>
  <c r="O339" i="3"/>
  <c r="P339" i="3" s="1"/>
  <c r="O340" i="3"/>
  <c r="P340" i="3" s="1"/>
  <c r="O341" i="3"/>
  <c r="P341" i="3" s="1"/>
  <c r="O342" i="3"/>
  <c r="P342" i="3" s="1"/>
  <c r="O343" i="3"/>
  <c r="P343" i="3" s="1"/>
  <c r="O344" i="3"/>
  <c r="P344" i="3" s="1"/>
  <c r="O345" i="3"/>
  <c r="P345" i="3" s="1"/>
  <c r="O346" i="3"/>
  <c r="P346" i="3" s="1"/>
  <c r="O347" i="3"/>
  <c r="P347" i="3" s="1"/>
  <c r="O348" i="3"/>
  <c r="P348" i="3" s="1"/>
  <c r="O349" i="3"/>
  <c r="P349" i="3" s="1"/>
  <c r="O350" i="3"/>
  <c r="P350" i="3" s="1"/>
  <c r="O351" i="3"/>
  <c r="P351" i="3" s="1"/>
  <c r="O352" i="3"/>
  <c r="P352" i="3" s="1"/>
  <c r="O353" i="3"/>
  <c r="P353" i="3" s="1"/>
  <c r="O424" i="5"/>
  <c r="Q424" i="5" s="1"/>
  <c r="P424" i="5"/>
  <c r="O425" i="5"/>
  <c r="Q425" i="5" s="1"/>
  <c r="P425" i="5"/>
  <c r="W284" i="7"/>
  <c r="X284" i="7" s="1"/>
  <c r="O248" i="3"/>
  <c r="P248" i="3" s="1"/>
  <c r="O249" i="3"/>
  <c r="P249" i="3" s="1"/>
  <c r="O250" i="3"/>
  <c r="P250" i="3" s="1"/>
  <c r="O251" i="3"/>
  <c r="P251" i="3" s="1"/>
  <c r="O252" i="3"/>
  <c r="P252" i="3" s="1"/>
  <c r="O253" i="3"/>
  <c r="P253" i="3" s="1"/>
  <c r="O254" i="3"/>
  <c r="P254" i="3" s="1"/>
  <c r="O255" i="3"/>
  <c r="P255" i="3" s="1"/>
  <c r="O256" i="3"/>
  <c r="P256" i="3" s="1"/>
  <c r="O257" i="3"/>
  <c r="P257" i="3" s="1"/>
  <c r="O258" i="3"/>
  <c r="P258" i="3" s="1"/>
  <c r="O259" i="3"/>
  <c r="P259" i="3" s="1"/>
  <c r="O260" i="3"/>
  <c r="P260" i="3" s="1"/>
  <c r="O261" i="3"/>
  <c r="P261" i="3" s="1"/>
  <c r="O262" i="3"/>
  <c r="P262" i="3" s="1"/>
  <c r="O263" i="3"/>
  <c r="P263" i="3" s="1"/>
  <c r="O264" i="3"/>
  <c r="P264" i="3" s="1"/>
  <c r="O265" i="3"/>
  <c r="P265" i="3" s="1"/>
  <c r="O266" i="3"/>
  <c r="P266" i="3" s="1"/>
  <c r="O267" i="3"/>
  <c r="P267" i="3" s="1"/>
  <c r="O268" i="3"/>
  <c r="P268" i="3" s="1"/>
  <c r="O269" i="3"/>
  <c r="P269" i="3" s="1"/>
  <c r="O270" i="3"/>
  <c r="P270" i="3" s="1"/>
  <c r="O271" i="3"/>
  <c r="P271" i="3" s="1"/>
  <c r="O272" i="3"/>
  <c r="P272" i="3" s="1"/>
  <c r="O273" i="3"/>
  <c r="P273" i="3" s="1"/>
  <c r="O274" i="3"/>
  <c r="P274" i="3" s="1"/>
  <c r="O275" i="3"/>
  <c r="P275" i="3" s="1"/>
  <c r="O276" i="3"/>
  <c r="P276" i="3" s="1"/>
  <c r="O277" i="3"/>
  <c r="P277" i="3" s="1"/>
  <c r="O278" i="3"/>
  <c r="P278" i="3" s="1"/>
  <c r="O279" i="3"/>
  <c r="P279" i="3" s="1"/>
  <c r="O280" i="3"/>
  <c r="P280" i="3" s="1"/>
  <c r="O281" i="3"/>
  <c r="P281" i="3" s="1"/>
  <c r="O282" i="3"/>
  <c r="P282" i="3" s="1"/>
  <c r="O283" i="3"/>
  <c r="P283" i="3" s="1"/>
  <c r="W248" i="7"/>
  <c r="X248" i="7" s="1"/>
  <c r="W249" i="7"/>
  <c r="X249" i="7" s="1"/>
  <c r="W250" i="7"/>
  <c r="X250" i="7" s="1"/>
  <c r="W251" i="7"/>
  <c r="X251" i="7" s="1"/>
  <c r="W252" i="7"/>
  <c r="X252" i="7" s="1"/>
  <c r="W253" i="7"/>
  <c r="X253" i="7" s="1"/>
  <c r="W254" i="7"/>
  <c r="X254" i="7"/>
  <c r="W255" i="7"/>
  <c r="X255" i="7" s="1"/>
  <c r="W256" i="7"/>
  <c r="X256" i="7" s="1"/>
  <c r="W257" i="7"/>
  <c r="X257" i="7" s="1"/>
  <c r="W258" i="7"/>
  <c r="X258" i="7" s="1"/>
  <c r="W259" i="7"/>
  <c r="X259" i="7" s="1"/>
  <c r="W260" i="7"/>
  <c r="X260" i="7" s="1"/>
  <c r="W261" i="7"/>
  <c r="X261" i="7" s="1"/>
  <c r="W262" i="7"/>
  <c r="X262" i="7" s="1"/>
  <c r="W263" i="7"/>
  <c r="X263" i="7" s="1"/>
  <c r="W264" i="7"/>
  <c r="X264" i="7" s="1"/>
  <c r="W265" i="7"/>
  <c r="X265" i="7" s="1"/>
  <c r="W266" i="7"/>
  <c r="X266" i="7" s="1"/>
  <c r="W267" i="7"/>
  <c r="X267" i="7" s="1"/>
  <c r="W268" i="7"/>
  <c r="X268" i="7" s="1"/>
  <c r="W269" i="7"/>
  <c r="X269" i="7" s="1"/>
  <c r="W270" i="7"/>
  <c r="X270" i="7"/>
  <c r="W271" i="7"/>
  <c r="X271" i="7" s="1"/>
  <c r="W272" i="7"/>
  <c r="X272" i="7" s="1"/>
  <c r="W273" i="7"/>
  <c r="X273" i="7" s="1"/>
  <c r="W274" i="7"/>
  <c r="X274" i="7"/>
  <c r="W275" i="7"/>
  <c r="X275" i="7" s="1"/>
  <c r="W276" i="7"/>
  <c r="X276" i="7" s="1"/>
  <c r="W277" i="7"/>
  <c r="X277" i="7" s="1"/>
  <c r="W278" i="7"/>
  <c r="X278" i="7" s="1"/>
  <c r="W279" i="7"/>
  <c r="X279" i="7" s="1"/>
  <c r="W280" i="7"/>
  <c r="X280" i="7" s="1"/>
  <c r="W281" i="7"/>
  <c r="X281" i="7" s="1"/>
  <c r="W282" i="7"/>
  <c r="X282" i="7"/>
  <c r="W283" i="7"/>
  <c r="X283" i="7" s="1"/>
  <c r="O403" i="5"/>
  <c r="Q403" i="5" s="1"/>
  <c r="P403" i="5"/>
  <c r="O404" i="5"/>
  <c r="Q404" i="5" s="1"/>
  <c r="P404" i="5"/>
  <c r="O405" i="5"/>
  <c r="Q405" i="5" s="1"/>
  <c r="P405" i="5"/>
  <c r="O406" i="5"/>
  <c r="Q406" i="5" s="1"/>
  <c r="P406" i="5"/>
  <c r="O407" i="5"/>
  <c r="Q407" i="5" s="1"/>
  <c r="P407" i="5"/>
  <c r="O408" i="5"/>
  <c r="Q408" i="5" s="1"/>
  <c r="P408" i="5"/>
  <c r="O409" i="5"/>
  <c r="Q409" i="5" s="1"/>
  <c r="P409" i="5"/>
  <c r="O410" i="5"/>
  <c r="Q410" i="5" s="1"/>
  <c r="P410" i="5"/>
  <c r="O411" i="5"/>
  <c r="Q411" i="5" s="1"/>
  <c r="P411" i="5"/>
  <c r="O412" i="5"/>
  <c r="Q412" i="5" s="1"/>
  <c r="P412" i="5"/>
  <c r="O413" i="5"/>
  <c r="Q413" i="5" s="1"/>
  <c r="P413" i="5"/>
  <c r="O414" i="5"/>
  <c r="Q414" i="5" s="1"/>
  <c r="P414" i="5"/>
  <c r="O415" i="5"/>
  <c r="Q415" i="5" s="1"/>
  <c r="P415" i="5"/>
  <c r="O416" i="5"/>
  <c r="Q416" i="5" s="1"/>
  <c r="P416" i="5"/>
  <c r="O417" i="5"/>
  <c r="Q417" i="5" s="1"/>
  <c r="P417" i="5"/>
  <c r="O418" i="5"/>
  <c r="Q418" i="5" s="1"/>
  <c r="P418" i="5"/>
  <c r="O419" i="5"/>
  <c r="Q419" i="5" s="1"/>
  <c r="P419" i="5"/>
  <c r="O420" i="5"/>
  <c r="Q420" i="5" s="1"/>
  <c r="P420" i="5"/>
  <c r="O421" i="5"/>
  <c r="Q421" i="5" s="1"/>
  <c r="P421" i="5"/>
  <c r="O422" i="5"/>
  <c r="Q422" i="5" s="1"/>
  <c r="P422" i="5"/>
  <c r="O423" i="5"/>
  <c r="Q423" i="5" s="1"/>
  <c r="P423" i="5"/>
  <c r="O401" i="5"/>
  <c r="Q401" i="5" s="1"/>
  <c r="P401" i="5"/>
  <c r="O402" i="5"/>
  <c r="Q402" i="5" s="1"/>
  <c r="P402" i="5"/>
  <c r="O385" i="5"/>
  <c r="Q385" i="5" s="1"/>
  <c r="P385" i="5"/>
  <c r="O386" i="5"/>
  <c r="Q386" i="5" s="1"/>
  <c r="P386" i="5"/>
  <c r="O387" i="5"/>
  <c r="Q387" i="5" s="1"/>
  <c r="P387" i="5"/>
  <c r="O388" i="5"/>
  <c r="Q388" i="5" s="1"/>
  <c r="P388" i="5"/>
  <c r="O389" i="5"/>
  <c r="P389" i="5"/>
  <c r="Q389" i="5"/>
  <c r="O390" i="5"/>
  <c r="P390" i="5"/>
  <c r="Q390" i="5"/>
  <c r="O391" i="5"/>
  <c r="Q391" i="5" s="1"/>
  <c r="P391" i="5"/>
  <c r="O392" i="5"/>
  <c r="Q392" i="5" s="1"/>
  <c r="P392" i="5"/>
  <c r="O393" i="5"/>
  <c r="P393" i="5"/>
  <c r="Q393" i="5"/>
  <c r="O394" i="5"/>
  <c r="Q394" i="5" s="1"/>
  <c r="P394" i="5"/>
  <c r="O395" i="5"/>
  <c r="Q395" i="5" s="1"/>
  <c r="P395" i="5"/>
  <c r="O396" i="5"/>
  <c r="Q396" i="5" s="1"/>
  <c r="P396" i="5"/>
  <c r="O397" i="5"/>
  <c r="P397" i="5"/>
  <c r="Q397" i="5"/>
  <c r="O398" i="5"/>
  <c r="Q398" i="5" s="1"/>
  <c r="P398" i="5"/>
  <c r="O399" i="5"/>
  <c r="Q399" i="5" s="1"/>
  <c r="P399" i="5"/>
  <c r="O400" i="5"/>
  <c r="P400" i="5"/>
  <c r="Q400" i="5"/>
  <c r="W3" i="7"/>
  <c r="X3" i="7" s="1"/>
  <c r="W4" i="7"/>
  <c r="X4" i="7" s="1"/>
  <c r="W5" i="7"/>
  <c r="X5" i="7" s="1"/>
  <c r="W6" i="7"/>
  <c r="X6" i="7" s="1"/>
  <c r="W7" i="7"/>
  <c r="X7" i="7" s="1"/>
  <c r="W8" i="7"/>
  <c r="X8" i="7" s="1"/>
  <c r="W9" i="7"/>
  <c r="X9" i="7" s="1"/>
  <c r="W10" i="7"/>
  <c r="X10" i="7" s="1"/>
  <c r="W11" i="7"/>
  <c r="X11" i="7" s="1"/>
  <c r="W12" i="7"/>
  <c r="X12" i="7" s="1"/>
  <c r="W13" i="7"/>
  <c r="X13" i="7" s="1"/>
  <c r="W14" i="7"/>
  <c r="X14" i="7" s="1"/>
  <c r="W15" i="7"/>
  <c r="X15" i="7" s="1"/>
  <c r="W16" i="7"/>
  <c r="X16" i="7" s="1"/>
  <c r="W17" i="7"/>
  <c r="X17" i="7" s="1"/>
  <c r="W18" i="7"/>
  <c r="X18" i="7" s="1"/>
  <c r="W19" i="7"/>
  <c r="X19" i="7" s="1"/>
  <c r="W20" i="7"/>
  <c r="X20" i="7" s="1"/>
  <c r="W21" i="7"/>
  <c r="X21" i="7" s="1"/>
  <c r="W22" i="7"/>
  <c r="X22" i="7" s="1"/>
  <c r="W23" i="7"/>
  <c r="X23" i="7" s="1"/>
  <c r="W24" i="7"/>
  <c r="X24" i="7" s="1"/>
  <c r="W25" i="7"/>
  <c r="X25" i="7" s="1"/>
  <c r="W26" i="7"/>
  <c r="X26" i="7" s="1"/>
  <c r="W27" i="7"/>
  <c r="X27" i="7" s="1"/>
  <c r="W28" i="7"/>
  <c r="X28" i="7" s="1"/>
  <c r="W29" i="7"/>
  <c r="X29" i="7" s="1"/>
  <c r="W30" i="7"/>
  <c r="X30" i="7" s="1"/>
  <c r="W31" i="7"/>
  <c r="X31" i="7" s="1"/>
  <c r="W32" i="7"/>
  <c r="X32" i="7" s="1"/>
  <c r="W33" i="7"/>
  <c r="X33" i="7" s="1"/>
  <c r="W34" i="7"/>
  <c r="X34" i="7" s="1"/>
  <c r="W35" i="7"/>
  <c r="X35" i="7" s="1"/>
  <c r="W36" i="7"/>
  <c r="X36" i="7" s="1"/>
  <c r="W37" i="7"/>
  <c r="X37" i="7" s="1"/>
  <c r="W38" i="7"/>
  <c r="X38" i="7" s="1"/>
  <c r="W39" i="7"/>
  <c r="X39" i="7" s="1"/>
  <c r="W40" i="7"/>
  <c r="X40" i="7" s="1"/>
  <c r="W41" i="7"/>
  <c r="X41" i="7" s="1"/>
  <c r="W42" i="7"/>
  <c r="X42" i="7" s="1"/>
  <c r="W43" i="7"/>
  <c r="X43" i="7" s="1"/>
  <c r="W44" i="7"/>
  <c r="X44" i="7" s="1"/>
  <c r="W45" i="7"/>
  <c r="X45" i="7" s="1"/>
  <c r="W46" i="7"/>
  <c r="X46" i="7" s="1"/>
  <c r="W47" i="7"/>
  <c r="X47" i="7" s="1"/>
  <c r="W48" i="7"/>
  <c r="X48" i="7" s="1"/>
  <c r="W49" i="7"/>
  <c r="X49" i="7" s="1"/>
  <c r="W50" i="7"/>
  <c r="X50" i="7" s="1"/>
  <c r="W51" i="7"/>
  <c r="X51" i="7" s="1"/>
  <c r="W52" i="7"/>
  <c r="X52" i="7" s="1"/>
  <c r="W53" i="7"/>
  <c r="X53" i="7" s="1"/>
  <c r="W54" i="7"/>
  <c r="X54" i="7" s="1"/>
  <c r="W55" i="7"/>
  <c r="X55" i="7" s="1"/>
  <c r="W56" i="7"/>
  <c r="X56" i="7" s="1"/>
  <c r="W57" i="7"/>
  <c r="X57" i="7" s="1"/>
  <c r="W58" i="7"/>
  <c r="X58" i="7" s="1"/>
  <c r="W59" i="7"/>
  <c r="X59" i="7" s="1"/>
  <c r="W60" i="7"/>
  <c r="X60" i="7" s="1"/>
  <c r="W61" i="7"/>
  <c r="X61" i="7" s="1"/>
  <c r="W62" i="7"/>
  <c r="X62" i="7" s="1"/>
  <c r="W63" i="7"/>
  <c r="X63" i="7" s="1"/>
  <c r="W64" i="7"/>
  <c r="X64" i="7" s="1"/>
  <c r="W65" i="7"/>
  <c r="X65" i="7" s="1"/>
  <c r="W66" i="7"/>
  <c r="X66" i="7" s="1"/>
  <c r="W67" i="7"/>
  <c r="X67" i="7" s="1"/>
  <c r="W68" i="7"/>
  <c r="X68" i="7" s="1"/>
  <c r="W69" i="7"/>
  <c r="X69" i="7" s="1"/>
  <c r="W70" i="7"/>
  <c r="X70" i="7" s="1"/>
  <c r="W71" i="7"/>
  <c r="X71" i="7" s="1"/>
  <c r="W72" i="7"/>
  <c r="X72" i="7" s="1"/>
  <c r="W73" i="7"/>
  <c r="X73" i="7" s="1"/>
  <c r="W74" i="7"/>
  <c r="X74" i="7" s="1"/>
  <c r="W75" i="7"/>
  <c r="X75" i="7" s="1"/>
  <c r="W76" i="7"/>
  <c r="X76" i="7" s="1"/>
  <c r="W77" i="7"/>
  <c r="X77" i="7" s="1"/>
  <c r="W78" i="7"/>
  <c r="X78" i="7" s="1"/>
  <c r="W79" i="7"/>
  <c r="X79" i="7" s="1"/>
  <c r="W80" i="7"/>
  <c r="X80" i="7" s="1"/>
  <c r="W81" i="7"/>
  <c r="X81" i="7" s="1"/>
  <c r="W82" i="7"/>
  <c r="X82" i="7" s="1"/>
  <c r="W83" i="7"/>
  <c r="X83" i="7" s="1"/>
  <c r="W84" i="7"/>
  <c r="X84" i="7" s="1"/>
  <c r="W85" i="7"/>
  <c r="X85" i="7" s="1"/>
  <c r="W86" i="7"/>
  <c r="X86" i="7" s="1"/>
  <c r="W87" i="7"/>
  <c r="X87" i="7" s="1"/>
  <c r="W88" i="7"/>
  <c r="X88" i="7" s="1"/>
  <c r="W89" i="7"/>
  <c r="X89" i="7" s="1"/>
  <c r="W90" i="7"/>
  <c r="X90" i="7" s="1"/>
  <c r="W91" i="7"/>
  <c r="X91" i="7" s="1"/>
  <c r="W92" i="7"/>
  <c r="X92" i="7" s="1"/>
  <c r="W93" i="7"/>
  <c r="X93" i="7" s="1"/>
  <c r="W94" i="7"/>
  <c r="X94" i="7" s="1"/>
  <c r="W95" i="7"/>
  <c r="X95" i="7" s="1"/>
  <c r="W96" i="7"/>
  <c r="X96" i="7" s="1"/>
  <c r="W97" i="7"/>
  <c r="X97" i="7" s="1"/>
  <c r="W98" i="7"/>
  <c r="X98" i="7" s="1"/>
  <c r="W99" i="7"/>
  <c r="X99" i="7" s="1"/>
  <c r="W100" i="7"/>
  <c r="X100" i="7" s="1"/>
  <c r="W101" i="7"/>
  <c r="X101" i="7" s="1"/>
  <c r="W102" i="7"/>
  <c r="X102" i="7" s="1"/>
  <c r="W103" i="7"/>
  <c r="X103" i="7" s="1"/>
  <c r="W104" i="7"/>
  <c r="X104" i="7" s="1"/>
  <c r="W105" i="7"/>
  <c r="X105" i="7" s="1"/>
  <c r="W106" i="7"/>
  <c r="X106" i="7" s="1"/>
  <c r="W107" i="7"/>
  <c r="X107" i="7" s="1"/>
  <c r="W108" i="7"/>
  <c r="X108" i="7" s="1"/>
  <c r="W109" i="7"/>
  <c r="X109" i="7" s="1"/>
  <c r="W110" i="7"/>
  <c r="X110" i="7" s="1"/>
  <c r="W111" i="7"/>
  <c r="X111" i="7" s="1"/>
  <c r="W112" i="7"/>
  <c r="X112" i="7" s="1"/>
  <c r="W113" i="7"/>
  <c r="X113" i="7" s="1"/>
  <c r="W114" i="7"/>
  <c r="X114" i="7" s="1"/>
  <c r="W115" i="7"/>
  <c r="X115" i="7" s="1"/>
  <c r="W116" i="7"/>
  <c r="X116" i="7" s="1"/>
  <c r="W117" i="7"/>
  <c r="X117" i="7" s="1"/>
  <c r="W118" i="7"/>
  <c r="X118" i="7" s="1"/>
  <c r="W119" i="7"/>
  <c r="X119" i="7" s="1"/>
  <c r="W120" i="7"/>
  <c r="X120" i="7" s="1"/>
  <c r="W121" i="7"/>
  <c r="X121" i="7" s="1"/>
  <c r="W122" i="7"/>
  <c r="X122" i="7" s="1"/>
  <c r="W123" i="7"/>
  <c r="X123" i="7" s="1"/>
  <c r="W124" i="7"/>
  <c r="X124" i="7" s="1"/>
  <c r="W125" i="7"/>
  <c r="X125" i="7" s="1"/>
  <c r="W126" i="7"/>
  <c r="X126" i="7" s="1"/>
  <c r="W127" i="7"/>
  <c r="X127" i="7" s="1"/>
  <c r="W128" i="7"/>
  <c r="X128" i="7" s="1"/>
  <c r="W129" i="7"/>
  <c r="X129" i="7" s="1"/>
  <c r="W130" i="7"/>
  <c r="X130" i="7" s="1"/>
  <c r="W131" i="7"/>
  <c r="X131" i="7" s="1"/>
  <c r="W132" i="7"/>
  <c r="X132" i="7" s="1"/>
  <c r="W133" i="7"/>
  <c r="X133" i="7" s="1"/>
  <c r="W134" i="7"/>
  <c r="X134" i="7" s="1"/>
  <c r="W135" i="7"/>
  <c r="X135" i="7" s="1"/>
  <c r="W136" i="7"/>
  <c r="X136" i="7" s="1"/>
  <c r="W137" i="7"/>
  <c r="X137" i="7" s="1"/>
  <c r="W138" i="7"/>
  <c r="X138" i="7" s="1"/>
  <c r="W139" i="7"/>
  <c r="X139" i="7" s="1"/>
  <c r="W140" i="7"/>
  <c r="X140" i="7" s="1"/>
  <c r="W141" i="7"/>
  <c r="X141" i="7" s="1"/>
  <c r="W142" i="7"/>
  <c r="X142" i="7" s="1"/>
  <c r="W143" i="7"/>
  <c r="X143" i="7" s="1"/>
  <c r="W144" i="7"/>
  <c r="X144" i="7" s="1"/>
  <c r="W145" i="7"/>
  <c r="X145" i="7" s="1"/>
  <c r="W146" i="7"/>
  <c r="X146" i="7" s="1"/>
  <c r="W147" i="7"/>
  <c r="X147" i="7" s="1"/>
  <c r="W148" i="7"/>
  <c r="X148" i="7" s="1"/>
  <c r="W149" i="7"/>
  <c r="X149" i="7" s="1"/>
  <c r="W150" i="7"/>
  <c r="X150" i="7" s="1"/>
  <c r="W151" i="7"/>
  <c r="X151" i="7" s="1"/>
  <c r="W152" i="7"/>
  <c r="X152" i="7" s="1"/>
  <c r="W153" i="7"/>
  <c r="X153" i="7" s="1"/>
  <c r="W154" i="7"/>
  <c r="X154" i="7" s="1"/>
  <c r="W155" i="7"/>
  <c r="X155" i="7" s="1"/>
  <c r="W156" i="7"/>
  <c r="X156" i="7" s="1"/>
  <c r="W157" i="7"/>
  <c r="X157" i="7" s="1"/>
  <c r="W158" i="7"/>
  <c r="X158" i="7" s="1"/>
  <c r="W159" i="7"/>
  <c r="X159" i="7" s="1"/>
  <c r="W160" i="7"/>
  <c r="X160" i="7" s="1"/>
  <c r="W161" i="7"/>
  <c r="X161" i="7" s="1"/>
  <c r="W162" i="7"/>
  <c r="X162" i="7" s="1"/>
  <c r="W163" i="7"/>
  <c r="X163" i="7" s="1"/>
  <c r="W164" i="7"/>
  <c r="X164" i="7" s="1"/>
  <c r="W165" i="7"/>
  <c r="X165" i="7" s="1"/>
  <c r="W166" i="7"/>
  <c r="X166" i="7" s="1"/>
  <c r="W167" i="7"/>
  <c r="X167" i="7" s="1"/>
  <c r="W168" i="7"/>
  <c r="X168" i="7" s="1"/>
  <c r="W169" i="7"/>
  <c r="X169" i="7" s="1"/>
  <c r="W170" i="7"/>
  <c r="X170" i="7" s="1"/>
  <c r="W171" i="7"/>
  <c r="X171" i="7" s="1"/>
  <c r="W172" i="7"/>
  <c r="X172" i="7" s="1"/>
  <c r="W173" i="7"/>
  <c r="X173" i="7" s="1"/>
  <c r="W174" i="7"/>
  <c r="X174" i="7" s="1"/>
  <c r="W175" i="7"/>
  <c r="X175" i="7" s="1"/>
  <c r="W176" i="7"/>
  <c r="X176" i="7" s="1"/>
  <c r="W177" i="7"/>
  <c r="X177" i="7" s="1"/>
  <c r="W178" i="7"/>
  <c r="X178" i="7" s="1"/>
  <c r="W179" i="7"/>
  <c r="X179" i="7" s="1"/>
  <c r="W180" i="7"/>
  <c r="X180" i="7" s="1"/>
  <c r="W181" i="7"/>
  <c r="X181" i="7" s="1"/>
  <c r="W182" i="7"/>
  <c r="X182" i="7" s="1"/>
  <c r="W183" i="7"/>
  <c r="X183" i="7" s="1"/>
  <c r="W184" i="7"/>
  <c r="X184" i="7" s="1"/>
  <c r="W185" i="7"/>
  <c r="X185" i="7" s="1"/>
  <c r="W186" i="7"/>
  <c r="X186" i="7" s="1"/>
  <c r="W187" i="7"/>
  <c r="X187" i="7" s="1"/>
  <c r="W188" i="7"/>
  <c r="X188" i="7" s="1"/>
  <c r="W189" i="7"/>
  <c r="X189" i="7" s="1"/>
  <c r="W190" i="7"/>
  <c r="X190" i="7" s="1"/>
  <c r="W191" i="7"/>
  <c r="X191" i="7" s="1"/>
  <c r="W192" i="7"/>
  <c r="X192" i="7" s="1"/>
  <c r="W193" i="7"/>
  <c r="X193" i="7" s="1"/>
  <c r="W194" i="7"/>
  <c r="X194" i="7" s="1"/>
  <c r="W195" i="7"/>
  <c r="X195" i="7" s="1"/>
  <c r="W196" i="7"/>
  <c r="X196" i="7" s="1"/>
  <c r="W197" i="7"/>
  <c r="X197" i="7" s="1"/>
  <c r="W198" i="7"/>
  <c r="X198" i="7" s="1"/>
  <c r="W199" i="7"/>
  <c r="X199" i="7" s="1"/>
  <c r="W200" i="7"/>
  <c r="X200" i="7" s="1"/>
  <c r="W201" i="7"/>
  <c r="X201" i="7" s="1"/>
  <c r="W202" i="7"/>
  <c r="X202" i="7" s="1"/>
  <c r="W203" i="7"/>
  <c r="X203" i="7" s="1"/>
  <c r="W204" i="7"/>
  <c r="X204" i="7" s="1"/>
  <c r="W205" i="7"/>
  <c r="X205" i="7" s="1"/>
  <c r="W206" i="7"/>
  <c r="X206" i="7" s="1"/>
  <c r="W207" i="7"/>
  <c r="X207" i="7" s="1"/>
  <c r="W208" i="7"/>
  <c r="X208" i="7" s="1"/>
  <c r="W209" i="7"/>
  <c r="X209" i="7" s="1"/>
  <c r="W210" i="7"/>
  <c r="X210" i="7" s="1"/>
  <c r="W211" i="7"/>
  <c r="X211" i="7" s="1"/>
  <c r="W212" i="7"/>
  <c r="X212" i="7" s="1"/>
  <c r="W213" i="7"/>
  <c r="X213" i="7" s="1"/>
  <c r="W214" i="7"/>
  <c r="X214" i="7" s="1"/>
  <c r="W215" i="7"/>
  <c r="X215" i="7" s="1"/>
  <c r="W216" i="7"/>
  <c r="X216" i="7" s="1"/>
  <c r="W217" i="7"/>
  <c r="X217" i="7" s="1"/>
  <c r="W218" i="7"/>
  <c r="X218" i="7" s="1"/>
  <c r="W219" i="7"/>
  <c r="X219" i="7" s="1"/>
  <c r="W220" i="7"/>
  <c r="X220" i="7" s="1"/>
  <c r="W221" i="7"/>
  <c r="X221" i="7" s="1"/>
  <c r="W222" i="7"/>
  <c r="X222" i="7" s="1"/>
  <c r="W223" i="7"/>
  <c r="X223" i="7" s="1"/>
  <c r="W224" i="7"/>
  <c r="X224" i="7" s="1"/>
  <c r="W225" i="7"/>
  <c r="X225" i="7" s="1"/>
  <c r="W226" i="7"/>
  <c r="X226" i="7" s="1"/>
  <c r="W227" i="7"/>
  <c r="X227" i="7" s="1"/>
  <c r="W228" i="7"/>
  <c r="X228" i="7" s="1"/>
  <c r="W229" i="7"/>
  <c r="X229" i="7" s="1"/>
  <c r="W230" i="7"/>
  <c r="X230" i="7" s="1"/>
  <c r="W231" i="7"/>
  <c r="X231" i="7" s="1"/>
  <c r="W232" i="7"/>
  <c r="X232" i="7" s="1"/>
  <c r="W233" i="7"/>
  <c r="X233" i="7" s="1"/>
  <c r="W234" i="7"/>
  <c r="X234" i="7" s="1"/>
  <c r="W235" i="7"/>
  <c r="X235" i="7" s="1"/>
  <c r="W236" i="7"/>
  <c r="X236" i="7" s="1"/>
  <c r="W237" i="7"/>
  <c r="X237" i="7" s="1"/>
  <c r="W238" i="7"/>
  <c r="X238" i="7" s="1"/>
  <c r="W239" i="7"/>
  <c r="X239" i="7" s="1"/>
  <c r="W240" i="7"/>
  <c r="X240" i="7" s="1"/>
  <c r="W241" i="7"/>
  <c r="X241" i="7" s="1"/>
  <c r="W242" i="7"/>
  <c r="X242" i="7" s="1"/>
  <c r="W243" i="7"/>
  <c r="X243" i="7" s="1"/>
  <c r="W244" i="7"/>
  <c r="X244" i="7" s="1"/>
  <c r="W245" i="7"/>
  <c r="X245" i="7" s="1"/>
  <c r="W246" i="7"/>
  <c r="X246" i="7" s="1"/>
  <c r="W247" i="7"/>
  <c r="X247" i="7" s="1"/>
  <c r="W2" i="7"/>
  <c r="X2" i="7" s="1"/>
  <c r="O198" i="3"/>
  <c r="P198" i="3" s="1"/>
  <c r="O199" i="3"/>
  <c r="P199" i="3" s="1"/>
  <c r="O200" i="3"/>
  <c r="P200" i="3" s="1"/>
  <c r="O201" i="3"/>
  <c r="P201" i="3" s="1"/>
  <c r="O202" i="3"/>
  <c r="P202" i="3" s="1"/>
  <c r="O203" i="3"/>
  <c r="P203" i="3" s="1"/>
  <c r="O204" i="3"/>
  <c r="P204" i="3" s="1"/>
  <c r="O205" i="3"/>
  <c r="P205" i="3" s="1"/>
  <c r="O206" i="3"/>
  <c r="P206" i="3" s="1"/>
  <c r="O207" i="3"/>
  <c r="P207" i="3" s="1"/>
  <c r="O208" i="3"/>
  <c r="P208" i="3" s="1"/>
  <c r="O209" i="3"/>
  <c r="P209" i="3" s="1"/>
  <c r="O210" i="3"/>
  <c r="P210" i="3" s="1"/>
  <c r="O211" i="3"/>
  <c r="P211" i="3" s="1"/>
  <c r="O212" i="3"/>
  <c r="P212" i="3" s="1"/>
  <c r="O213" i="3"/>
  <c r="P213" i="3" s="1"/>
  <c r="O214" i="3"/>
  <c r="P214" i="3" s="1"/>
  <c r="O215" i="3"/>
  <c r="P215" i="3" s="1"/>
  <c r="O216" i="3"/>
  <c r="P216" i="3" s="1"/>
  <c r="O217" i="3"/>
  <c r="P217" i="3" s="1"/>
  <c r="O218" i="3"/>
  <c r="P218" i="3" s="1"/>
  <c r="O219" i="3"/>
  <c r="P219" i="3" s="1"/>
  <c r="O220" i="3"/>
  <c r="P220" i="3" s="1"/>
  <c r="O221" i="3"/>
  <c r="P221" i="3" s="1"/>
  <c r="O222" i="3"/>
  <c r="P222" i="3" s="1"/>
  <c r="O223" i="3"/>
  <c r="P223" i="3" s="1"/>
  <c r="O224" i="3"/>
  <c r="P224" i="3" s="1"/>
  <c r="O225" i="3"/>
  <c r="P225" i="3" s="1"/>
  <c r="O226" i="3"/>
  <c r="P226" i="3" s="1"/>
  <c r="O227" i="3"/>
  <c r="P227" i="3" s="1"/>
  <c r="O228" i="3"/>
  <c r="P228" i="3" s="1"/>
  <c r="O229" i="3"/>
  <c r="P229" i="3" s="1"/>
  <c r="O230" i="3"/>
  <c r="P230" i="3" s="1"/>
  <c r="O231" i="3"/>
  <c r="P231" i="3" s="1"/>
  <c r="O232" i="3"/>
  <c r="P232" i="3" s="1"/>
  <c r="O233" i="3"/>
  <c r="P233" i="3" s="1"/>
  <c r="O234" i="3"/>
  <c r="P234" i="3" s="1"/>
  <c r="O235" i="3"/>
  <c r="P235" i="3" s="1"/>
  <c r="O236" i="3"/>
  <c r="P236" i="3" s="1"/>
  <c r="O237" i="3"/>
  <c r="P237" i="3" s="1"/>
  <c r="O238" i="3"/>
  <c r="P238" i="3" s="1"/>
  <c r="O239" i="3"/>
  <c r="P239" i="3" s="1"/>
  <c r="O240" i="3"/>
  <c r="P240" i="3" s="1"/>
  <c r="O241" i="3"/>
  <c r="P241" i="3" s="1"/>
  <c r="O242" i="3"/>
  <c r="P242" i="3" s="1"/>
  <c r="O243" i="3"/>
  <c r="P243" i="3" s="1"/>
  <c r="O244" i="3"/>
  <c r="P244" i="3" s="1"/>
  <c r="O245" i="3"/>
  <c r="P245" i="3" s="1"/>
  <c r="O246" i="3"/>
  <c r="P246" i="3" s="1"/>
  <c r="O247" i="3"/>
  <c r="P247" i="3" s="1"/>
  <c r="O197" i="3"/>
  <c r="P197" i="3" s="1"/>
  <c r="O196" i="3"/>
  <c r="P196" i="3" s="1"/>
  <c r="O195" i="3"/>
  <c r="P195" i="3" s="1"/>
  <c r="O194" i="3"/>
  <c r="P194" i="3" s="1"/>
  <c r="O193" i="3"/>
  <c r="P193" i="3" s="1"/>
  <c r="O192" i="3"/>
  <c r="P192" i="3" s="1"/>
  <c r="O191" i="3"/>
  <c r="P191" i="3" s="1"/>
  <c r="Q4" i="5"/>
  <c r="Q8" i="5"/>
  <c r="Q10" i="5"/>
  <c r="Q12" i="5"/>
  <c r="Q16" i="5"/>
  <c r="Q18" i="5"/>
  <c r="Q20" i="5"/>
  <c r="Q24" i="5"/>
  <c r="Q26" i="5"/>
  <c r="Q28" i="5"/>
  <c r="Q32" i="5"/>
  <c r="Q34" i="5"/>
  <c r="Q36" i="5"/>
  <c r="Q40" i="5"/>
  <c r="Q42" i="5"/>
  <c r="Q44" i="5"/>
  <c r="Q48" i="5"/>
  <c r="Q50" i="5"/>
  <c r="Q52" i="5"/>
  <c r="Q56" i="5"/>
  <c r="Q58" i="5"/>
  <c r="Q60" i="5"/>
  <c r="Q64" i="5"/>
  <c r="Q66" i="5"/>
  <c r="Q68" i="5"/>
  <c r="Q72" i="5"/>
  <c r="Q74" i="5"/>
  <c r="Q76" i="5"/>
  <c r="Q80" i="5"/>
  <c r="Q82" i="5"/>
  <c r="Q84" i="5"/>
  <c r="Q88" i="5"/>
  <c r="Q90" i="5"/>
  <c r="Q92" i="5"/>
  <c r="Q96" i="5"/>
  <c r="Q98" i="5"/>
  <c r="Q100" i="5"/>
  <c r="Q104" i="5"/>
  <c r="Q106" i="5"/>
  <c r="Q108" i="5"/>
  <c r="Q112" i="5"/>
  <c r="Q114" i="5"/>
  <c r="Q116" i="5"/>
  <c r="Q120" i="5"/>
  <c r="Q122" i="5"/>
  <c r="Q124" i="5"/>
  <c r="Q128" i="5"/>
  <c r="Q130" i="5"/>
  <c r="Q132" i="5"/>
  <c r="Q136" i="5"/>
  <c r="Q138" i="5"/>
  <c r="Q140" i="5"/>
  <c r="Q144" i="5"/>
  <c r="Q146" i="5"/>
  <c r="Q148" i="5"/>
  <c r="Q152" i="5"/>
  <c r="Q154" i="5"/>
  <c r="Q156" i="5"/>
  <c r="Q160" i="5"/>
  <c r="Q162" i="5"/>
  <c r="Q164" i="5"/>
  <c r="Q168" i="5"/>
  <c r="Q170" i="5"/>
  <c r="Q172" i="5"/>
  <c r="Q176" i="5"/>
  <c r="Q178" i="5"/>
  <c r="Q180" i="5"/>
  <c r="Q184" i="5"/>
  <c r="Q186" i="5"/>
  <c r="Q188" i="5"/>
  <c r="Q192" i="5"/>
  <c r="Q194" i="5"/>
  <c r="Q196" i="5"/>
  <c r="Q200" i="5"/>
  <c r="Q202" i="5"/>
  <c r="Q204" i="5"/>
  <c r="Q208" i="5"/>
  <c r="Q210" i="5"/>
  <c r="Q212" i="5"/>
  <c r="Q216" i="5"/>
  <c r="Q218" i="5"/>
  <c r="Q220" i="5"/>
  <c r="Q224" i="5"/>
  <c r="Q226" i="5"/>
  <c r="Q228" i="5"/>
  <c r="Q232" i="5"/>
  <c r="Q234" i="5"/>
  <c r="Q236" i="5"/>
  <c r="Q240" i="5"/>
  <c r="Q242" i="5"/>
  <c r="Q244" i="5"/>
  <c r="Q248" i="5"/>
  <c r="Q250" i="5"/>
  <c r="Q252" i="5"/>
  <c r="Q256" i="5"/>
  <c r="Q258" i="5"/>
  <c r="Q260" i="5"/>
  <c r="Q264" i="5"/>
  <c r="Q266" i="5"/>
  <c r="Q268" i="5"/>
  <c r="Q272" i="5"/>
  <c r="Q274" i="5"/>
  <c r="Q276" i="5"/>
  <c r="Q280" i="5"/>
  <c r="Q282" i="5"/>
  <c r="Q284" i="5"/>
  <c r="Q288" i="5"/>
  <c r="Q290" i="5"/>
  <c r="Q292" i="5"/>
  <c r="Q296" i="5"/>
  <c r="Q298" i="5"/>
  <c r="Q300" i="5"/>
  <c r="Q304" i="5"/>
  <c r="Q306" i="5"/>
  <c r="Q308" i="5"/>
  <c r="Q312" i="5"/>
  <c r="Q314" i="5"/>
  <c r="Q316" i="5"/>
  <c r="Q320" i="5"/>
  <c r="Q322" i="5"/>
  <c r="Q324" i="5"/>
  <c r="Q328" i="5"/>
  <c r="Q330" i="5"/>
  <c r="Q332" i="5"/>
  <c r="Q336" i="5"/>
  <c r="Q338" i="5"/>
  <c r="Q340" i="5"/>
  <c r="Q344" i="5"/>
  <c r="Q346" i="5"/>
  <c r="Q348" i="5"/>
  <c r="Q352" i="5"/>
  <c r="Q354" i="5"/>
  <c r="Q356" i="5"/>
  <c r="Q360" i="5"/>
  <c r="Q362" i="5"/>
  <c r="Q364" i="5"/>
  <c r="Q368" i="5"/>
  <c r="Q370" i="5"/>
  <c r="Q372" i="5"/>
  <c r="Q376" i="5"/>
  <c r="Q378" i="5"/>
  <c r="Q380" i="5"/>
  <c r="Q384" i="5"/>
  <c r="F2" i="5"/>
  <c r="O3" i="5"/>
  <c r="Q3" i="5" s="1"/>
  <c r="P3" i="5"/>
  <c r="O4" i="5"/>
  <c r="P4" i="5"/>
  <c r="O5" i="5"/>
  <c r="Q5" i="5" s="1"/>
  <c r="P5" i="5"/>
  <c r="O6" i="5"/>
  <c r="Q6" i="5" s="1"/>
  <c r="P6" i="5"/>
  <c r="O7" i="5"/>
  <c r="Q7" i="5" s="1"/>
  <c r="P7" i="5"/>
  <c r="O8" i="5"/>
  <c r="P8" i="5"/>
  <c r="O9" i="5"/>
  <c r="Q9" i="5" s="1"/>
  <c r="P9" i="5"/>
  <c r="O10" i="5"/>
  <c r="P10" i="5"/>
  <c r="O11" i="5"/>
  <c r="Q11" i="5" s="1"/>
  <c r="P11" i="5"/>
  <c r="O12" i="5"/>
  <c r="P12" i="5"/>
  <c r="O13" i="5"/>
  <c r="Q13" i="5" s="1"/>
  <c r="P13" i="5"/>
  <c r="O14" i="5"/>
  <c r="Q14" i="5" s="1"/>
  <c r="P14" i="5"/>
  <c r="O15" i="5"/>
  <c r="Q15" i="5" s="1"/>
  <c r="P15" i="5"/>
  <c r="O16" i="5"/>
  <c r="P16" i="5"/>
  <c r="O17" i="5"/>
  <c r="Q17" i="5" s="1"/>
  <c r="P17" i="5"/>
  <c r="O18" i="5"/>
  <c r="P18" i="5"/>
  <c r="O19" i="5"/>
  <c r="Q19" i="5" s="1"/>
  <c r="P19" i="5"/>
  <c r="O20" i="5"/>
  <c r="P20" i="5"/>
  <c r="O21" i="5"/>
  <c r="Q21" i="5" s="1"/>
  <c r="P21" i="5"/>
  <c r="O22" i="5"/>
  <c r="Q22" i="5" s="1"/>
  <c r="P22" i="5"/>
  <c r="O23" i="5"/>
  <c r="Q23" i="5" s="1"/>
  <c r="P23" i="5"/>
  <c r="O24" i="5"/>
  <c r="P24" i="5"/>
  <c r="O25" i="5"/>
  <c r="Q25" i="5" s="1"/>
  <c r="P25" i="5"/>
  <c r="O26" i="5"/>
  <c r="P26" i="5"/>
  <c r="O27" i="5"/>
  <c r="Q27" i="5" s="1"/>
  <c r="P27" i="5"/>
  <c r="O28" i="5"/>
  <c r="P28" i="5"/>
  <c r="O29" i="5"/>
  <c r="Q29" i="5" s="1"/>
  <c r="P29" i="5"/>
  <c r="O30" i="5"/>
  <c r="Q30" i="5" s="1"/>
  <c r="P30" i="5"/>
  <c r="O31" i="5"/>
  <c r="Q31" i="5" s="1"/>
  <c r="P31" i="5"/>
  <c r="O32" i="5"/>
  <c r="P32" i="5"/>
  <c r="O33" i="5"/>
  <c r="Q33" i="5" s="1"/>
  <c r="P33" i="5"/>
  <c r="O34" i="5"/>
  <c r="P34" i="5"/>
  <c r="O35" i="5"/>
  <c r="Q35" i="5" s="1"/>
  <c r="P35" i="5"/>
  <c r="O36" i="5"/>
  <c r="P36" i="5"/>
  <c r="O37" i="5"/>
  <c r="Q37" i="5" s="1"/>
  <c r="P37" i="5"/>
  <c r="O38" i="5"/>
  <c r="Q38" i="5" s="1"/>
  <c r="P38" i="5"/>
  <c r="O39" i="5"/>
  <c r="Q39" i="5" s="1"/>
  <c r="P39" i="5"/>
  <c r="O40" i="5"/>
  <c r="P40" i="5"/>
  <c r="O41" i="5"/>
  <c r="Q41" i="5" s="1"/>
  <c r="P41" i="5"/>
  <c r="O42" i="5"/>
  <c r="P42" i="5"/>
  <c r="O43" i="5"/>
  <c r="Q43" i="5" s="1"/>
  <c r="P43" i="5"/>
  <c r="O44" i="5"/>
  <c r="P44" i="5"/>
  <c r="O45" i="5"/>
  <c r="Q45" i="5" s="1"/>
  <c r="P45" i="5"/>
  <c r="O46" i="5"/>
  <c r="Q46" i="5" s="1"/>
  <c r="P46" i="5"/>
  <c r="O47" i="5"/>
  <c r="Q47" i="5" s="1"/>
  <c r="P47" i="5"/>
  <c r="O48" i="5"/>
  <c r="P48" i="5"/>
  <c r="O49" i="5"/>
  <c r="Q49" i="5" s="1"/>
  <c r="P49" i="5"/>
  <c r="O50" i="5"/>
  <c r="P50" i="5"/>
  <c r="O51" i="5"/>
  <c r="Q51" i="5" s="1"/>
  <c r="P51" i="5"/>
  <c r="O52" i="5"/>
  <c r="P52" i="5"/>
  <c r="O53" i="5"/>
  <c r="Q53" i="5" s="1"/>
  <c r="P53" i="5"/>
  <c r="O54" i="5"/>
  <c r="Q54" i="5" s="1"/>
  <c r="P54" i="5"/>
  <c r="O55" i="5"/>
  <c r="Q55" i="5" s="1"/>
  <c r="P55" i="5"/>
  <c r="O56" i="5"/>
  <c r="P56" i="5"/>
  <c r="O57" i="5"/>
  <c r="Q57" i="5" s="1"/>
  <c r="P57" i="5"/>
  <c r="O58" i="5"/>
  <c r="P58" i="5"/>
  <c r="O59" i="5"/>
  <c r="Q59" i="5" s="1"/>
  <c r="P59" i="5"/>
  <c r="O60" i="5"/>
  <c r="P60" i="5"/>
  <c r="O61" i="5"/>
  <c r="Q61" i="5" s="1"/>
  <c r="P61" i="5"/>
  <c r="O62" i="5"/>
  <c r="Q62" i="5" s="1"/>
  <c r="P62" i="5"/>
  <c r="O63" i="5"/>
  <c r="Q63" i="5" s="1"/>
  <c r="P63" i="5"/>
  <c r="O64" i="5"/>
  <c r="P64" i="5"/>
  <c r="O65" i="5"/>
  <c r="Q65" i="5" s="1"/>
  <c r="P65" i="5"/>
  <c r="O66" i="5"/>
  <c r="P66" i="5"/>
  <c r="O67" i="5"/>
  <c r="Q67" i="5" s="1"/>
  <c r="P67" i="5"/>
  <c r="O68" i="5"/>
  <c r="P68" i="5"/>
  <c r="O69" i="5"/>
  <c r="Q69" i="5" s="1"/>
  <c r="P69" i="5"/>
  <c r="O70" i="5"/>
  <c r="Q70" i="5" s="1"/>
  <c r="P70" i="5"/>
  <c r="O71" i="5"/>
  <c r="Q71" i="5" s="1"/>
  <c r="P71" i="5"/>
  <c r="O72" i="5"/>
  <c r="P72" i="5"/>
  <c r="O73" i="5"/>
  <c r="Q73" i="5" s="1"/>
  <c r="P73" i="5"/>
  <c r="O74" i="5"/>
  <c r="P74" i="5"/>
  <c r="O75" i="5"/>
  <c r="Q75" i="5" s="1"/>
  <c r="P75" i="5"/>
  <c r="O76" i="5"/>
  <c r="P76" i="5"/>
  <c r="O77" i="5"/>
  <c r="Q77" i="5" s="1"/>
  <c r="P77" i="5"/>
  <c r="O78" i="5"/>
  <c r="Q78" i="5" s="1"/>
  <c r="P78" i="5"/>
  <c r="O79" i="5"/>
  <c r="Q79" i="5" s="1"/>
  <c r="P79" i="5"/>
  <c r="O80" i="5"/>
  <c r="P80" i="5"/>
  <c r="O81" i="5"/>
  <c r="Q81" i="5" s="1"/>
  <c r="P81" i="5"/>
  <c r="O82" i="5"/>
  <c r="P82" i="5"/>
  <c r="O83" i="5"/>
  <c r="Q83" i="5" s="1"/>
  <c r="P83" i="5"/>
  <c r="O84" i="5"/>
  <c r="P84" i="5"/>
  <c r="O85" i="5"/>
  <c r="Q85" i="5" s="1"/>
  <c r="P85" i="5"/>
  <c r="O86" i="5"/>
  <c r="Q86" i="5" s="1"/>
  <c r="P86" i="5"/>
  <c r="O87" i="5"/>
  <c r="Q87" i="5" s="1"/>
  <c r="P87" i="5"/>
  <c r="O88" i="5"/>
  <c r="P88" i="5"/>
  <c r="O89" i="5"/>
  <c r="Q89" i="5" s="1"/>
  <c r="P89" i="5"/>
  <c r="O90" i="5"/>
  <c r="P90" i="5"/>
  <c r="O91" i="5"/>
  <c r="Q91" i="5" s="1"/>
  <c r="P91" i="5"/>
  <c r="O92" i="5"/>
  <c r="P92" i="5"/>
  <c r="O93" i="5"/>
  <c r="Q93" i="5" s="1"/>
  <c r="P93" i="5"/>
  <c r="O94" i="5"/>
  <c r="Q94" i="5" s="1"/>
  <c r="P94" i="5"/>
  <c r="O95" i="5"/>
  <c r="Q95" i="5" s="1"/>
  <c r="P95" i="5"/>
  <c r="O96" i="5"/>
  <c r="P96" i="5"/>
  <c r="O97" i="5"/>
  <c r="Q97" i="5" s="1"/>
  <c r="P97" i="5"/>
  <c r="O98" i="5"/>
  <c r="P98" i="5"/>
  <c r="O99" i="5"/>
  <c r="Q99" i="5" s="1"/>
  <c r="P99" i="5"/>
  <c r="O100" i="5"/>
  <c r="P100" i="5"/>
  <c r="O101" i="5"/>
  <c r="Q101" i="5" s="1"/>
  <c r="P101" i="5"/>
  <c r="O102" i="5"/>
  <c r="Q102" i="5" s="1"/>
  <c r="P102" i="5"/>
  <c r="O103" i="5"/>
  <c r="Q103" i="5" s="1"/>
  <c r="P103" i="5"/>
  <c r="O104" i="5"/>
  <c r="P104" i="5"/>
  <c r="O105" i="5"/>
  <c r="Q105" i="5" s="1"/>
  <c r="P105" i="5"/>
  <c r="O106" i="5"/>
  <c r="P106" i="5"/>
  <c r="O107" i="5"/>
  <c r="Q107" i="5" s="1"/>
  <c r="P107" i="5"/>
  <c r="O108" i="5"/>
  <c r="P108" i="5"/>
  <c r="O109" i="5"/>
  <c r="Q109" i="5" s="1"/>
  <c r="P109" i="5"/>
  <c r="O110" i="5"/>
  <c r="Q110" i="5" s="1"/>
  <c r="P110" i="5"/>
  <c r="O111" i="5"/>
  <c r="Q111" i="5" s="1"/>
  <c r="P111" i="5"/>
  <c r="O112" i="5"/>
  <c r="P112" i="5"/>
  <c r="O113" i="5"/>
  <c r="Q113" i="5" s="1"/>
  <c r="P113" i="5"/>
  <c r="O114" i="5"/>
  <c r="P114" i="5"/>
  <c r="O115" i="5"/>
  <c r="Q115" i="5" s="1"/>
  <c r="P115" i="5"/>
  <c r="O116" i="5"/>
  <c r="P116" i="5"/>
  <c r="O117" i="5"/>
  <c r="Q117" i="5" s="1"/>
  <c r="P117" i="5"/>
  <c r="O118" i="5"/>
  <c r="Q118" i="5" s="1"/>
  <c r="P118" i="5"/>
  <c r="O119" i="5"/>
  <c r="Q119" i="5" s="1"/>
  <c r="P119" i="5"/>
  <c r="O120" i="5"/>
  <c r="P120" i="5"/>
  <c r="O121" i="5"/>
  <c r="Q121" i="5" s="1"/>
  <c r="P121" i="5"/>
  <c r="O122" i="5"/>
  <c r="P122" i="5"/>
  <c r="O123" i="5"/>
  <c r="Q123" i="5" s="1"/>
  <c r="P123" i="5"/>
  <c r="O124" i="5"/>
  <c r="P124" i="5"/>
  <c r="O125" i="5"/>
  <c r="Q125" i="5" s="1"/>
  <c r="P125" i="5"/>
  <c r="O126" i="5"/>
  <c r="Q126" i="5" s="1"/>
  <c r="P126" i="5"/>
  <c r="O127" i="5"/>
  <c r="Q127" i="5" s="1"/>
  <c r="P127" i="5"/>
  <c r="O128" i="5"/>
  <c r="P128" i="5"/>
  <c r="O129" i="5"/>
  <c r="Q129" i="5" s="1"/>
  <c r="P129" i="5"/>
  <c r="O130" i="5"/>
  <c r="P130" i="5"/>
  <c r="O131" i="5"/>
  <c r="Q131" i="5" s="1"/>
  <c r="P131" i="5"/>
  <c r="O132" i="5"/>
  <c r="P132" i="5"/>
  <c r="O133" i="5"/>
  <c r="Q133" i="5" s="1"/>
  <c r="P133" i="5"/>
  <c r="O134" i="5"/>
  <c r="Q134" i="5" s="1"/>
  <c r="P134" i="5"/>
  <c r="O135" i="5"/>
  <c r="Q135" i="5" s="1"/>
  <c r="P135" i="5"/>
  <c r="O136" i="5"/>
  <c r="P136" i="5"/>
  <c r="O137" i="5"/>
  <c r="Q137" i="5" s="1"/>
  <c r="P137" i="5"/>
  <c r="O138" i="5"/>
  <c r="P138" i="5"/>
  <c r="O139" i="5"/>
  <c r="Q139" i="5" s="1"/>
  <c r="P139" i="5"/>
  <c r="O140" i="5"/>
  <c r="P140" i="5"/>
  <c r="O141" i="5"/>
  <c r="Q141" i="5" s="1"/>
  <c r="P141" i="5"/>
  <c r="O142" i="5"/>
  <c r="Q142" i="5" s="1"/>
  <c r="P142" i="5"/>
  <c r="O143" i="5"/>
  <c r="Q143" i="5" s="1"/>
  <c r="P143" i="5"/>
  <c r="O144" i="5"/>
  <c r="P144" i="5"/>
  <c r="O145" i="5"/>
  <c r="Q145" i="5" s="1"/>
  <c r="P145" i="5"/>
  <c r="O146" i="5"/>
  <c r="P146" i="5"/>
  <c r="O147" i="5"/>
  <c r="Q147" i="5" s="1"/>
  <c r="P147" i="5"/>
  <c r="O148" i="5"/>
  <c r="P148" i="5"/>
  <c r="O149" i="5"/>
  <c r="Q149" i="5" s="1"/>
  <c r="P149" i="5"/>
  <c r="O150" i="5"/>
  <c r="Q150" i="5" s="1"/>
  <c r="P150" i="5"/>
  <c r="O151" i="5"/>
  <c r="Q151" i="5" s="1"/>
  <c r="P151" i="5"/>
  <c r="O152" i="5"/>
  <c r="P152" i="5"/>
  <c r="O153" i="5"/>
  <c r="Q153" i="5" s="1"/>
  <c r="P153" i="5"/>
  <c r="O154" i="5"/>
  <c r="P154" i="5"/>
  <c r="O155" i="5"/>
  <c r="Q155" i="5" s="1"/>
  <c r="P155" i="5"/>
  <c r="O156" i="5"/>
  <c r="P156" i="5"/>
  <c r="O157" i="5"/>
  <c r="Q157" i="5" s="1"/>
  <c r="P157" i="5"/>
  <c r="O158" i="5"/>
  <c r="Q158" i="5" s="1"/>
  <c r="P158" i="5"/>
  <c r="O159" i="5"/>
  <c r="Q159" i="5" s="1"/>
  <c r="P159" i="5"/>
  <c r="O160" i="5"/>
  <c r="P160" i="5"/>
  <c r="O161" i="5"/>
  <c r="Q161" i="5" s="1"/>
  <c r="P161" i="5"/>
  <c r="O162" i="5"/>
  <c r="P162" i="5"/>
  <c r="O163" i="5"/>
  <c r="Q163" i="5" s="1"/>
  <c r="P163" i="5"/>
  <c r="O164" i="5"/>
  <c r="P164" i="5"/>
  <c r="O165" i="5"/>
  <c r="Q165" i="5" s="1"/>
  <c r="P165" i="5"/>
  <c r="O166" i="5"/>
  <c r="Q166" i="5" s="1"/>
  <c r="P166" i="5"/>
  <c r="O167" i="5"/>
  <c r="Q167" i="5" s="1"/>
  <c r="P167" i="5"/>
  <c r="O168" i="5"/>
  <c r="P168" i="5"/>
  <c r="O169" i="5"/>
  <c r="Q169" i="5" s="1"/>
  <c r="P169" i="5"/>
  <c r="O170" i="5"/>
  <c r="P170" i="5"/>
  <c r="O171" i="5"/>
  <c r="Q171" i="5" s="1"/>
  <c r="P171" i="5"/>
  <c r="O172" i="5"/>
  <c r="P172" i="5"/>
  <c r="O173" i="5"/>
  <c r="Q173" i="5" s="1"/>
  <c r="P173" i="5"/>
  <c r="O174" i="5"/>
  <c r="Q174" i="5" s="1"/>
  <c r="P174" i="5"/>
  <c r="O175" i="5"/>
  <c r="Q175" i="5" s="1"/>
  <c r="P175" i="5"/>
  <c r="O176" i="5"/>
  <c r="P176" i="5"/>
  <c r="O177" i="5"/>
  <c r="Q177" i="5" s="1"/>
  <c r="P177" i="5"/>
  <c r="O178" i="5"/>
  <c r="P178" i="5"/>
  <c r="O179" i="5"/>
  <c r="Q179" i="5" s="1"/>
  <c r="P179" i="5"/>
  <c r="O180" i="5"/>
  <c r="P180" i="5"/>
  <c r="O181" i="5"/>
  <c r="Q181" i="5" s="1"/>
  <c r="P181" i="5"/>
  <c r="O182" i="5"/>
  <c r="Q182" i="5" s="1"/>
  <c r="P182" i="5"/>
  <c r="O183" i="5"/>
  <c r="Q183" i="5" s="1"/>
  <c r="P183" i="5"/>
  <c r="O184" i="5"/>
  <c r="P184" i="5"/>
  <c r="O185" i="5"/>
  <c r="Q185" i="5" s="1"/>
  <c r="P185" i="5"/>
  <c r="O186" i="5"/>
  <c r="P186" i="5"/>
  <c r="O187" i="5"/>
  <c r="Q187" i="5" s="1"/>
  <c r="P187" i="5"/>
  <c r="O188" i="5"/>
  <c r="P188" i="5"/>
  <c r="O189" i="5"/>
  <c r="Q189" i="5" s="1"/>
  <c r="P189" i="5"/>
  <c r="O190" i="5"/>
  <c r="Q190" i="5" s="1"/>
  <c r="P190" i="5"/>
  <c r="O191" i="5"/>
  <c r="Q191" i="5" s="1"/>
  <c r="P191" i="5"/>
  <c r="O192" i="5"/>
  <c r="P192" i="5"/>
  <c r="O193" i="5"/>
  <c r="Q193" i="5" s="1"/>
  <c r="P193" i="5"/>
  <c r="O194" i="5"/>
  <c r="P194" i="5"/>
  <c r="O195" i="5"/>
  <c r="Q195" i="5" s="1"/>
  <c r="P195" i="5"/>
  <c r="O196" i="5"/>
  <c r="P196" i="5"/>
  <c r="O197" i="5"/>
  <c r="Q197" i="5" s="1"/>
  <c r="P197" i="5"/>
  <c r="O198" i="5"/>
  <c r="Q198" i="5" s="1"/>
  <c r="P198" i="5"/>
  <c r="O199" i="5"/>
  <c r="Q199" i="5" s="1"/>
  <c r="P199" i="5"/>
  <c r="O200" i="5"/>
  <c r="P200" i="5"/>
  <c r="O201" i="5"/>
  <c r="Q201" i="5" s="1"/>
  <c r="P201" i="5"/>
  <c r="O202" i="5"/>
  <c r="P202" i="5"/>
  <c r="O203" i="5"/>
  <c r="Q203" i="5" s="1"/>
  <c r="P203" i="5"/>
  <c r="O204" i="5"/>
  <c r="P204" i="5"/>
  <c r="O205" i="5"/>
  <c r="Q205" i="5" s="1"/>
  <c r="P205" i="5"/>
  <c r="O206" i="5"/>
  <c r="Q206" i="5" s="1"/>
  <c r="P206" i="5"/>
  <c r="O207" i="5"/>
  <c r="Q207" i="5" s="1"/>
  <c r="P207" i="5"/>
  <c r="O208" i="5"/>
  <c r="P208" i="5"/>
  <c r="O209" i="5"/>
  <c r="Q209" i="5" s="1"/>
  <c r="P209" i="5"/>
  <c r="O210" i="5"/>
  <c r="P210" i="5"/>
  <c r="O211" i="5"/>
  <c r="Q211" i="5" s="1"/>
  <c r="P211" i="5"/>
  <c r="O212" i="5"/>
  <c r="P212" i="5"/>
  <c r="O213" i="5"/>
  <c r="Q213" i="5" s="1"/>
  <c r="P213" i="5"/>
  <c r="O214" i="5"/>
  <c r="Q214" i="5" s="1"/>
  <c r="P214" i="5"/>
  <c r="O215" i="5"/>
  <c r="Q215" i="5" s="1"/>
  <c r="P215" i="5"/>
  <c r="O216" i="5"/>
  <c r="P216" i="5"/>
  <c r="O217" i="5"/>
  <c r="Q217" i="5" s="1"/>
  <c r="P217" i="5"/>
  <c r="O218" i="5"/>
  <c r="P218" i="5"/>
  <c r="O219" i="5"/>
  <c r="Q219" i="5" s="1"/>
  <c r="P219" i="5"/>
  <c r="O220" i="5"/>
  <c r="P220" i="5"/>
  <c r="O221" i="5"/>
  <c r="Q221" i="5" s="1"/>
  <c r="P221" i="5"/>
  <c r="O222" i="5"/>
  <c r="Q222" i="5" s="1"/>
  <c r="P222" i="5"/>
  <c r="O223" i="5"/>
  <c r="Q223" i="5" s="1"/>
  <c r="P223" i="5"/>
  <c r="O224" i="5"/>
  <c r="P224" i="5"/>
  <c r="O225" i="5"/>
  <c r="Q225" i="5" s="1"/>
  <c r="P225" i="5"/>
  <c r="O226" i="5"/>
  <c r="P226" i="5"/>
  <c r="O227" i="5"/>
  <c r="Q227" i="5" s="1"/>
  <c r="P227" i="5"/>
  <c r="O228" i="5"/>
  <c r="P228" i="5"/>
  <c r="O229" i="5"/>
  <c r="Q229" i="5" s="1"/>
  <c r="P229" i="5"/>
  <c r="O230" i="5"/>
  <c r="Q230" i="5" s="1"/>
  <c r="P230" i="5"/>
  <c r="O231" i="5"/>
  <c r="Q231" i="5" s="1"/>
  <c r="P231" i="5"/>
  <c r="O232" i="5"/>
  <c r="P232" i="5"/>
  <c r="O233" i="5"/>
  <c r="Q233" i="5" s="1"/>
  <c r="P233" i="5"/>
  <c r="O234" i="5"/>
  <c r="P234" i="5"/>
  <c r="O235" i="5"/>
  <c r="Q235" i="5" s="1"/>
  <c r="P235" i="5"/>
  <c r="O236" i="5"/>
  <c r="P236" i="5"/>
  <c r="O237" i="5"/>
  <c r="Q237" i="5" s="1"/>
  <c r="P237" i="5"/>
  <c r="O238" i="5"/>
  <c r="Q238" i="5" s="1"/>
  <c r="P238" i="5"/>
  <c r="O239" i="5"/>
  <c r="Q239" i="5" s="1"/>
  <c r="P239" i="5"/>
  <c r="O240" i="5"/>
  <c r="P240" i="5"/>
  <c r="O241" i="5"/>
  <c r="Q241" i="5" s="1"/>
  <c r="P241" i="5"/>
  <c r="O242" i="5"/>
  <c r="P242" i="5"/>
  <c r="O243" i="5"/>
  <c r="Q243" i="5" s="1"/>
  <c r="P243" i="5"/>
  <c r="O244" i="5"/>
  <c r="P244" i="5"/>
  <c r="O245" i="5"/>
  <c r="Q245" i="5" s="1"/>
  <c r="P245" i="5"/>
  <c r="O246" i="5"/>
  <c r="Q246" i="5" s="1"/>
  <c r="P246" i="5"/>
  <c r="O247" i="5"/>
  <c r="Q247" i="5" s="1"/>
  <c r="P247" i="5"/>
  <c r="O248" i="5"/>
  <c r="P248" i="5"/>
  <c r="O249" i="5"/>
  <c r="Q249" i="5" s="1"/>
  <c r="P249" i="5"/>
  <c r="O250" i="5"/>
  <c r="P250" i="5"/>
  <c r="O251" i="5"/>
  <c r="Q251" i="5" s="1"/>
  <c r="P251" i="5"/>
  <c r="O252" i="5"/>
  <c r="P252" i="5"/>
  <c r="O253" i="5"/>
  <c r="Q253" i="5" s="1"/>
  <c r="P253" i="5"/>
  <c r="O254" i="5"/>
  <c r="Q254" i="5" s="1"/>
  <c r="P254" i="5"/>
  <c r="O255" i="5"/>
  <c r="Q255" i="5" s="1"/>
  <c r="P255" i="5"/>
  <c r="O256" i="5"/>
  <c r="P256" i="5"/>
  <c r="O257" i="5"/>
  <c r="Q257" i="5" s="1"/>
  <c r="P257" i="5"/>
  <c r="O258" i="5"/>
  <c r="P258" i="5"/>
  <c r="O259" i="5"/>
  <c r="Q259" i="5" s="1"/>
  <c r="P259" i="5"/>
  <c r="O260" i="5"/>
  <c r="P260" i="5"/>
  <c r="O261" i="5"/>
  <c r="Q261" i="5" s="1"/>
  <c r="P261" i="5"/>
  <c r="O262" i="5"/>
  <c r="Q262" i="5" s="1"/>
  <c r="P262" i="5"/>
  <c r="O263" i="5"/>
  <c r="Q263" i="5" s="1"/>
  <c r="P263" i="5"/>
  <c r="O264" i="5"/>
  <c r="P264" i="5"/>
  <c r="O265" i="5"/>
  <c r="Q265" i="5" s="1"/>
  <c r="P265" i="5"/>
  <c r="O266" i="5"/>
  <c r="P266" i="5"/>
  <c r="O267" i="5"/>
  <c r="Q267" i="5" s="1"/>
  <c r="P267" i="5"/>
  <c r="O268" i="5"/>
  <c r="P268" i="5"/>
  <c r="O269" i="5"/>
  <c r="Q269" i="5" s="1"/>
  <c r="P269" i="5"/>
  <c r="O270" i="5"/>
  <c r="Q270" i="5" s="1"/>
  <c r="P270" i="5"/>
  <c r="O271" i="5"/>
  <c r="Q271" i="5" s="1"/>
  <c r="P271" i="5"/>
  <c r="O272" i="5"/>
  <c r="P272" i="5"/>
  <c r="O273" i="5"/>
  <c r="Q273" i="5" s="1"/>
  <c r="P273" i="5"/>
  <c r="O274" i="5"/>
  <c r="P274" i="5"/>
  <c r="O275" i="5"/>
  <c r="Q275" i="5" s="1"/>
  <c r="P275" i="5"/>
  <c r="O276" i="5"/>
  <c r="P276" i="5"/>
  <c r="O277" i="5"/>
  <c r="Q277" i="5" s="1"/>
  <c r="P277" i="5"/>
  <c r="O278" i="5"/>
  <c r="Q278" i="5" s="1"/>
  <c r="P278" i="5"/>
  <c r="O279" i="5"/>
  <c r="Q279" i="5" s="1"/>
  <c r="P279" i="5"/>
  <c r="O280" i="5"/>
  <c r="P280" i="5"/>
  <c r="O281" i="5"/>
  <c r="Q281" i="5" s="1"/>
  <c r="P281" i="5"/>
  <c r="O282" i="5"/>
  <c r="P282" i="5"/>
  <c r="O283" i="5"/>
  <c r="Q283" i="5" s="1"/>
  <c r="P283" i="5"/>
  <c r="O284" i="5"/>
  <c r="P284" i="5"/>
  <c r="O285" i="5"/>
  <c r="Q285" i="5" s="1"/>
  <c r="P285" i="5"/>
  <c r="O286" i="5"/>
  <c r="Q286" i="5" s="1"/>
  <c r="P286" i="5"/>
  <c r="O287" i="5"/>
  <c r="Q287" i="5" s="1"/>
  <c r="P287" i="5"/>
  <c r="O288" i="5"/>
  <c r="P288" i="5"/>
  <c r="O289" i="5"/>
  <c r="Q289" i="5" s="1"/>
  <c r="P289" i="5"/>
  <c r="O290" i="5"/>
  <c r="P290" i="5"/>
  <c r="O291" i="5"/>
  <c r="Q291" i="5" s="1"/>
  <c r="P291" i="5"/>
  <c r="O292" i="5"/>
  <c r="P292" i="5"/>
  <c r="O293" i="5"/>
  <c r="Q293" i="5" s="1"/>
  <c r="P293" i="5"/>
  <c r="O294" i="5"/>
  <c r="Q294" i="5" s="1"/>
  <c r="P294" i="5"/>
  <c r="O295" i="5"/>
  <c r="Q295" i="5" s="1"/>
  <c r="P295" i="5"/>
  <c r="O296" i="5"/>
  <c r="P296" i="5"/>
  <c r="O297" i="5"/>
  <c r="Q297" i="5" s="1"/>
  <c r="P297" i="5"/>
  <c r="O298" i="5"/>
  <c r="P298" i="5"/>
  <c r="O299" i="5"/>
  <c r="Q299" i="5" s="1"/>
  <c r="P299" i="5"/>
  <c r="O300" i="5"/>
  <c r="P300" i="5"/>
  <c r="O301" i="5"/>
  <c r="Q301" i="5" s="1"/>
  <c r="P301" i="5"/>
  <c r="O302" i="5"/>
  <c r="Q302" i="5" s="1"/>
  <c r="P302" i="5"/>
  <c r="O303" i="5"/>
  <c r="Q303" i="5" s="1"/>
  <c r="P303" i="5"/>
  <c r="O304" i="5"/>
  <c r="P304" i="5"/>
  <c r="O305" i="5"/>
  <c r="Q305" i="5" s="1"/>
  <c r="P305" i="5"/>
  <c r="O306" i="5"/>
  <c r="P306" i="5"/>
  <c r="O307" i="5"/>
  <c r="Q307" i="5" s="1"/>
  <c r="P307" i="5"/>
  <c r="O308" i="5"/>
  <c r="P308" i="5"/>
  <c r="O309" i="5"/>
  <c r="Q309" i="5" s="1"/>
  <c r="P309" i="5"/>
  <c r="O310" i="5"/>
  <c r="Q310" i="5" s="1"/>
  <c r="P310" i="5"/>
  <c r="O311" i="5"/>
  <c r="Q311" i="5" s="1"/>
  <c r="P311" i="5"/>
  <c r="O312" i="5"/>
  <c r="P312" i="5"/>
  <c r="O313" i="5"/>
  <c r="Q313" i="5" s="1"/>
  <c r="P313" i="5"/>
  <c r="O314" i="5"/>
  <c r="P314" i="5"/>
  <c r="O315" i="5"/>
  <c r="Q315" i="5" s="1"/>
  <c r="P315" i="5"/>
  <c r="O316" i="5"/>
  <c r="P316" i="5"/>
  <c r="O317" i="5"/>
  <c r="Q317" i="5" s="1"/>
  <c r="P317" i="5"/>
  <c r="O318" i="5"/>
  <c r="Q318" i="5" s="1"/>
  <c r="P318" i="5"/>
  <c r="O319" i="5"/>
  <c r="Q319" i="5" s="1"/>
  <c r="P319" i="5"/>
  <c r="O320" i="5"/>
  <c r="P320" i="5"/>
  <c r="O321" i="5"/>
  <c r="Q321" i="5" s="1"/>
  <c r="P321" i="5"/>
  <c r="O322" i="5"/>
  <c r="P322" i="5"/>
  <c r="O323" i="5"/>
  <c r="Q323" i="5" s="1"/>
  <c r="P323" i="5"/>
  <c r="O324" i="5"/>
  <c r="P324" i="5"/>
  <c r="O325" i="5"/>
  <c r="Q325" i="5" s="1"/>
  <c r="P325" i="5"/>
  <c r="O326" i="5"/>
  <c r="Q326" i="5" s="1"/>
  <c r="P326" i="5"/>
  <c r="O327" i="5"/>
  <c r="Q327" i="5" s="1"/>
  <c r="P327" i="5"/>
  <c r="O328" i="5"/>
  <c r="P328" i="5"/>
  <c r="O329" i="5"/>
  <c r="Q329" i="5" s="1"/>
  <c r="P329" i="5"/>
  <c r="O330" i="5"/>
  <c r="P330" i="5"/>
  <c r="O331" i="5"/>
  <c r="Q331" i="5" s="1"/>
  <c r="P331" i="5"/>
  <c r="O332" i="5"/>
  <c r="P332" i="5"/>
  <c r="O333" i="5"/>
  <c r="Q333" i="5" s="1"/>
  <c r="P333" i="5"/>
  <c r="O334" i="5"/>
  <c r="Q334" i="5" s="1"/>
  <c r="P334" i="5"/>
  <c r="O335" i="5"/>
  <c r="Q335" i="5" s="1"/>
  <c r="P335" i="5"/>
  <c r="O336" i="5"/>
  <c r="P336" i="5"/>
  <c r="O337" i="5"/>
  <c r="Q337" i="5" s="1"/>
  <c r="P337" i="5"/>
  <c r="O338" i="5"/>
  <c r="P338" i="5"/>
  <c r="O339" i="5"/>
  <c r="Q339" i="5" s="1"/>
  <c r="P339" i="5"/>
  <c r="O340" i="5"/>
  <c r="P340" i="5"/>
  <c r="O341" i="5"/>
  <c r="Q341" i="5" s="1"/>
  <c r="P341" i="5"/>
  <c r="O342" i="5"/>
  <c r="Q342" i="5" s="1"/>
  <c r="P342" i="5"/>
  <c r="O343" i="5"/>
  <c r="Q343" i="5" s="1"/>
  <c r="P343" i="5"/>
  <c r="O344" i="5"/>
  <c r="P344" i="5"/>
  <c r="O345" i="5"/>
  <c r="Q345" i="5" s="1"/>
  <c r="P345" i="5"/>
  <c r="O346" i="5"/>
  <c r="P346" i="5"/>
  <c r="O347" i="5"/>
  <c r="Q347" i="5" s="1"/>
  <c r="P347" i="5"/>
  <c r="O348" i="5"/>
  <c r="P348" i="5"/>
  <c r="O349" i="5"/>
  <c r="Q349" i="5" s="1"/>
  <c r="P349" i="5"/>
  <c r="O350" i="5"/>
  <c r="Q350" i="5" s="1"/>
  <c r="P350" i="5"/>
  <c r="O351" i="5"/>
  <c r="Q351" i="5" s="1"/>
  <c r="P351" i="5"/>
  <c r="O352" i="5"/>
  <c r="P352" i="5"/>
  <c r="O353" i="5"/>
  <c r="Q353" i="5" s="1"/>
  <c r="P353" i="5"/>
  <c r="O354" i="5"/>
  <c r="P354" i="5"/>
  <c r="O355" i="5"/>
  <c r="Q355" i="5" s="1"/>
  <c r="P355" i="5"/>
  <c r="O356" i="5"/>
  <c r="P356" i="5"/>
  <c r="O357" i="5"/>
  <c r="Q357" i="5" s="1"/>
  <c r="P357" i="5"/>
  <c r="O358" i="5"/>
  <c r="Q358" i="5" s="1"/>
  <c r="P358" i="5"/>
  <c r="O359" i="5"/>
  <c r="Q359" i="5" s="1"/>
  <c r="P359" i="5"/>
  <c r="O360" i="5"/>
  <c r="P360" i="5"/>
  <c r="O361" i="5"/>
  <c r="Q361" i="5" s="1"/>
  <c r="P361" i="5"/>
  <c r="O362" i="5"/>
  <c r="P362" i="5"/>
  <c r="O363" i="5"/>
  <c r="Q363" i="5" s="1"/>
  <c r="P363" i="5"/>
  <c r="O364" i="5"/>
  <c r="P364" i="5"/>
  <c r="O365" i="5"/>
  <c r="Q365" i="5" s="1"/>
  <c r="P365" i="5"/>
  <c r="O366" i="5"/>
  <c r="Q366" i="5" s="1"/>
  <c r="P366" i="5"/>
  <c r="O367" i="5"/>
  <c r="Q367" i="5" s="1"/>
  <c r="P367" i="5"/>
  <c r="O368" i="5"/>
  <c r="P368" i="5"/>
  <c r="O369" i="5"/>
  <c r="Q369" i="5" s="1"/>
  <c r="P369" i="5"/>
  <c r="O370" i="5"/>
  <c r="P370" i="5"/>
  <c r="O371" i="5"/>
  <c r="Q371" i="5" s="1"/>
  <c r="P371" i="5"/>
  <c r="O372" i="5"/>
  <c r="P372" i="5"/>
  <c r="O373" i="5"/>
  <c r="Q373" i="5" s="1"/>
  <c r="P373" i="5"/>
  <c r="O374" i="5"/>
  <c r="Q374" i="5" s="1"/>
  <c r="P374" i="5"/>
  <c r="O375" i="5"/>
  <c r="Q375" i="5" s="1"/>
  <c r="P375" i="5"/>
  <c r="O376" i="5"/>
  <c r="P376" i="5"/>
  <c r="O377" i="5"/>
  <c r="Q377" i="5" s="1"/>
  <c r="P377" i="5"/>
  <c r="O378" i="5"/>
  <c r="P378" i="5"/>
  <c r="O379" i="5"/>
  <c r="Q379" i="5" s="1"/>
  <c r="P379" i="5"/>
  <c r="O380" i="5"/>
  <c r="P380" i="5"/>
  <c r="O381" i="5"/>
  <c r="Q381" i="5" s="1"/>
  <c r="P381" i="5"/>
  <c r="O382" i="5"/>
  <c r="Q382" i="5" s="1"/>
  <c r="P382" i="5"/>
  <c r="O383" i="5"/>
  <c r="Q383" i="5" s="1"/>
  <c r="P383" i="5"/>
  <c r="O384" i="5"/>
  <c r="P384" i="5"/>
  <c r="P2" i="5"/>
  <c r="O2" i="5"/>
  <c r="Q2" i="5" s="1"/>
  <c r="O132" i="3"/>
  <c r="P132" i="3" s="1"/>
  <c r="O133" i="3"/>
  <c r="P133" i="3" s="1"/>
  <c r="O134" i="3"/>
  <c r="P134" i="3" s="1"/>
  <c r="O135" i="3"/>
  <c r="P135" i="3" s="1"/>
  <c r="O136" i="3"/>
  <c r="P136" i="3" s="1"/>
  <c r="O137" i="3"/>
  <c r="P137" i="3" s="1"/>
  <c r="O138" i="3"/>
  <c r="P138" i="3" s="1"/>
  <c r="O139" i="3"/>
  <c r="P139" i="3" s="1"/>
  <c r="O140" i="3"/>
  <c r="P140" i="3" s="1"/>
  <c r="O141" i="3"/>
  <c r="P141" i="3" s="1"/>
  <c r="O142" i="3"/>
  <c r="P142" i="3" s="1"/>
  <c r="O143" i="3"/>
  <c r="P143" i="3" s="1"/>
  <c r="O144" i="3"/>
  <c r="P144" i="3" s="1"/>
  <c r="O145" i="3"/>
  <c r="P145" i="3" s="1"/>
  <c r="O146" i="3"/>
  <c r="P146" i="3" s="1"/>
  <c r="O147" i="3"/>
  <c r="P147" i="3" s="1"/>
  <c r="O148" i="3"/>
  <c r="P148" i="3" s="1"/>
  <c r="O149" i="3"/>
  <c r="P149" i="3" s="1"/>
  <c r="O150" i="3"/>
  <c r="P150" i="3" s="1"/>
  <c r="O151" i="3"/>
  <c r="P151" i="3" s="1"/>
  <c r="O152" i="3"/>
  <c r="P152" i="3" s="1"/>
  <c r="O153" i="3"/>
  <c r="P153" i="3" s="1"/>
  <c r="O154" i="3"/>
  <c r="P154" i="3" s="1"/>
  <c r="O155" i="3"/>
  <c r="P155" i="3" s="1"/>
  <c r="O156" i="3"/>
  <c r="P156" i="3" s="1"/>
  <c r="O157" i="3"/>
  <c r="P157" i="3" s="1"/>
  <c r="O158" i="3"/>
  <c r="P158" i="3" s="1"/>
  <c r="O159" i="3"/>
  <c r="P159" i="3" s="1"/>
  <c r="O160" i="3"/>
  <c r="P160" i="3" s="1"/>
  <c r="O161" i="3"/>
  <c r="P161" i="3" s="1"/>
  <c r="O162" i="3"/>
  <c r="P162" i="3" s="1"/>
  <c r="O163" i="3"/>
  <c r="P163" i="3" s="1"/>
  <c r="O164" i="3"/>
  <c r="P164" i="3" s="1"/>
  <c r="O165" i="3"/>
  <c r="P165" i="3" s="1"/>
  <c r="O166" i="3"/>
  <c r="P166" i="3" s="1"/>
  <c r="O167" i="3"/>
  <c r="P167" i="3" s="1"/>
  <c r="O168" i="3"/>
  <c r="P168" i="3" s="1"/>
  <c r="O169" i="3"/>
  <c r="P169" i="3" s="1"/>
  <c r="O170" i="3"/>
  <c r="P170" i="3" s="1"/>
  <c r="O171" i="3"/>
  <c r="P171" i="3" s="1"/>
  <c r="O172" i="3"/>
  <c r="P172" i="3" s="1"/>
  <c r="O173" i="3"/>
  <c r="P173" i="3" s="1"/>
  <c r="O174" i="3"/>
  <c r="P174" i="3" s="1"/>
  <c r="O175" i="3"/>
  <c r="P175" i="3" s="1"/>
  <c r="O176" i="3"/>
  <c r="P176" i="3" s="1"/>
  <c r="O177" i="3"/>
  <c r="P177" i="3" s="1"/>
  <c r="O178" i="3"/>
  <c r="P178" i="3" s="1"/>
  <c r="O179" i="3"/>
  <c r="P179" i="3" s="1"/>
  <c r="O180" i="3"/>
  <c r="P180" i="3" s="1"/>
  <c r="O181" i="3"/>
  <c r="P181" i="3" s="1"/>
  <c r="O182" i="3"/>
  <c r="P182" i="3" s="1"/>
  <c r="O183" i="3"/>
  <c r="P183" i="3" s="1"/>
  <c r="O184" i="3"/>
  <c r="P184" i="3" s="1"/>
  <c r="O185" i="3"/>
  <c r="P185" i="3" s="1"/>
  <c r="O186" i="3"/>
  <c r="P186" i="3" s="1"/>
  <c r="O187" i="3"/>
  <c r="P187" i="3" s="1"/>
  <c r="O188" i="3"/>
  <c r="P188" i="3" s="1"/>
  <c r="O189" i="3"/>
  <c r="P189" i="3" s="1"/>
  <c r="O190" i="3"/>
  <c r="P190" i="3" s="1"/>
  <c r="O129" i="3"/>
  <c r="P129" i="3" s="1"/>
  <c r="O130" i="3"/>
  <c r="P130" i="3" s="1"/>
  <c r="O131" i="3"/>
  <c r="P131" i="3" s="1"/>
  <c r="O128" i="3"/>
  <c r="P128" i="3" s="1"/>
  <c r="O127" i="3"/>
  <c r="P127" i="3" s="1"/>
  <c r="O126" i="3"/>
  <c r="P126" i="3" s="1"/>
  <c r="O125" i="3"/>
  <c r="P125" i="3" s="1"/>
  <c r="O124" i="3"/>
  <c r="P124" i="3" s="1"/>
  <c r="O123" i="3"/>
  <c r="P123" i="3" s="1"/>
  <c r="O122" i="3"/>
  <c r="P122" i="3" s="1"/>
  <c r="O121" i="3"/>
  <c r="P121" i="3" s="1"/>
  <c r="O120" i="3"/>
  <c r="P120" i="3" s="1"/>
  <c r="O119" i="3"/>
  <c r="P119" i="3" s="1"/>
  <c r="O118" i="3"/>
  <c r="P118" i="3" s="1"/>
  <c r="O117" i="3"/>
  <c r="P117" i="3" s="1"/>
  <c r="O116" i="3"/>
  <c r="P116" i="3" s="1"/>
  <c r="O115" i="3"/>
  <c r="P115" i="3" s="1"/>
  <c r="O114" i="3"/>
  <c r="P114" i="3" s="1"/>
  <c r="O113" i="3"/>
  <c r="P113" i="3" s="1"/>
  <c r="O112" i="3"/>
  <c r="P112" i="3" s="1"/>
  <c r="O111" i="3"/>
  <c r="P111" i="3" s="1"/>
  <c r="O110" i="3"/>
  <c r="P110" i="3" s="1"/>
  <c r="O109" i="3"/>
  <c r="P109" i="3" s="1"/>
  <c r="O108" i="3"/>
  <c r="P108" i="3" s="1"/>
  <c r="O107" i="3"/>
  <c r="P107" i="3" s="1"/>
  <c r="O106" i="3"/>
  <c r="P106" i="3" s="1"/>
  <c r="O105" i="3"/>
  <c r="P105" i="3" s="1"/>
  <c r="O104" i="3"/>
  <c r="P104" i="3" s="1"/>
  <c r="O103" i="3"/>
  <c r="P103" i="3" s="1"/>
  <c r="O102" i="3"/>
  <c r="P102" i="3" s="1"/>
  <c r="O101" i="3"/>
  <c r="P101" i="3" s="1"/>
  <c r="O100" i="3"/>
  <c r="P100" i="3" s="1"/>
  <c r="O99" i="3"/>
  <c r="P99" i="3" s="1"/>
  <c r="O98" i="3"/>
  <c r="P98" i="3" s="1"/>
  <c r="O97" i="3"/>
  <c r="P97" i="3" s="1"/>
  <c r="O96" i="3"/>
  <c r="P96" i="3" s="1"/>
  <c r="O95" i="3"/>
  <c r="P95" i="3" s="1"/>
  <c r="O94" i="3"/>
  <c r="P94" i="3" s="1"/>
  <c r="O93" i="3"/>
  <c r="P93" i="3" s="1"/>
  <c r="O92" i="3"/>
  <c r="P92" i="3" s="1"/>
  <c r="O91" i="3"/>
  <c r="P91" i="3" s="1"/>
  <c r="O90" i="3"/>
  <c r="P90" i="3" s="1"/>
  <c r="O89" i="3"/>
  <c r="P89" i="3" s="1"/>
  <c r="O88" i="3"/>
  <c r="P88" i="3" s="1"/>
  <c r="O87" i="3"/>
  <c r="P87" i="3" s="1"/>
  <c r="O86" i="3"/>
  <c r="P86" i="3" s="1"/>
  <c r="O85" i="3"/>
  <c r="P85" i="3" s="1"/>
  <c r="O84" i="3"/>
  <c r="P84" i="3" s="1"/>
  <c r="O83" i="3"/>
  <c r="P83" i="3" s="1"/>
  <c r="O82" i="3"/>
  <c r="P82" i="3" s="1"/>
  <c r="O81" i="3"/>
  <c r="P81" i="3" s="1"/>
  <c r="O80" i="3"/>
  <c r="P80" i="3" s="1"/>
  <c r="O79" i="3"/>
  <c r="P79" i="3" s="1"/>
  <c r="O78" i="3"/>
  <c r="P78" i="3" s="1"/>
  <c r="O77" i="3"/>
  <c r="P77" i="3" s="1"/>
  <c r="O76" i="3"/>
  <c r="P76" i="3" s="1"/>
  <c r="O75" i="3"/>
  <c r="P75" i="3" s="1"/>
  <c r="O74" i="3"/>
  <c r="P74" i="3" s="1"/>
  <c r="O73" i="3"/>
  <c r="P73" i="3" s="1"/>
  <c r="O72" i="3"/>
  <c r="P72" i="3" s="1"/>
  <c r="O71" i="3"/>
  <c r="P71" i="3" s="1"/>
  <c r="O70" i="3"/>
  <c r="P70" i="3" s="1"/>
  <c r="O69" i="3"/>
  <c r="P69" i="3" s="1"/>
  <c r="O68" i="3"/>
  <c r="P68" i="3" s="1"/>
  <c r="O67" i="3"/>
  <c r="P67" i="3" s="1"/>
  <c r="O66" i="3"/>
  <c r="P66" i="3" s="1"/>
  <c r="O65" i="3"/>
  <c r="P65" i="3" s="1"/>
  <c r="O64" i="3"/>
  <c r="P64" i="3" s="1"/>
  <c r="O63" i="3"/>
  <c r="P63" i="3" s="1"/>
  <c r="O62" i="3"/>
  <c r="P62" i="3" s="1"/>
  <c r="O61" i="3"/>
  <c r="P61" i="3" s="1"/>
  <c r="O60" i="3"/>
  <c r="P60" i="3" s="1"/>
  <c r="O59" i="3"/>
  <c r="P59" i="3" s="1"/>
  <c r="O58" i="3"/>
  <c r="P58" i="3" s="1"/>
  <c r="O57" i="3"/>
  <c r="P57" i="3" s="1"/>
  <c r="O56" i="3"/>
  <c r="P56" i="3" s="1"/>
  <c r="O55" i="3"/>
  <c r="P55" i="3" s="1"/>
  <c r="O54" i="3"/>
  <c r="P54" i="3" s="1"/>
  <c r="O53" i="3"/>
  <c r="P53" i="3" s="1"/>
  <c r="O52" i="3"/>
  <c r="P52" i="3" s="1"/>
  <c r="O51" i="3"/>
  <c r="P51" i="3" s="1"/>
  <c r="O50" i="3"/>
  <c r="P50" i="3" s="1"/>
  <c r="O49" i="3"/>
  <c r="P49" i="3" s="1"/>
  <c r="O48" i="3"/>
  <c r="P48" i="3" s="1"/>
  <c r="O47" i="3"/>
  <c r="P47" i="3" s="1"/>
  <c r="O46" i="3"/>
  <c r="P46" i="3" s="1"/>
  <c r="O45" i="3"/>
  <c r="P45" i="3" s="1"/>
  <c r="O44" i="3"/>
  <c r="P44" i="3" s="1"/>
  <c r="O43" i="3"/>
  <c r="P43" i="3" s="1"/>
  <c r="O42" i="3"/>
  <c r="P42" i="3" s="1"/>
  <c r="O41" i="3"/>
  <c r="P41" i="3" s="1"/>
  <c r="O40" i="3"/>
  <c r="P40" i="3" s="1"/>
  <c r="O39" i="3"/>
  <c r="P39" i="3" s="1"/>
  <c r="O38" i="3"/>
  <c r="P38" i="3" s="1"/>
  <c r="O37" i="3"/>
  <c r="P37" i="3" s="1"/>
  <c r="O36" i="3"/>
  <c r="P36" i="3" s="1"/>
  <c r="O35" i="3"/>
  <c r="P35" i="3" s="1"/>
  <c r="O34" i="3"/>
  <c r="P34" i="3" s="1"/>
  <c r="O33" i="3"/>
  <c r="P33" i="3" s="1"/>
  <c r="O32" i="3"/>
  <c r="P32" i="3" s="1"/>
  <c r="O31" i="3"/>
  <c r="P31" i="3" s="1"/>
  <c r="O30" i="3"/>
  <c r="P30" i="3" s="1"/>
  <c r="O29" i="3"/>
  <c r="P29" i="3" s="1"/>
  <c r="O28" i="3"/>
  <c r="P28" i="3" s="1"/>
  <c r="O27" i="3"/>
  <c r="P27" i="3" s="1"/>
  <c r="O26" i="3"/>
  <c r="P26" i="3" s="1"/>
  <c r="O25" i="3"/>
  <c r="P25" i="3" s="1"/>
  <c r="O24" i="3"/>
  <c r="P24" i="3" s="1"/>
  <c r="O23" i="3"/>
  <c r="P23" i="3" s="1"/>
  <c r="O22" i="3"/>
  <c r="P22" i="3" s="1"/>
  <c r="O21" i="3"/>
  <c r="P21" i="3" s="1"/>
  <c r="O20" i="3"/>
  <c r="P20" i="3" s="1"/>
  <c r="O19" i="3"/>
  <c r="P19" i="3" s="1"/>
  <c r="O18" i="3"/>
  <c r="P18" i="3" s="1"/>
  <c r="O17" i="3"/>
  <c r="P17" i="3" s="1"/>
  <c r="O16" i="3"/>
  <c r="P16" i="3" s="1"/>
  <c r="O15" i="3"/>
  <c r="P15" i="3" s="1"/>
  <c r="O14" i="3"/>
  <c r="P14" i="3" s="1"/>
  <c r="O13" i="3"/>
  <c r="P13" i="3" s="1"/>
  <c r="O12" i="3"/>
  <c r="P12" i="3" s="1"/>
  <c r="O11" i="3"/>
  <c r="P11" i="3" s="1"/>
  <c r="O10" i="3"/>
  <c r="P10" i="3" s="1"/>
  <c r="O9" i="3"/>
  <c r="P9" i="3" s="1"/>
  <c r="O8" i="3"/>
  <c r="P8" i="3" s="1"/>
  <c r="O7" i="3"/>
  <c r="P7" i="3" s="1"/>
  <c r="O6" i="3"/>
  <c r="P6" i="3" s="1"/>
  <c r="O5" i="3"/>
  <c r="P5" i="3" s="1"/>
  <c r="O4" i="3"/>
  <c r="P4" i="3" s="1"/>
  <c r="O3" i="3"/>
  <c r="P3" i="3" s="1"/>
  <c r="O2" i="3"/>
  <c r="P2" i="3" s="1"/>
  <c r="G38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5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5" i="2"/>
  <c r="F6" i="2"/>
  <c r="F7" i="2"/>
  <c r="F8" i="2"/>
  <c r="F9" i="2"/>
  <c r="F10" i="2"/>
  <c r="F11" i="2"/>
  <c r="F12" i="2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3" i="1"/>
  <c r="O2" i="1"/>
  <c r="G40" i="2"/>
</calcChain>
</file>

<file path=xl/sharedStrings.xml><?xml version="1.0" encoding="utf-8"?>
<sst xmlns="http://schemas.openxmlformats.org/spreadsheetml/2006/main" count="11131" uniqueCount="1852">
  <si>
    <t>C.Costo</t>
  </si>
  <si>
    <t>Desc. C.Costo</t>
  </si>
  <si>
    <t>CUENTA</t>
  </si>
  <si>
    <t>Auxiliar</t>
  </si>
  <si>
    <t>Desc. auxiliar</t>
  </si>
  <si>
    <t>Neto</t>
  </si>
  <si>
    <t>Docto.</t>
  </si>
  <si>
    <t>Fecha</t>
  </si>
  <si>
    <t>Notas</t>
  </si>
  <si>
    <t>Notas docto</t>
  </si>
  <si>
    <t>Razón social tercero movto.</t>
  </si>
  <si>
    <t>SECCION</t>
  </si>
  <si>
    <t>Prefijo tipo docto</t>
  </si>
  <si>
    <t>SUB SUBCUENTA</t>
  </si>
  <si>
    <t>5502 - COMISIONES</t>
  </si>
  <si>
    <t>BANCOS COMISIONES</t>
  </si>
  <si>
    <t>DSF-00001059</t>
  </si>
  <si>
    <t>GASTOS BANCARIOS 27 AL 31 DICIEMBRE 2024 -BGTA CALI</t>
  </si>
  <si>
    <t xml:space="preserve">GASTOS BANCARIOS 27 AL 31 DICIEMBRE 2024  </t>
  </si>
  <si>
    <t>BANCO DE BOGOTA</t>
  </si>
  <si>
    <t xml:space="preserve">DSF </t>
  </si>
  <si>
    <t>GASTOS BANCARIOS 27 AL 31 DICIEMBRE 2024 -BGTA TULUA</t>
  </si>
  <si>
    <t>DSF-00001060</t>
  </si>
  <si>
    <t>GASTOS BANCARIOS 27 AL 31 DICIEMBRE 2024 -POPULAR 2276</t>
  </si>
  <si>
    <t xml:space="preserve">GASTOS BANCARIOS 27 AL 31 DICIEMBRE 2024 -POPULAR 2276 </t>
  </si>
  <si>
    <t>BANCO POPULAR</t>
  </si>
  <si>
    <t>DSF-00001061</t>
  </si>
  <si>
    <t>GASTOS BANCARIOS 27 AL 31 DICIEMBRE 2024 -BANCOLOMBIA 801</t>
  </si>
  <si>
    <t xml:space="preserve">GASTOS BANCARIOS 27 AL 31 DICIEMBRE 2024 -BANCOLOMBIA  </t>
  </si>
  <si>
    <t>BANCOLOMBIA</t>
  </si>
  <si>
    <t>GASTOS BANCARIOS 27 AL 31 DICIEMBRE 2024 -BANCOLOMBIA ESPECIAL</t>
  </si>
  <si>
    <t>DSF-00001074</t>
  </si>
  <si>
    <t>GASTOS BANCARIOS CORRESPONDIENTES AL MES DE ENERO 2025</t>
  </si>
  <si>
    <t>DSF-00001076</t>
  </si>
  <si>
    <t>DSF-00001077</t>
  </si>
  <si>
    <t>DAVIVIENDA</t>
  </si>
  <si>
    <t>DSF-00001078</t>
  </si>
  <si>
    <t>BANCO AGRARIO DE COLOMBIA  S.A</t>
  </si>
  <si>
    <t>DSF-00001079</t>
  </si>
  <si>
    <t>DSF-00001081</t>
  </si>
  <si>
    <t>BBVA COLOMBIA S.A.</t>
  </si>
  <si>
    <t>DSF-00001082</t>
  </si>
  <si>
    <t>FIDUCIARIA POPULAR S.A.</t>
  </si>
  <si>
    <t>DSF-00001083</t>
  </si>
  <si>
    <t>FIDUCIARIA DAVIVIENDA S.A</t>
  </si>
  <si>
    <t>DSF-00001084</t>
  </si>
  <si>
    <t>BANCOLOMBIA PANAMA</t>
  </si>
  <si>
    <t>DSF-00001104</t>
  </si>
  <si>
    <t>GASTOS BANCARIOS CORRESPONDIENTES AL MES DE FEBRERO 2025</t>
  </si>
  <si>
    <t>DSF-00001106</t>
  </si>
  <si>
    <t>DSF-00001107</t>
  </si>
  <si>
    <t>GASTOS BANCARIOS CORRESPONDIENTES AL MES DE FEBRERO 2025 - INCLUYE INT. COGENERACION</t>
  </si>
  <si>
    <t>DSF-00001108</t>
  </si>
  <si>
    <t>DSF-00001111</t>
  </si>
  <si>
    <t>DSF-00001112</t>
  </si>
  <si>
    <t>DSF-00001113</t>
  </si>
  <si>
    <t>DSF-00001114</t>
  </si>
  <si>
    <t>FAC-00045087</t>
  </si>
  <si>
    <t>FAC132801 - COMISION FIDUCIARIA MES DE ENERO 2025- COMISION FIJA 2.5 SMMLV</t>
  </si>
  <si>
    <t xml:space="preserve">    </t>
  </si>
  <si>
    <t>FAC-00045088</t>
  </si>
  <si>
    <t>SOC81109 -  COMISION POR ADMINISTRACION MES DE ENERO 2025 - EA</t>
  </si>
  <si>
    <t>FAC-00045545</t>
  </si>
  <si>
    <t>SOC82093 - D1- COMISION POR ADMINISTRACION, PERIODO DE FACTRUACION: FEBRERO 2025</t>
  </si>
  <si>
    <t>FAC-00045546</t>
  </si>
  <si>
    <t>FAC133255 - COMISION FIDUCIARIA MES DE FEBRERO 2025- COMISION FIJA 2.5 SMMLV</t>
  </si>
  <si>
    <t>FAC-00045697</t>
  </si>
  <si>
    <t>FAC133431 - COMISION FIDUCIARIA POR EXPEDICION DE CERTIFICADO DE GARANTIA 20</t>
  </si>
  <si>
    <t>FAC-00045698</t>
  </si>
  <si>
    <t>FAC133535 - COMISION FIDUCIARIA MES DE MARZO 2025 - COMISION FIJA  2.5 SMMLV</t>
  </si>
  <si>
    <t>FAC-00045701</t>
  </si>
  <si>
    <t>SOC83617 - COMISION POR ADMINISTRACION - PERIODO DE FACTURACION MARZO 2025</t>
  </si>
  <si>
    <t xml:space="preserve">SOC83617 - COMISION POR ADMINISTRACION - PERIODO DE FACTURACION MARZO 2025 </t>
  </si>
  <si>
    <t>FAC-00045724</t>
  </si>
  <si>
    <t>FAC992663 - COMISION FIJA DE ADMINISTRACION CORRESPONDIENTE AL MES DE MARZO 2025</t>
  </si>
  <si>
    <t>ALIANZA FIDUCIARIA S.A</t>
  </si>
  <si>
    <t>NIB-00005736</t>
  </si>
  <si>
    <t>PAGO DE DEPOSITOS JUDICIALES - COMPROBANTE DE PAGO: 1491465 - ARCHIVO: 30030 - INGENIO CARMELITA - ARCHIVO: GD20250107018919001961</t>
  </si>
  <si>
    <t>BANCO AGRARIO DE COLOMBIA</t>
  </si>
  <si>
    <t>NIB-00005875</t>
  </si>
  <si>
    <t>COSTO DE TRANSACCION -PAGO DE FACTURAS A NOMBRE DE INGENIERIA Y EQUIPOS PARA LA INGENIERIA</t>
  </si>
  <si>
    <t>PAGO DE FACTURAS A NOMBRE DE INGENIERIA Y EQUIPOS PARA LA INGENIERIA</t>
  </si>
  <si>
    <t>IVA DE TRANSACCION  -PAGO DE FACTURAS A NOMBRE DE INGENIERIA Y EQUIPOS PARA LA INGENIERIA</t>
  </si>
  <si>
    <t>NIB-00005899</t>
  </si>
  <si>
    <t>COMISION FIJA MES DE ENERO 2025</t>
  </si>
  <si>
    <t xml:space="preserve"> GASTOS BANCARIOS MES DE ENERO 2025  FIDEICOMISO 42112858 - RENTA LIQUIDAN GASTOS BANCARIOS MES DE ENERO 2025  FIDEICOMISO 42112858 - RENTA LIQUIDA</t>
  </si>
  <si>
    <t>NIB-00005902</t>
  </si>
  <si>
    <t>GASTOS BANCARIOS MES DE ENERO 2025- BANCOLOMBIA PANAMA</t>
  </si>
  <si>
    <t>NIB-00005906</t>
  </si>
  <si>
    <t>GASTOS BANCARIOS BOGOTA TULUA 612036319- MES DE ENERO 2025</t>
  </si>
  <si>
    <t>NIB-00005911</t>
  </si>
  <si>
    <t>GASTOS BANCARIOS BANCOLOMBIA CTA CTE 80104152201 - MES DE ENERO 2025</t>
  </si>
  <si>
    <t>NIB-00005915</t>
  </si>
  <si>
    <t>GASTOS BANCARIOS POPULAR 2276 MES DE ENERO 2025</t>
  </si>
  <si>
    <t>NIB-00005919</t>
  </si>
  <si>
    <t>GASTOS BANCARIOS DAVIVIENDA 7678 MES DE ENERO 2025</t>
  </si>
  <si>
    <t>NIB-00005936</t>
  </si>
  <si>
    <t>GASTOS BANCARIOS BGTA CALI 256096355 MES DE ENERO 2025</t>
  </si>
  <si>
    <t>NIB-00005978</t>
  </si>
  <si>
    <t>PAGO DE DEPOSITOS JUCIALES ICSA - 1499295 - SECUENCIAL DEL ARCHIVO: GD202502070891001961_01.TXT</t>
  </si>
  <si>
    <t>NIB-00005995</t>
  </si>
  <si>
    <t>PAGO DE DEPOSITOS JUDICIALES - INGENIERIA Y EQUIPOS PARA LA INDUSTRIA - CODIGO DEL JUZGADO 760012031004 - NUMEOR DE PROCESO 7600131030042023000800</t>
  </si>
  <si>
    <t>NIB-00006062</t>
  </si>
  <si>
    <t>FACTORING BBVA FAN-29239 COMISIONES</t>
  </si>
  <si>
    <t>NIB-00006091</t>
  </si>
  <si>
    <t>FACTORING BBVA-COMISIONES FAN-29218-251-256-288-309-324</t>
  </si>
  <si>
    <t>NIB-00006094</t>
  </si>
  <si>
    <t>GASTOS BANCARIOS - BANCO BOGOTA CALI CTE 256096355 - MES DE ENERO 2025</t>
  </si>
  <si>
    <t>NIB-00006098</t>
  </si>
  <si>
    <t>FACTORING BBVA FAN-29038 REGISTRO COMISION</t>
  </si>
  <si>
    <t>NIB-00006100</t>
  </si>
  <si>
    <t>GATOS BANCARIOS Y RENIDMIENTOS FINANCIEROS, MES DE FEBRERO 2025 - BANCOLOMBIA PANAMA</t>
  </si>
  <si>
    <t>NIB-00006131</t>
  </si>
  <si>
    <t>GASTOS BANCARIOS MES DE FEBRERO 2025 - BANCOLOMBIA CTE 80104152201</t>
  </si>
  <si>
    <t>NIB-00006159</t>
  </si>
  <si>
    <t>GASTOS BANCARIOS MES DE FEBRERO 2025 - BANCO DE BOGOTA TULUA CTE 612036319</t>
  </si>
  <si>
    <t xml:space="preserve">GASTOS BANCARIOS MES DE FEBRERO 2025 - BANCO DE BOGOTA TULUA CTE 612036319 </t>
  </si>
  <si>
    <t>NIB-00006160</t>
  </si>
  <si>
    <t>Comision por generacion de extractos bancarios , Interes ´por sobregiro en extracto Febero 2025</t>
  </si>
  <si>
    <t>NIB-00006164</t>
  </si>
  <si>
    <t>GASTOS BANCARIOS MES DE FEBRERO 2025 - BANCO DAVIVIENDA CTE 379469997678</t>
  </si>
  <si>
    <t>NIB-00006178</t>
  </si>
  <si>
    <t>PAGO DE DEPOSITOS JUDICIALES ICSA - 1505496 - GD2025030608919001961_02. TXT - 30030</t>
  </si>
  <si>
    <t>NIB-00006305</t>
  </si>
  <si>
    <t>FACTORING BBVA FAN-29561 COMISION</t>
  </si>
  <si>
    <t>NIB-00006323</t>
  </si>
  <si>
    <t>FACTORIN KLYM FAN-29555-29567-29582-29594</t>
  </si>
  <si>
    <t>COOPERATIVA COLANTA</t>
  </si>
  <si>
    <t>NIB-00006349</t>
  </si>
  <si>
    <t>RENDIMIENTOS FINANCIEROS Y COMISIONES BANCOLOMBIA PANAMA MES DE MARZO 2025</t>
  </si>
  <si>
    <t>NIB-00006357</t>
  </si>
  <si>
    <t>GASTOS BANCARIOS DAVIVIENDA 7678 MES DE MARZO 2025</t>
  </si>
  <si>
    <t>NIB-00006361</t>
  </si>
  <si>
    <t>GASTOS BANCARIOS BGTA CALI MES DE MARZO 2025</t>
  </si>
  <si>
    <t>NIB-00006362</t>
  </si>
  <si>
    <t>GASTOS BANCARIOS BANCO DE BOGOTA TULUA CTE 612036319  MES DE MARZO 2025</t>
  </si>
  <si>
    <t>NIB-00006367</t>
  </si>
  <si>
    <t>PAGO DE INTERESES OBLIGACION N°119000028444 - (ESTUDIO SOPORTE GARANTIA)</t>
  </si>
  <si>
    <t>SERVICIOS FINANCIEROS S.A. SERFINANZA CIA DE FINANCIAMIENTO</t>
  </si>
  <si>
    <t>NIB-00006380</t>
  </si>
  <si>
    <t>FACTORING BBVA FAN-29562-574-592-607-617-621-623-635-644-663-676 COMISIONES</t>
  </si>
  <si>
    <t>NIB-00006382</t>
  </si>
  <si>
    <t>FACTORIN BBVA-29557-584-589-599-600-612-634-650 COMISION</t>
  </si>
  <si>
    <t>FACTORING  BBVA-29557-584-589-599-600-612-634-650 COMISION</t>
  </si>
  <si>
    <t>NIB-00006387</t>
  </si>
  <si>
    <t>GASTOS BANCARIOS BANCO POPULAR CTA CTE 110560212276 MES DE MARZO 2025</t>
  </si>
  <si>
    <t>NIB-00006401</t>
  </si>
  <si>
    <t>GASTOS BANCARIOS FONDO INVERSION RENTA L 482800029407 DAV- MES DE MARZO 2025</t>
  </si>
  <si>
    <t>NIC-00035976</t>
  </si>
  <si>
    <t>DEVOLUCION DE DSF 1059-1060-1061 - GASTOS BANCARIOS 27 AL 31 DIC 2024</t>
  </si>
  <si>
    <t>NIC-00036050</t>
  </si>
  <si>
    <t>CONTABILIZACIÓN IVA COMISION 4*1000</t>
  </si>
  <si>
    <t>NIC-00036051</t>
  </si>
  <si>
    <t>CONTABILIZACIÓN IVA COMISON 4*1000</t>
  </si>
  <si>
    <t>NIC-00036053</t>
  </si>
  <si>
    <t>CONTABILIZACION IVA COMISON 4*1000</t>
  </si>
  <si>
    <t>NIC-00036152</t>
  </si>
  <si>
    <t>COMISIONES FACTORIGN TRULULU FAN-28253-255  SUPER ALIMENTOS  28207-225-261-262</t>
  </si>
  <si>
    <t>reclasificacion de cuentas en comision Factoring con Bavaria y Trululu</t>
  </si>
  <si>
    <t>REGISTRO COMISION FACTORING BBVA FAN-27806-848-849-850-862-863-864</t>
  </si>
  <si>
    <t>NIC-00036228</t>
  </si>
  <si>
    <t>DEVOLUCION DE DSF - GASTOS BANCARIOS MES DE ENERO 2025</t>
  </si>
  <si>
    <t>NIC-00036273</t>
  </si>
  <si>
    <t>Ajuste de tercero en NIB5875 - Pago de facturas a nombre de INGENIERIA Y EQUIPOS PARA LA INDUSTRIA - INGEPIN</t>
  </si>
  <si>
    <t>NIC-00036277</t>
  </si>
  <si>
    <t>GASTO COMISION MES DE ENERO 2025 BANCO ITAU</t>
  </si>
  <si>
    <t>Registro de partidas conciliadas en Conciliación Bancaria correspondiente al mes de Enero 2025</t>
  </si>
  <si>
    <t>ITAU CORPBANCA COLOMBIA SA</t>
  </si>
  <si>
    <t>NIC-00036462</t>
  </si>
  <si>
    <t>RECLASIFICACION FAN-27800 A FAN - 27746</t>
  </si>
  <si>
    <t>NIC-00036474</t>
  </si>
  <si>
    <t>RECLASIFICACION 529505 A 530515 COMISIONES BBVA - KLYM FEB 2025</t>
  </si>
  <si>
    <t>KLYM S.A.S</t>
  </si>
  <si>
    <t>NIC-00036475</t>
  </si>
  <si>
    <t>RECLASIFICION COMISIONES TRULULU FEB 2025 5295 A 5305</t>
  </si>
  <si>
    <t>NIC-00036478</t>
  </si>
  <si>
    <t>REGISTRO COMISION FACTORING BBVA</t>
  </si>
  <si>
    <t>NIC-00036516</t>
  </si>
  <si>
    <t>COMISIONES FACTORING BBVA  BAVARIA-GOLOSINAS TRULULU-SUPER DE ALIMENTOS</t>
  </si>
  <si>
    <t>NIC-00036581</t>
  </si>
  <si>
    <t>Cobro comision por Generacion de extracto bancario- 256096355 BGTA CALI</t>
  </si>
  <si>
    <t>REGISTRO DE PARTIDAS CONCILIADAS EN CONCILIACION BANCARIA MES DE FEBRERO 2025</t>
  </si>
  <si>
    <t>COMISION BANCARIA CTA CTE 301-44051-7 BACO ITAU</t>
  </si>
  <si>
    <t>DEBITO POR RECHAZOS- BANCOLOMBIA CTA CTE 80104152201</t>
  </si>
  <si>
    <t>NIC-00036582</t>
  </si>
  <si>
    <t>DEVOLUCION DE DSF - GASTOS BANCARIOS MES DE FEBRERO 2025 (DSF1104 AL 1114)</t>
  </si>
  <si>
    <t>NIC-00036745</t>
  </si>
  <si>
    <t>RECLASIFICACION COMISIONES FACTORING BBVA NIC-36470</t>
  </si>
  <si>
    <t>NIP-00016497</t>
  </si>
  <si>
    <t>NIP-00016498</t>
  </si>
  <si>
    <t>NIP-00016519</t>
  </si>
  <si>
    <t>NIP-00016556</t>
  </si>
  <si>
    <t>CONTAN¿BILIZACIÓN IVA 4*1000 COMISION</t>
  </si>
  <si>
    <t>NIP-00016562</t>
  </si>
  <si>
    <t>contabilización iva comision 4*1000</t>
  </si>
  <si>
    <t>NIP-00016588</t>
  </si>
  <si>
    <t>NIP-00016610</t>
  </si>
  <si>
    <t>contabilización de iva comision 4*1000</t>
  </si>
  <si>
    <t>NIP-00016714</t>
  </si>
  <si>
    <t>NIP-00016723</t>
  </si>
  <si>
    <t>NIP-00016767</t>
  </si>
  <si>
    <t>NIP-00016803</t>
  </si>
  <si>
    <t>CLFV21037 - COMISIONES - SERV DE REGISTRO BMN 8600071250 - IVA SRRV REGISTRADO BMC 19%</t>
  </si>
  <si>
    <t>CORREAGRO S.A.</t>
  </si>
  <si>
    <t>NIP-00016804</t>
  </si>
  <si>
    <t>CLFV21038- COMISIONES - SERV DE REGISTRO BMN 8600071250 - IVA SRRV REGISTRADO BMC 19%</t>
  </si>
  <si>
    <t>NIP-00016805</t>
  </si>
  <si>
    <t>NIP-00016806</t>
  </si>
  <si>
    <t>CONTABILIZACION IVA COMISION 4*1000</t>
  </si>
  <si>
    <t>NIP-00016808</t>
  </si>
  <si>
    <t>NIP-00016816</t>
  </si>
  <si>
    <t>NIP-00016829</t>
  </si>
  <si>
    <t>CONTABILIZACIÓN IVA COMOSION 4*1000</t>
  </si>
  <si>
    <t>CONTABILIZACIÓN IVA CMISON 4*1000</t>
  </si>
  <si>
    <t>NIP-00016830</t>
  </si>
  <si>
    <t>NIP-00016882</t>
  </si>
  <si>
    <t>contabilizacion iva comison 4*1000</t>
  </si>
  <si>
    <t>NIP-00016905</t>
  </si>
  <si>
    <t>NIP-00016906</t>
  </si>
  <si>
    <t>NIP-00016934</t>
  </si>
  <si>
    <t>CLFV21377 - SERV REGISTRADO BMC 8600071250</t>
  </si>
  <si>
    <t>NIP-00016935</t>
  </si>
  <si>
    <t>CLFV21376 - SERV REGISTRADO BMC 8600071250</t>
  </si>
  <si>
    <t>Gran total</t>
  </si>
  <si>
    <t>Mes</t>
  </si>
  <si>
    <t>Etiquetas de columna</t>
  </si>
  <si>
    <t>Total general</t>
  </si>
  <si>
    <t>Etiquetas de fila</t>
  </si>
  <si>
    <t>Suma de Neto</t>
  </si>
  <si>
    <t>ENERO</t>
  </si>
  <si>
    <t>FEBRERO</t>
  </si>
  <si>
    <t>MARZO</t>
  </si>
  <si>
    <t>VARIACIÓN</t>
  </si>
  <si>
    <t>VAR. %</t>
  </si>
  <si>
    <t>NIC-00036810</t>
  </si>
  <si>
    <t>RECLASIFICACION COMISIONES FACTORING VENCIMIENTOS ABRIL 2025</t>
  </si>
  <si>
    <t>NIC-00036815</t>
  </si>
  <si>
    <t>RECLASIFICACION NIT 530515 NIC 36812</t>
  </si>
  <si>
    <t>Nombre 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</si>
  <si>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</si>
  <si>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</si>
  <si>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</si>
  <si>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</si>
  <si>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</si>
  <si>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</si>
  <si>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</si>
  <si>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</si>
  <si>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</si>
  <si>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</si>
  <si>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</si>
  <si>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</si>
  <si>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NIC-00036824</t>
  </si>
  <si>
    <t>reclasificacion de cuentas en gastos bancarios bancolombia cta cte 2201 mes de marzo e2025</t>
  </si>
  <si>
    <t>DSF-00001149</t>
  </si>
  <si>
    <t>GASTOS BANCARIOS CORRESPONDIENTES AL MES DE MARZO 2025</t>
  </si>
  <si>
    <t>DSF-00001151</t>
  </si>
  <si>
    <t>DSF-00001152</t>
  </si>
  <si>
    <t>DSF-00001153</t>
  </si>
  <si>
    <t>DSF-00001154</t>
  </si>
  <si>
    <t>DSF-00001156</t>
  </si>
  <si>
    <t>DSF-00001157</t>
  </si>
  <si>
    <t>DSF-00001158</t>
  </si>
  <si>
    <t>GASTOS BANCARIOS CORRESPONDIENTE AL MES DE MARZO 2025</t>
  </si>
  <si>
    <t>DSF-00001159</t>
  </si>
  <si>
    <t>DSF-00001160</t>
  </si>
  <si>
    <t>DSF-00001161</t>
  </si>
  <si>
    <t>DSF-00001162</t>
  </si>
  <si>
    <t>FAC-00046325</t>
  </si>
  <si>
    <t>SOC84695- COMISION POR ADMINISTRACION</t>
  </si>
  <si>
    <t>NCS-00000127</t>
  </si>
  <si>
    <t>CRUCE DE NOTA CREDITO ENCL139 - DE LAS FACTURA FZ21377</t>
  </si>
  <si>
    <t>NCS-00000128</t>
  </si>
  <si>
    <t>CRUCE DE NOTA CREDITO ENCL138 - DE LAS FACTURA CLFV21376</t>
  </si>
  <si>
    <t>NCS-00000129</t>
  </si>
  <si>
    <t>CRUCE DE NOTA CREDITO ENCL137 - DE LAS FACTURA CLFV21377</t>
  </si>
  <si>
    <t>NIB-00006418</t>
  </si>
  <si>
    <t>PAGO DE DEPOSITOS JUDICIALES ICSA - SECUENCIAL ARCHIVO: 1513049 - GD2025040708891900196  - 30030</t>
  </si>
  <si>
    <t>NIB-00006420</t>
  </si>
  <si>
    <t>REGISTRO COMISION FACTOING BBVA FAN 29557-29561-29584-29589-29599-29600-29612-29634-29650-29656-29667-29674-29695-29719-29734</t>
  </si>
  <si>
    <t>NIB-00006508</t>
  </si>
  <si>
    <t>FACTORING KLYM FAN-29918 PAGO Y COMISIONES</t>
  </si>
  <si>
    <t>NIB-00006518</t>
  </si>
  <si>
    <t>PAGO ANTICIPO PAGO IMPUESTO VEHICULOS</t>
  </si>
  <si>
    <t>NIB-00006558</t>
  </si>
  <si>
    <t>GASTOS BANCARIOS BGTA TULUA 612036319 MES DE ABRIL 2025</t>
  </si>
  <si>
    <t>NIB-00006559</t>
  </si>
  <si>
    <t>GASTOS BANCARIOS BGTA CALI 256096355 MES DE ABRIL 2025</t>
  </si>
  <si>
    <t>NIB-00006562</t>
  </si>
  <si>
    <t>GASTOS BANCARIOS BANCOLOMBIA CTA AHORROS 306-315139-79 MES DE ABRIL 2025</t>
  </si>
  <si>
    <t>NIB-00006564</t>
  </si>
  <si>
    <t>GASTROS BANCARIOS DAVIVIENDA CAT CTE 7678 MES DE ABRIL 2025</t>
  </si>
  <si>
    <t>NIB-00006565</t>
  </si>
  <si>
    <t>GASTOS BANCARIOS BANCO POPULAR 2276 CTA CTE MES DE ABRIL 2025</t>
  </si>
  <si>
    <t>NIB-00006567</t>
  </si>
  <si>
    <t>DEB. AUTOMATICO OBLIGACION LEASING FINANCIERO LP #3-1034698700 - CUOTA 10/60</t>
  </si>
  <si>
    <t>NIB-00006574</t>
  </si>
  <si>
    <t>GASTOS BANCARIOS BANCOLOMBIA PANAMA TCA CTE 10400455 MES DE ABRIL 2025</t>
  </si>
  <si>
    <t>NIB-00006577</t>
  </si>
  <si>
    <t>FACTORING KLYM - COMISIONES FAN-29726</t>
  </si>
  <si>
    <t>NIB-00006647</t>
  </si>
  <si>
    <t>GASTOS BANCARIOS BANCOLOMBIA CTE 801-041522-01 MES DE ABRIL 2025</t>
  </si>
  <si>
    <t>NIC-00036854</t>
  </si>
  <si>
    <t>DEVOLUCION DE DSF GASTOS BANCARIOS CORRESPONDIENTES AL MES DE MARZO 2025- (1149 AL 1162)</t>
  </si>
  <si>
    <t>NIC-00037061</t>
  </si>
  <si>
    <t>COMISION FACTORING BBVA</t>
  </si>
  <si>
    <t>NIC-00037062</t>
  </si>
  <si>
    <t>REGISTRO COMISIONES FACTORIGN</t>
  </si>
  <si>
    <t>NIC-00037064</t>
  </si>
  <si>
    <t>REGISTRO COMISION FACTORING BBVA ABRIL</t>
  </si>
  <si>
    <t>NIC-00037065</t>
  </si>
  <si>
    <t>AJUSTE DE CUENTA EN NIB6567 -DEB. AUTOMATICO OBLIGACION LEASING FINANCIERO LP #3-1034698700 - CUOTA 10/60</t>
  </si>
  <si>
    <t>NIP-00016938</t>
  </si>
  <si>
    <t>NIP-00016939</t>
  </si>
  <si>
    <t>NIP-00016940</t>
  </si>
  <si>
    <t>NIP-00016959</t>
  </si>
  <si>
    <t>NIP-00016978</t>
  </si>
  <si>
    <t>NIP-00016995</t>
  </si>
  <si>
    <t>NIP-00017034</t>
  </si>
  <si>
    <t>NIP-00017035</t>
  </si>
  <si>
    <t>CONTABILIZACIÓN IVA 4*1000</t>
  </si>
  <si>
    <t>NIP-00017036</t>
  </si>
  <si>
    <t>CONTABILIZACIÓN IVA COMISON Y 4*1000</t>
  </si>
  <si>
    <t>NIP-00017037</t>
  </si>
  <si>
    <t>ANTICIPO CARGUE TARJETA TESORERA COMPRA USD 500 PARA GERENCIA AUT. DIREC.FINANCIERA</t>
  </si>
  <si>
    <t>NIP-00017038</t>
  </si>
  <si>
    <t>REGISTRO COMISION PAGO ANTICIPO PARA IMPUESTOS VEHICULOS</t>
  </si>
  <si>
    <t>5305 - DEL SECTOR FINANCIERO</t>
  </si>
  <si>
    <t>IMPUESTO 4 X 1.000</t>
  </si>
  <si>
    <t>CCR-00000049</t>
  </si>
  <si>
    <t>CIERRE CONTABLE Y FISCAL AÑO 2024</t>
  </si>
  <si>
    <t>Genérico</t>
  </si>
  <si>
    <t>MBC-00000325</t>
  </si>
  <si>
    <t>GASTOS FINANCIEROS MES DE ENERO DE 2023</t>
  </si>
  <si>
    <t>MBC-00000326</t>
  </si>
  <si>
    <t>GASTOS FINANCIEROS MES DE ENERO DE  2024 BOGOTA TULUA</t>
  </si>
  <si>
    <t>MBC-00000327</t>
  </si>
  <si>
    <t>GASTOS FINANCIEROS MES DE ENERO DE 2024 BANCOLOMBIA 801</t>
  </si>
  <si>
    <t>MBC-00000328</t>
  </si>
  <si>
    <t>GAST¿OS FINANCIEROS MES DE FEBRERO DE 2024 BANCOLOMBIA 801</t>
  </si>
  <si>
    <t>MBC-00000329</t>
  </si>
  <si>
    <t>GASTOS FINANCIEROS MES DE FEBRERO DE 2024 BOGOTA CALI</t>
  </si>
  <si>
    <t>MBC-00000330</t>
  </si>
  <si>
    <t>GASTOS FINANCIEROS MES DE FEBRERO DE 2024- BOGOTA TULUA</t>
  </si>
  <si>
    <t>MBC-00000331</t>
  </si>
  <si>
    <t>GASTOS FINANCIEROS MES DE MARZO DE 2024</t>
  </si>
  <si>
    <t>MBC-00000332</t>
  </si>
  <si>
    <t>GASTOS FINANCIEROS MES DE MARZO BOGOTA CALIO</t>
  </si>
  <si>
    <t>MBC-00000333</t>
  </si>
  <si>
    <t>GASTOS FINANCIEROS MES DE MARZO DE 2024 BOGOTA TULUA</t>
  </si>
  <si>
    <t>MBC-00000334</t>
  </si>
  <si>
    <t>GASTOS FINANCIEROS MES DE ABRL 2024 - BANCOLOMBIA 801</t>
  </si>
  <si>
    <t>MBC-00000335</t>
  </si>
  <si>
    <t>GASTOS FINANCIEROS MES DE ABRIL BOGOTA 256</t>
  </si>
  <si>
    <t>MBC-00000336</t>
  </si>
  <si>
    <t>GASTOS FINANCIEROS MES DE ABRIL BOGOTA TULUA</t>
  </si>
  <si>
    <t>MBC-00000337</t>
  </si>
  <si>
    <t>GASTOS FINANCIERTOS MES DE MAYO BOGOTA CALI</t>
  </si>
  <si>
    <t>MBC-00000338</t>
  </si>
  <si>
    <t>GASTOS FINANCIEROS MES DE MAYO BOGOTA TULUA</t>
  </si>
  <si>
    <t>MBC-00000339</t>
  </si>
  <si>
    <t>GASTOS FINANCIEROS MES DE MAYO 2024- BANCOLOMBIA 801</t>
  </si>
  <si>
    <t>MBC-00000340</t>
  </si>
  <si>
    <t>GASTOS FINANCIEROS MES DE JUNIO 2024</t>
  </si>
  <si>
    <t>MBC-00000341</t>
  </si>
  <si>
    <t>GASTOS BANCARIOS MES DE JULIO</t>
  </si>
  <si>
    <t>MBC-00000342</t>
  </si>
  <si>
    <t>GASTOS BANCARIOS MES DE AGOSTO 2024</t>
  </si>
  <si>
    <t>MBC-00000343</t>
  </si>
  <si>
    <t>GASTOIS BANCARIOS MES DE SEPTIEMBRE</t>
  </si>
  <si>
    <t>MBC-00000344</t>
  </si>
  <si>
    <t>GASTOS BANCARIOS MES DE OCTUBRE</t>
  </si>
  <si>
    <t>MBC-00000345</t>
  </si>
  <si>
    <t>GASTOS BANCARIOS MES DE NOVIEMBRE</t>
  </si>
  <si>
    <t>NIB-00003018</t>
  </si>
  <si>
    <t>TARJETA DE CREDITO 5892 2520 6844 4207 TAREJTA DE CREDITO A NOMBRE DE FRANCISCO MONCAYO</t>
  </si>
  <si>
    <t>NIB-00003067</t>
  </si>
  <si>
    <t>PAGO TARJETA DE CREDITO 4302740001596798 A NOMBRE DE INGENIO CARMELITA</t>
  </si>
  <si>
    <t>NIB-00003108</t>
  </si>
  <si>
    <t>GASTOS FINANCIEROS MES DE ENERO BOGOTA 484</t>
  </si>
  <si>
    <t>NIB-00003128</t>
  </si>
  <si>
    <t>GASTOS FINANCIEROS MES DE ENERO BANCOLOMBIA SOBREGIROS</t>
  </si>
  <si>
    <t>NIB-00003132</t>
  </si>
  <si>
    <t>GASTOS FINANCIEROS MES DE ENERO DE 2023 DAVIVIENDA</t>
  </si>
  <si>
    <t>NIB-00003137</t>
  </si>
  <si>
    <t>GASTOS FINANCIEROS CREDICORP</t>
  </si>
  <si>
    <t>CREDICORP CAPITAL COLOMBIA S.A</t>
  </si>
  <si>
    <t>NIB-00003139</t>
  </si>
  <si>
    <t>GASTOS FINANCIEROS MES DE ENERO DE 2024 POPULAR 2276</t>
  </si>
  <si>
    <t>NIB-00003142</t>
  </si>
  <si>
    <t>GASTOS FINANCIEROS MES DE ENERO DE 2024 - 2133</t>
  </si>
  <si>
    <t>NIB-00003145</t>
  </si>
  <si>
    <t>RENDIMIENTOS Y GASTOS FINANCIEROS MES DE ENERO DE 2023</t>
  </si>
  <si>
    <t>NIB-00003323</t>
  </si>
  <si>
    <t>GASTOS FINANCIEROS MES DE FEBRERO 484 SOBREGIROS BOGOTA</t>
  </si>
  <si>
    <t>NIB-00003325</t>
  </si>
  <si>
    <t>GASTOS FINANCIEROS MES DE FEBRERO DE 2024</t>
  </si>
  <si>
    <t>NIB-00003326</t>
  </si>
  <si>
    <t>GASTOS FINANCIEROS MES DE FEBRERO DE 2024 - POPULAR 2276</t>
  </si>
  <si>
    <t>NIB-00003327</t>
  </si>
  <si>
    <t>GASTOS FINANCIEROS MES DE FEBRERO POPULAR 2133</t>
  </si>
  <si>
    <t>NIB-00003383</t>
  </si>
  <si>
    <t>GASTOS FINANCIEROS BANCOLOMBIA SOBREGIROS</t>
  </si>
  <si>
    <t>NIB-00003394</t>
  </si>
  <si>
    <t>GMF CREDICORP</t>
  </si>
  <si>
    <t>NIB-00003564</t>
  </si>
  <si>
    <t>GASTOS FINANCIEROS MES DE MARZO BANCOLOMBIA SOBREGIROS</t>
  </si>
  <si>
    <t>NIB-00003569</t>
  </si>
  <si>
    <t>GASTOS FINANCIEROS MES DE MARZO DE 2024- DAVIVIENDA</t>
  </si>
  <si>
    <t>NIB-00003571</t>
  </si>
  <si>
    <t>COMISION MES DE MARZO DE 2024 Y GASTOS FINANCIEROS</t>
  </si>
  <si>
    <t>NIB-00003578</t>
  </si>
  <si>
    <t>NIB-00003601</t>
  </si>
  <si>
    <t>GASTOS FINANCIEROS MES DE MARZO POPULAR 2133</t>
  </si>
  <si>
    <t>NIB-00003615</t>
  </si>
  <si>
    <t>GMF CREDICORP MES DE MARZO</t>
  </si>
  <si>
    <t>NIB-00003755</t>
  </si>
  <si>
    <t>GASTOS FINANCIEROS MES DE ABRIL DE 2023- BANCOLOMBIA 762</t>
  </si>
  <si>
    <t>NIB-00003756</t>
  </si>
  <si>
    <t>GASTOS FINANCIEROS MES DE ABRIL DE 2024- CREDICORP</t>
  </si>
  <si>
    <t>NIB-00003758</t>
  </si>
  <si>
    <t>GASTOS FINANCIEROS MES DE ABRIL POPULAR 2133</t>
  </si>
  <si>
    <t>NIB-00003763</t>
  </si>
  <si>
    <t>GASTOS FINANCIEROS DAVIVIENDA MES DE ABRIL DE 2024</t>
  </si>
  <si>
    <t>NIB-00003764</t>
  </si>
  <si>
    <t>GASTOS FINANCIEROS BANCOLOMBIA 762</t>
  </si>
  <si>
    <t>NIB-00003765</t>
  </si>
  <si>
    <t>GASTOS FINANCIEROS POPULAR 2276</t>
  </si>
  <si>
    <t>NIB-00003790</t>
  </si>
  <si>
    <t>REINTEGRO POR PAGO REALIZADO EN CUENTA ERRADA YA QUE CORRESPONDIA A RENTEK EL PAGO</t>
  </si>
  <si>
    <t>NIB-00003801</t>
  </si>
  <si>
    <t>REVESION GASTOS FINANCIEROS MES DE ABRIL -</t>
  </si>
  <si>
    <t>NIB-00003954</t>
  </si>
  <si>
    <t>GASTOS FINANCIEROS</t>
  </si>
  <si>
    <t>NIB-00003961</t>
  </si>
  <si>
    <t>GASTOS FINANCIEROS CTA 484 ESPECIAL</t>
  </si>
  <si>
    <t>NIB-00003966</t>
  </si>
  <si>
    <t>GASTOS FINANCIEROS MES DE MAYO-POPULAR 2233</t>
  </si>
  <si>
    <t>NIB-00004014</t>
  </si>
  <si>
    <t>GASTOS BANCARIOS POPULAR 2276</t>
  </si>
  <si>
    <t>NIB-00004023</t>
  </si>
  <si>
    <t>NIB-00004024</t>
  </si>
  <si>
    <t>GASTOS FINANCIEROS MES DE MAYO 762 SOBREGIROS</t>
  </si>
  <si>
    <t>NIB-00004025</t>
  </si>
  <si>
    <t>GASTOS FINANCIEROS MES DE MAYO DAVIVIENDA</t>
  </si>
  <si>
    <t>NIB-00004029</t>
  </si>
  <si>
    <t>GASTOS BANCARIOS POPULAR 2133</t>
  </si>
  <si>
    <t>NIB-00004193</t>
  </si>
  <si>
    <t>GASTOS FINANCIEROS  E INTERES CORRESPONDIENTE AL MES DE JUNIO BANCOLOMBIA - SOBREGIRO  762-823167-03</t>
  </si>
  <si>
    <t>GASTOS FINANCIEROS CORRESPONDIENTE AL MES DE JUNIO BANCOLOMBIA - SOBREGIRO  762-823167-03</t>
  </si>
  <si>
    <t>NIB-00004196</t>
  </si>
  <si>
    <t>GASTOS FINANCIEROS BANCO POPULAR 2276 - CORRESPONDIENTE AL MES DE JUNIO 2024</t>
  </si>
  <si>
    <t>NIB-00004197</t>
  </si>
  <si>
    <t>GASTOS FINANCIEROS DAVIVIENDA CORRESPONDIENTE AL MES DE JUNIO 2024</t>
  </si>
  <si>
    <t>NIB-00004229</t>
  </si>
  <si>
    <t>GASTOS BANCARIOS BANCO DE BOGOTA TULUA - CORRESPONDIENTE AL MES DE JUNIO 2024</t>
  </si>
  <si>
    <t>NIB-00004233</t>
  </si>
  <si>
    <t>GASTOS BANCARIOS BANCO DE BOGOTA SOBREGIRO JUNIO 2024 - 484183223</t>
  </si>
  <si>
    <t>NIB-00004270</t>
  </si>
  <si>
    <t>GASTOS FINANCIEROS MES DE JUNIO 2024- CREDICORP</t>
  </si>
  <si>
    <t>GASTOS FINANCIEROS MES DE JUNIO 2024 - CREDICORP</t>
  </si>
  <si>
    <t>NIB-00004508</t>
  </si>
  <si>
    <t>GASTOS BANCARIOS BANCO DE BOGOTA CALI MES DE JULIO 2024</t>
  </si>
  <si>
    <t>GASTOS BANCARIOS BANCO BOGOTA CALI MES DE JULIO 2024</t>
  </si>
  <si>
    <t>NIB-00004509</t>
  </si>
  <si>
    <t>GASTOS BANCARIOS DAVIVIENDA 7678 MES DE JULIO 2024</t>
  </si>
  <si>
    <t>NIB-00004510</t>
  </si>
  <si>
    <t>GASTOS BANCARIOS - BOGOTA ESPECIAL - MES DE JULIO 2024</t>
  </si>
  <si>
    <t>GASTOS BANCARIOS BANCO BOGOTA ESPECIAL - MES DE JULIO 2024</t>
  </si>
  <si>
    <t>NIB-00004511</t>
  </si>
  <si>
    <t>GASTOS BANCARIOS BOGOTA TULUA MES DE JULIO 2024</t>
  </si>
  <si>
    <t>GASTOS BANCARIOS BANCO BOGOTA TULUA MES DE JULIO 2024</t>
  </si>
  <si>
    <t>NIB-00004512</t>
  </si>
  <si>
    <t>GASTOS BANCARIOS MES DE JULIO 2024 BANCO POPULAR  2276</t>
  </si>
  <si>
    <t>NIB-00004513</t>
  </si>
  <si>
    <t>GASTOS BANCARIOS BANCOLOMBIA ESPECIAL MES DE JULIO 2024</t>
  </si>
  <si>
    <t>NIB-00004517</t>
  </si>
  <si>
    <t>Gmf Abril 2024 FIDUCIA DAVIVIENDA 11200504</t>
  </si>
  <si>
    <t>CONTABILIZACION DE GASTOS BANCARIOS FIDUCIA DAVIVIENDA Y FID. RENTA LIQUIDA</t>
  </si>
  <si>
    <t>Gmf Junio 2024 FIDUCIA DAVIVIENDA 11200504</t>
  </si>
  <si>
    <t>Gmf Mayo 2024 FIDUCIA DAVIVIENDA 11200504</t>
  </si>
  <si>
    <t>NIB-00004523</t>
  </si>
  <si>
    <t>4x1000 BGTA CALI JUNIO 2024</t>
  </si>
  <si>
    <t>GASTOS BANCARIOS MES DE JUNIO 2024 BANCO DE BOGOTA</t>
  </si>
  <si>
    <t>NIB-00004524</t>
  </si>
  <si>
    <t>GASTOS BANCARIOS FIDUCIA DAVIVIENDA RENTA LIQUIDA  MES DE JULIO 2024</t>
  </si>
  <si>
    <t>NIB-00004620</t>
  </si>
  <si>
    <t>AJUSTE DE GASTO BANCARIOS  JULIO 2024 BANCLOMBIA 2201</t>
  </si>
  <si>
    <t>AJUSTE DE GASTO BANCARIOS  JUNIO 2024 BANCLOMBIA 2201-</t>
  </si>
  <si>
    <t>NIB-00004626</t>
  </si>
  <si>
    <t>4X1000 JULIO 2024</t>
  </si>
  <si>
    <t>AJUSTE DE GASTOS BANCARIOS BANCO POPUAR 2276 JULIO 2024</t>
  </si>
  <si>
    <t>NIB-00004630</t>
  </si>
  <si>
    <t>4X1000- JULIO 2024</t>
  </si>
  <si>
    <t>AJUSTE DE GASTOS BANCARIOS MES DE JULIO 2024 FIDUCIA POPULAR - 2213</t>
  </si>
  <si>
    <t>NIB-00004635</t>
  </si>
  <si>
    <t>CUOTA MANEJO TARJETA PREPAGO - JUNIO 28/2024</t>
  </si>
  <si>
    <t>GASTOS BANCARIOS JUNIO 2024 BANCOLOMBIA 2201</t>
  </si>
  <si>
    <t>NIB-00004801</t>
  </si>
  <si>
    <t>GASTOS BANCARIOS BANCO BGTA TULUA 612036319 CORRESPONDIENTE AL MES DE AGOSTO 2024</t>
  </si>
  <si>
    <t>NIB-00004802</t>
  </si>
  <si>
    <t>GASTOS BANCARIOS BANCO BGTA CALI 256096355 CORRESPONDIENTE AL MES DE AGOSTO 2024</t>
  </si>
  <si>
    <t>NIB-00004803</t>
  </si>
  <si>
    <t>GASTOS BANCARIOS BANCO BGTA ESPECIAL 484183223 CORRESPONDIENTE AL MES DE AGOSTO 2024</t>
  </si>
  <si>
    <t>NIB-00004804</t>
  </si>
  <si>
    <t>GASTOS BANCARIOS BANCOLOMBIA ESPECIAL 76282316703 CORRESPONDIENTE AL MES DE AGOSTO 2024</t>
  </si>
  <si>
    <t>NIB-00004805</t>
  </si>
  <si>
    <t>GASTOS BANCAROS BCO DAVIVIENDA 7678 CORRESPONDIENTE AL MES DE AGOSTO 2024</t>
  </si>
  <si>
    <t>NIB-00004811</t>
  </si>
  <si>
    <t>GSATOS BANCARIOS BCO POPULAR 2276 COORESPONDIENTE AL MES DE AGOSTO 2024</t>
  </si>
  <si>
    <t>NIB-00004816</t>
  </si>
  <si>
    <t>GASTOS BANCARIO FIDUCIA DAVIVIENDA CTA AHORROS 9407</t>
  </si>
  <si>
    <t>NIB-00004817</t>
  </si>
  <si>
    <t>GASTOS BANCARIOS FIDUCIA POPULAR CTA AHORRO 2133</t>
  </si>
  <si>
    <t>NIB-00005037</t>
  </si>
  <si>
    <t>GASTOS BANCARIOS FIDUCIA DAVIVIENDA RENTA LIQUIDA MES DE SEPTIEMBRE 2024</t>
  </si>
  <si>
    <t>NIB-00005042</t>
  </si>
  <si>
    <t>GASTOS BANCARIOS BCO DAVIVIENDA 7678  CORRESPONDIENTE AL MES DE SEPTIEMBRE 2024</t>
  </si>
  <si>
    <t>NIB-00005045</t>
  </si>
  <si>
    <t>GASTOS BANCARIOS BANCOLOMBIA ESPECIAL MES DE SEPTIEMBRE 2024</t>
  </si>
  <si>
    <t>NIB-00005051</t>
  </si>
  <si>
    <t>GASTOS BANCARIOS BGTA TULUA #612036319 MES DE SEPTIEMBRE 2024</t>
  </si>
  <si>
    <t>NIB-00005052</t>
  </si>
  <si>
    <t>GASTOS BANCARIOS BGTA CALI #256096355 MES DE SEPTIEMBRE 2024</t>
  </si>
  <si>
    <t>NIB-00005053</t>
  </si>
  <si>
    <t>GASTOS BANCARIOS BGTA ESPECIAL #484183223 MES DE SEPTIEMBRE 2024</t>
  </si>
  <si>
    <t>NIB-00005057</t>
  </si>
  <si>
    <t>GASTOS BANCARIOS BANCO POPULAR CTE 2276 MES DE SEPTIEMBRE 2024</t>
  </si>
  <si>
    <t>NIB-00005061</t>
  </si>
  <si>
    <t>GASTOS BANCARIOS FIDUCIA POPULAR #220-560-32213-3 MES DE SEPTIEMBRE 2024</t>
  </si>
  <si>
    <t>NIB-00005071</t>
  </si>
  <si>
    <t>GASTOS BANCARIOS DEL MES DE JULIO, AGOSTO Y SEPTIEMBRE LOS CUALES NO SUBEN EN EL ARCHIVO PLANO</t>
  </si>
  <si>
    <t>NIB-00005106</t>
  </si>
  <si>
    <t>4x1000 Julio 2024 31/07/2024</t>
  </si>
  <si>
    <t>GASTOS BANCARIOS MES (JULIO- AGOSTO - SEPTIEMBRE 2024)</t>
  </si>
  <si>
    <t>BANCO DE OCCIDENTE</t>
  </si>
  <si>
    <t>NIB-00005108</t>
  </si>
  <si>
    <t>GMF MES DE SEPTIEMBRE EN BANCO DE BGTA TULUA T BGTA CALI</t>
  </si>
  <si>
    <t>NIB-00005124</t>
  </si>
  <si>
    <t>NIB-00005233</t>
  </si>
  <si>
    <t>LEGALIZACION DE ANTICIPO</t>
  </si>
  <si>
    <t>NIB-00005268</t>
  </si>
  <si>
    <t>GASTOS BANCARIOS CORRESPONDIENTES AL MES DE OCTUBRE 2024 DAVIVIENDA 7678</t>
  </si>
  <si>
    <t>NIB-00005276</t>
  </si>
  <si>
    <t>GASTOS BANCARIOS BCO BGTA TULUA CORRESPONDIENTE AL MES DE OCTUBRE 2024</t>
  </si>
  <si>
    <t>NIB-00005278</t>
  </si>
  <si>
    <t>GASTOS BANCARIOS BCO BGTA CALI CORRESPONDIENTE AL MES DE OCTUBRE 2024</t>
  </si>
  <si>
    <t>NIB-00005280</t>
  </si>
  <si>
    <t>GASTOS BANCARIOS BCO BGTA ESPECIAL CORRESPONDIENTE AL MES DE OCTUBRE 2024</t>
  </si>
  <si>
    <t>NIB-00005289</t>
  </si>
  <si>
    <t>GASTOS BANCARIOS FIDUCIA DAVIVIENDA RENTA LIQUIDA MES DE OCTUBRE 2024</t>
  </si>
  <si>
    <t>NIB-00005297</t>
  </si>
  <si>
    <t>GASTOS BANCARIOS FIDUCIA POPULAR CTA HORRO 220-560-32213-3 OCTUBRE 2024</t>
  </si>
  <si>
    <t>NIB-00005308</t>
  </si>
  <si>
    <t>GASTOS BANCARIOS BANCOLOMBIA ESPECIAL CTA CTE #76282316703 MES DE OCTUBRE 2024</t>
  </si>
  <si>
    <t>NIB-00005460</t>
  </si>
  <si>
    <t>GASTOS BANCARIOS DAVIVIENDA 7678 MES DE NOVIEMBRE 2024</t>
  </si>
  <si>
    <t>NIB-00005461</t>
  </si>
  <si>
    <t>GASTOS BANCARIOS BOGOTA TULUA  # 612036319 MES DE NOVIEMBRE 2024</t>
  </si>
  <si>
    <t>NIB-00005462</t>
  </si>
  <si>
    <t>GASTOS BANCARIOS BANCO DE BOGOTA CALI #256096355 MES DE NOVIEMBRE 2024</t>
  </si>
  <si>
    <t>NIB-00005463</t>
  </si>
  <si>
    <t>GASTOS BANCARIOS BANCO DE BOGOTA ESPECIAL #484183223 MES DE NOVIEMBRE 2024</t>
  </si>
  <si>
    <t>NIB-00005465</t>
  </si>
  <si>
    <t>GASTOS BANCARIOS BANCOLOMBIA ESPECIAL #76282316703 - MES DE NOVIEMBRE 2024</t>
  </si>
  <si>
    <t>NIB-00005481</t>
  </si>
  <si>
    <t>COMISION BANCARIA Y GASTOS FINANCIEROS MES DE NOVIEMBRE 2024</t>
  </si>
  <si>
    <t>NIB-00005483</t>
  </si>
  <si>
    <t>GASTOS BANCARIOS MES DE NOVIEMBRE 2024  CORRIENTE 2276</t>
  </si>
  <si>
    <t>NIB-00005527</t>
  </si>
  <si>
    <t>GMF MES DE NOVIEMBRE 2024</t>
  </si>
  <si>
    <t>NIB-00005669</t>
  </si>
  <si>
    <t>COMISION BANCARIA MES DE DICIEMBRE 2024</t>
  </si>
  <si>
    <t>COMISION BANCARIA Y GASTOS FINANCIEROS MES DE DICIEMBRE 2024</t>
  </si>
  <si>
    <t>NIB-00005675</t>
  </si>
  <si>
    <t>GATOS BANCARIOS MES DE DICIEMBRE 2024 (IVA Y 4X1000) BGTA CALI</t>
  </si>
  <si>
    <t>GATOS BANCARIOS MES DE DICIEMBRE 2024 (IVA Y 4X1000) BGTA TULUA</t>
  </si>
  <si>
    <t>GATOS BANCARIOS MES DE DICIEMBRE 2024 (IVA Y 4X1000) BGTA ESPECIAL</t>
  </si>
  <si>
    <t>NIB-00005676</t>
  </si>
  <si>
    <t>GASTOS BANCARIOS BCO POPULAR 2276 (IVA Y 4X1000) DICIEMBRE 2024</t>
  </si>
  <si>
    <t>NIB-00005691</t>
  </si>
  <si>
    <t>GASTOS BANCARIOS MES DE DICIEMBRE (IVA - 4X1000)</t>
  </si>
  <si>
    <t>NIB-00005717</t>
  </si>
  <si>
    <t>GASTOS BANCARIOS POR SOBREGIROS NOVIEMBRE 2024- COBRADOS EN DICIEMBRE 2024- BANCO DE BOGOTA</t>
  </si>
  <si>
    <t>GASTOS BANCARIOS POR SOBREGIROS NOVIEMBRE 2024- COBRADOS EN DICIEMBRE 2024- BANCO DE BOGOTA CALI</t>
  </si>
  <si>
    <t>GASTOS BANCARIOS POR SOBREGIROS NOVIEMBRE 2024- COBRADOS EN DICIEMBRE 2024- BANCO DE BOGOTA ESPECIAL</t>
  </si>
  <si>
    <t>NIB-00005719</t>
  </si>
  <si>
    <t>GASTOS BANCARIOS 27 AL 31 DICIEMBRE 2024</t>
  </si>
  <si>
    <t>GASTOS BANCARIOS MES DE ENERO 2025 - FIDEICOMISO 42112858 - RENTA LIQUIDA</t>
  </si>
  <si>
    <t>NIB-00005910</t>
  </si>
  <si>
    <t>GASTOS BANCARIOS BGTA ESPECIAL- 484183223 - MES DE ENERO 2025</t>
  </si>
  <si>
    <t>NIB-00005912</t>
  </si>
  <si>
    <t>GASTOS BANCARIOS BANCOLOMBIA ESPECIAL 76282316703 MES DE ENERO 2025</t>
  </si>
  <si>
    <t>NIB-00006093</t>
  </si>
  <si>
    <t>GASTOS BANCARIOS BANCO DE BOGOTA SOBREGIRO 484183223</t>
  </si>
  <si>
    <t>NIB-00006125</t>
  </si>
  <si>
    <t>GASTOS BANCARIOS Y RENDIMIENTOS FINANCIEROS MES DE FEBRERO 2025-FONDO INVERSION RENTA L 482800029407 DAV</t>
  </si>
  <si>
    <t>NIB-00006132</t>
  </si>
  <si>
    <t>GASTOS BANCARIOS MES DE FEBRERO 2025 - BANCOLOMBIA SOBREGIRO 76282316703|</t>
  </si>
  <si>
    <t>NIB-00006134</t>
  </si>
  <si>
    <t>GASTOS BANCARIOS MES DE FEBRERO 2025 - BANCO POPULAR CTA CTE 110560212276</t>
  </si>
  <si>
    <t>NIB-00006135</t>
  </si>
  <si>
    <t>GASTOS BANCARIOS MES DE FEBRERO 2025 - PATRIMONIO AUTONOMOS FIDUCIARIA POPULAR</t>
  </si>
  <si>
    <t>NIB-00006360</t>
  </si>
  <si>
    <t>GASTOS BANCARIOS MES DE MARZO 2025 -BANCOLOMBIA CTA CTE 2201</t>
  </si>
  <si>
    <t>NIB-00006363</t>
  </si>
  <si>
    <t>GASTOS BANCARIOS BANCO DE BOGOTA SOBREGIRO 484183223 MES DE MARZO 2025</t>
  </si>
  <si>
    <t>NIB-00006364</t>
  </si>
  <si>
    <t>GASTOS BANCARIOS BANCOLOMBIA SOBREGIRO 76282316703 MES DE MARZO 2025</t>
  </si>
  <si>
    <t>NIB-00006560</t>
  </si>
  <si>
    <t>GASTOS BANCARIOS BGTA ESPCIAL 484183223 MES DE ABRIL 2025</t>
  </si>
  <si>
    <t>GASTOS BANCARIOS BGTA ESPECIAL 484183223 MES DE ABRIL 2025</t>
  </si>
  <si>
    <t>NIB-00006563</t>
  </si>
  <si>
    <t>GASTOS BANCARIOS BANCOLOMBIA ESPECIAL 762-823167-03 MES DE ABRIL 2025</t>
  </si>
  <si>
    <t>NIB-00006588</t>
  </si>
  <si>
    <t>TRASLADO DE FONDOS Y REGISTRO DE GASTOS BANCARIOS FONDO INVERSION RENTA L 482800029407 DAV MES DE ABRIL</t>
  </si>
  <si>
    <t>TRASLADO DE FONDOS Y REGISTRO DE GASTOS BANCARIOS FONDO INVERSION RENTA L 482800029407 DAV MES DE ABRIL 2025</t>
  </si>
  <si>
    <t>PATRIMONIOS AUTONOMOS ADMINISTRADOS POR LA SOC FIDUCIARIA DAVIVIENDA</t>
  </si>
  <si>
    <t>NIB-00006646</t>
  </si>
  <si>
    <t>GASTOS BANCARIOS BCO POPULAR MARZO DEL 17 AL 31 DE MARZO 2025</t>
  </si>
  <si>
    <t>NIC-00032233</t>
  </si>
  <si>
    <t>REGISTRO COMISION-IVA-4*1000 NIC 32094 REC.OFICALI 09-01-2024</t>
  </si>
  <si>
    <t>NIC-00032321</t>
  </si>
  <si>
    <t>REGISTO COMISION-IVA-4X1000 TARJ.P NIP 14457 17-01-2024</t>
  </si>
  <si>
    <t>NIC-00032506</t>
  </si>
  <si>
    <t>REGISTRO COMISION-IVA- 4*1000 CAM-935 RE.OFICINA CALI</t>
  </si>
  <si>
    <t>NIC-00032508</t>
  </si>
  <si>
    <t>REGISTRO IVA-COMISION-4*1000  NIP-14634 SEG. GERENCIA</t>
  </si>
  <si>
    <t>NIC-00032595</t>
  </si>
  <si>
    <t>CRUCE DE 4X1000 ASUMIDO POR INGENIO CARMELITA EN LA DEVOLUCION DEL DINERO</t>
  </si>
  <si>
    <t>AIRCO S.A.S.</t>
  </si>
  <si>
    <t>NIC-00032704</t>
  </si>
  <si>
    <t>CRUCE DE ANTICIPO POR RETENCION EN LA FUENTE FIDUDAVIVIENDA</t>
  </si>
  <si>
    <t>NIC-00032772</t>
  </si>
  <si>
    <t>COMISIION MES DE FEBRERO DE 2024</t>
  </si>
  <si>
    <t>COMISIION MES DE FEBRERO DE 2024 Y GASTOS FINANCIEROS</t>
  </si>
  <si>
    <t>NIC-00032916</t>
  </si>
  <si>
    <t>BAJA DE 4*1000 EN CONSIGNACION REALIZADA PARA DEVOLUCION DE SALDO</t>
  </si>
  <si>
    <t>DHL EXPRESS COLOMBIA LTDA</t>
  </si>
  <si>
    <t>NIC-00033108</t>
  </si>
  <si>
    <t>CONCILIACIÓN A MARZO ALIANZA ENCARGO 1034</t>
  </si>
  <si>
    <t>NIC-00033198</t>
  </si>
  <si>
    <t>LEGALIZACION TARJETA 5592-2520-6844-4207 FRANCISCO MONCAYO</t>
  </si>
  <si>
    <t>NIC-00033371</t>
  </si>
  <si>
    <t>PROVISION COMISION MES DE MARZO DE 2024 Y GASTOS FINANCIEROS- FIDUCIA DAVIVIENDA</t>
  </si>
  <si>
    <t>NIC-00033388</t>
  </si>
  <si>
    <t>DEBITO AUTOMATICO POR EMBARGO EN EL MES DE AGOSTO 2023 A LA CTA DEL BANCO DE OCCIDENTE</t>
  </si>
  <si>
    <t>FIDEICOMISO DEPARTAMENTO DEL VALLE</t>
  </si>
  <si>
    <t>NIC-00033437</t>
  </si>
  <si>
    <t>RESGISTRO IVA COMISION 4*1000 CAM 948-950</t>
  </si>
  <si>
    <t>NIC-00033438</t>
  </si>
  <si>
    <t>REVERSO DE NOTA NIP-15165</t>
  </si>
  <si>
    <t>REVERSO DE NOTA NIP-15165, 4 X 1000 NO APLICADO EN LEGALIZACION DE TARJETA DESTINOS MES DE ABRIL</t>
  </si>
  <si>
    <t>NIC-00033553</t>
  </si>
  <si>
    <t>REVERSO PROVISION COMISION MES DE MARZO DE 2024 Y GASTOS FINANCIEROS- FIDUCIA DAVIVIENDA</t>
  </si>
  <si>
    <t>NIC-00033702</t>
  </si>
  <si>
    <t>GASTOS FINANCIEROS MES DE MAYO CREDICORP</t>
  </si>
  <si>
    <t>NIC-00033714</t>
  </si>
  <si>
    <t>GMF E INTERES MES DE MAYO POPULAR</t>
  </si>
  <si>
    <t>NIC-00034127</t>
  </si>
  <si>
    <t>REGISTRO IVA COMISION GMF RECARGA TARJETA 16 JUL 2024</t>
  </si>
  <si>
    <t>NIC-00034128</t>
  </si>
  <si>
    <t>REGISTRO IVA COMISION GMF RECARGA VIATICOS JULIO 26</t>
  </si>
  <si>
    <t>NIC-00034243</t>
  </si>
  <si>
    <t>PROVISIÓN GASTOS TC GERENCIA DEL MES DE JULIO DE 2024</t>
  </si>
  <si>
    <t>NIC-00034247</t>
  </si>
  <si>
    <t>REVERSO PROVISIÓN GASTOS TC GERENCIA DEL MES DE JULIO DE 2024</t>
  </si>
  <si>
    <t>NIC-00034403</t>
  </si>
  <si>
    <t>LEGALIZACION TARJETA CREDITO  FRANCISCO MONCAYO No.5592 2520 6844 4207</t>
  </si>
  <si>
    <t>NIC-00034416</t>
  </si>
  <si>
    <t>COBRO POR GASTO DE 4X1000 EN DEVOLUCION DE DINERO POR ERROR EN COSIGNACION, DEVOLUCION EN NIP15484 MES DE JUNIO 2024</t>
  </si>
  <si>
    <t>CASA LUKER SA</t>
  </si>
  <si>
    <t>NIC-00034590</t>
  </si>
  <si>
    <t>GASTOS BANCARIOS FIDUCIA DAVIVIENDA RENTA LIQUIDA MES DE AGOSTO 2024</t>
  </si>
  <si>
    <t>NIC-00034713</t>
  </si>
  <si>
    <t>GASTOS BANCARIO BANCOLOMBIA CTA CORRIENTE 2201</t>
  </si>
  <si>
    <t>AJUSTES DE GASTOS BANCARIOS MES DE AGOSTO QUE QUEDARON POR FUERA DEL MES</t>
  </si>
  <si>
    <t>INGENIO CARMELITA S.A.</t>
  </si>
  <si>
    <t>GMF JULIO BANCO BGTA CALI</t>
  </si>
  <si>
    <t>NIC-00035004</t>
  </si>
  <si>
    <t>LEGALIZACION TARJETA CREDITO FRANCISCO MONCAYO</t>
  </si>
  <si>
    <t>NIC-00035173</t>
  </si>
  <si>
    <t>NIC-00035175</t>
  </si>
  <si>
    <t>NIC-00035177</t>
  </si>
  <si>
    <t>NIC-00035194</t>
  </si>
  <si>
    <t>LEGALIZACION GASTOS TC TESORERA</t>
  </si>
  <si>
    <t>AMAZON</t>
  </si>
  <si>
    <t>NIC-00035269</t>
  </si>
  <si>
    <t>LEGALIZACION DE TC DESTINOS N°: 43027400001596798 - SEPTIEMBRE 2024 (NIB5229)</t>
  </si>
  <si>
    <t>GMF 4X1000  FIDUCIARIA POPOLAR 2213- 3- MES DICIEMBRE 2024</t>
  </si>
  <si>
    <t>GMF 4X1000  FIDUCIARIA POPOLAR 2213- 3- MES ENERO 2025</t>
  </si>
  <si>
    <t>GMF 4X1000 AL 31 DIC 2024 FIDUCIA ALIANZA  1140</t>
  </si>
  <si>
    <t>GMF mes de enero 2025 - BANCO DE BOGTA TULUA 11100501</t>
  </si>
  <si>
    <t>MGF 4X1000 MES DE DICIEMBRE 2024 -46918</t>
  </si>
  <si>
    <t>NIC-00036753</t>
  </si>
  <si>
    <t>GASTOS BANCARIOS DEL 01 AL 16 DE MARZO 2025 FIDUCIA POPULAR -220-560-32213-3</t>
  </si>
  <si>
    <t>NIP-00014440</t>
  </si>
  <si>
    <t>REGISTRO COMISION-IVA-4*1000 CAM027-NIC 32216 OGCP 2480-GSH 127 T.TESORERIA 10-1-24</t>
  </si>
  <si>
    <t>NIP-00014461</t>
  </si>
  <si>
    <t>REGISTRO COMISION-IVA-4X1000 NIP 14435-460 TARJ.SEGURIDAD 17-1-2024</t>
  </si>
  <si>
    <t>NIP-00014551</t>
  </si>
  <si>
    <t>REGISTRO IVA-COMISION-4X1000 NIOP-14504-14529 TARJ.SEG.GERENCIA 31-01-2024</t>
  </si>
  <si>
    <t>NIP-00014613</t>
  </si>
  <si>
    <t>LEGALIZACION GASTOS TC 5592252093721520</t>
  </si>
  <si>
    <t>NIP-00014616</t>
  </si>
  <si>
    <t>REGISTRO IVA-COMISION-4*1000 CAM 934 CARGIE 09-01-2024</t>
  </si>
  <si>
    <t>NIP-00014646</t>
  </si>
  <si>
    <t>REGISTRO IVA-COMISION-4*1000 CAM 028 TESORERIA</t>
  </si>
  <si>
    <t>NIP-00014664</t>
  </si>
  <si>
    <t>REGISTRO IVA-COMISION-4X1000  NIP-14662638-32574-4111201-232  TARJ.SEG GERENCIA</t>
  </si>
  <si>
    <t>NIP-00014700</t>
  </si>
  <si>
    <t>LEGALIZACION DE TARJETA DE CREDITO DESTINOS #4302740001596798 -  MES DE ENERO DE 2024</t>
  </si>
  <si>
    <t>NIP-00014706</t>
  </si>
  <si>
    <t>REGISTRO IVA-COMISION-4*1000 NIP14671-14704 REC.TAR.SEG. GERENCIA</t>
  </si>
  <si>
    <t>NIP-00014708</t>
  </si>
  <si>
    <t>IMPUESTO 4X1.000</t>
  </si>
  <si>
    <t>LEGALIZACION TARJETA DE CREDITO A NOMBRE DEL SEÑOR FRANCISCO MONCAYO MES DE ENERO DE 2024</t>
  </si>
  <si>
    <t>NIP-00014739</t>
  </si>
  <si>
    <t>LEGALIZACION GASTOS TC 5592252093721520 DIRECCION FINANCIERA</t>
  </si>
  <si>
    <t>NIP-00014740</t>
  </si>
  <si>
    <t>LEGALIZACION GASTOS TC 5592252034421750</t>
  </si>
  <si>
    <t>NIP-00014746</t>
  </si>
  <si>
    <t>REGISTRO IVA COMISION 4*1000 NIP 14457</t>
  </si>
  <si>
    <t>NIP-00014748</t>
  </si>
  <si>
    <t>REGISTRO IVA-COMISION-4*1000 CAM 938 OFICINA CALI</t>
  </si>
  <si>
    <t>NIP-00014749</t>
  </si>
  <si>
    <t>REGISTRO IVA-COMISION-4*1000  NIP 14724 TARJ.PREPAGO SEGURIDAD GERENCIA</t>
  </si>
  <si>
    <t>NIP-00014752</t>
  </si>
  <si>
    <t>REGISTRO IVA 4*1000 COMISION FRAS-MENGA VS-76657-75460 COEXITO 114E-2263</t>
  </si>
  <si>
    <t>NIP-00014831</t>
  </si>
  <si>
    <t>REGISTRO IVA COMISION 4*100 NIP 14782</t>
  </si>
  <si>
    <t>NIP-00014841</t>
  </si>
  <si>
    <t>REGISTRO IVA COMISION 4*1000 NIP 14738 CAM 936-941</t>
  </si>
  <si>
    <t>NIP-00014842</t>
  </si>
  <si>
    <t>REGISTRO IVA COMISION 4*1000 CAM 939</t>
  </si>
  <si>
    <t>NIP-00014849</t>
  </si>
  <si>
    <t>REGISTRO DE IVA COMISION Y 4*1000 NIP14830</t>
  </si>
  <si>
    <t>REGISTRO DE IVA COMISION Y 4*1000</t>
  </si>
  <si>
    <t>NIP-00014856</t>
  </si>
  <si>
    <t>REGISTRO IVA, COMISION 4/1000 CAM 939-943</t>
  </si>
  <si>
    <t>NIP-00014864</t>
  </si>
  <si>
    <t>REGISTRO DE IVA, COMISION, 4*1000 NIP 14860-FE 1101</t>
  </si>
  <si>
    <t>NIP-00014884</t>
  </si>
  <si>
    <t>INTERES 4X1000</t>
  </si>
  <si>
    <t>LEGALIZACION DE TARJETA DE CREDITO DESTINOS MES DE FEBRERO 2024 #4302740001596798</t>
  </si>
  <si>
    <t>NIP-00014894</t>
  </si>
  <si>
    <t>LEGALIZACION TC GERENCIA 5592252034421750 (FACTURA NO ENTREGADAS)</t>
  </si>
  <si>
    <t>LEGALIZACION TC GERENCIA 5592252034421750</t>
  </si>
  <si>
    <t>NIP-00014908</t>
  </si>
  <si>
    <t>NIP-00014934</t>
  </si>
  <si>
    <t>REGISTRO IVA COMISION 4*1000 NIP 14919-14928</t>
  </si>
  <si>
    <t>NIP-00014936</t>
  </si>
  <si>
    <t>REGISTRO IVA COMISIONES 4*1000 CAM 944-945</t>
  </si>
  <si>
    <t>NIP-00014966</t>
  </si>
  <si>
    <t>REGISTRO IVA COMISIÓN 4*1000 NIP 14953</t>
  </si>
  <si>
    <t>NIP-00014967</t>
  </si>
  <si>
    <t>REGISTRO IVA, COMOSION, 4*1000</t>
  </si>
  <si>
    <t>NIP-00014969</t>
  </si>
  <si>
    <t>REGISTRO DE IVA, COMISION, 4*1000, FAN 4044-4048</t>
  </si>
  <si>
    <t>NIP-00014981</t>
  </si>
  <si>
    <t>LEGALIZACION GASTOS TC DIRECCION FINANCIERA 5592252093721520</t>
  </si>
  <si>
    <t>NIP-00014988</t>
  </si>
  <si>
    <t>REGISTRA IVA COMISION 4*1000 FAN 28132826 NIP 14970</t>
  </si>
  <si>
    <t>NIP-00014994</t>
  </si>
  <si>
    <t>LEGALIZACION GASTOS TC GERENCIA 5592252034421750</t>
  </si>
  <si>
    <t>NIP-00014996</t>
  </si>
  <si>
    <t>REGISTRO IVA, COMISIÓN Y 4*1000 DE CAM 941-942</t>
  </si>
  <si>
    <t>NIP-00015009</t>
  </si>
  <si>
    <t>REGISTRO IVA, COMISION, 4*1000 CAM 946</t>
  </si>
  <si>
    <t>NIP-00015010</t>
  </si>
  <si>
    <t>REGISTRO IVA, COMISION, 4*1000 NIP 14997</t>
  </si>
  <si>
    <t>NIP-00015040</t>
  </si>
  <si>
    <t>SE REGISTRA COMISION, IVA Y 4*1000 NIC 33228</t>
  </si>
  <si>
    <t>NIP-00015067</t>
  </si>
  <si>
    <t>CONTABILIZACIÓN COMISION IVA 4*1000 NIP 15035</t>
  </si>
  <si>
    <t>NIP-00015069</t>
  </si>
  <si>
    <t>CONTABILIZACIÓN COMISION IVA 4*1000 NIP 15057</t>
  </si>
  <si>
    <t>NIP-00015072</t>
  </si>
  <si>
    <t>CONTABILIZACIÓN IVA COMISION 4*1000 CAM 949</t>
  </si>
  <si>
    <t>NIP-00015074</t>
  </si>
  <si>
    <t>CONTABILIZACIÓN IVA COMISION 4*1000 NIP15059</t>
  </si>
  <si>
    <t>NIP-00015167</t>
  </si>
  <si>
    <t>REGISTRO IVA COMISION 4*1000 NIP 15075</t>
  </si>
  <si>
    <t>NIP-00015250</t>
  </si>
  <si>
    <t>REGISTRO COMISION IVA 4X1000 NIP 15238</t>
  </si>
  <si>
    <t>NIP-00015251</t>
  </si>
  <si>
    <t>RESGISTRO IVA COMISION 4X1000 NIP 15199</t>
  </si>
  <si>
    <t>NIP-00015291</t>
  </si>
  <si>
    <t>CONTABILIZACION IVA COMISION Y 4X1000</t>
  </si>
  <si>
    <t>NIP-00015331</t>
  </si>
  <si>
    <t>LEGALIZACION DE TC DESTINOS #4302740001596798 CORRESPONDIENTE AL MES DE ABRIL 2024</t>
  </si>
  <si>
    <t>NIP-00015333</t>
  </si>
  <si>
    <t>LEGALIZACION GASTOS TC DIRECCIÓN FINANCIERA 5592252093721520</t>
  </si>
  <si>
    <t>NIP-00015334</t>
  </si>
  <si>
    <t>NIP-00015338</t>
  </si>
  <si>
    <t>NIP-00015341</t>
  </si>
  <si>
    <t>CONTABILIZACIÓN 4*1000 IVA COMISION DE CAM 951</t>
  </si>
  <si>
    <t>NIP-00015343</t>
  </si>
  <si>
    <t>CONTABILIZACIÓN 4*1000 IVA COMISION NIP 15340</t>
  </si>
  <si>
    <t>NIP-00015385</t>
  </si>
  <si>
    <t>LEGALIZACION 4*1000 IVA COMISION NIP 952</t>
  </si>
  <si>
    <t>NIP-00015386</t>
  </si>
  <si>
    <t>LEGALIZACIÓN 4*1000 COMISION IVA NIP 15336</t>
  </si>
  <si>
    <t>NIP-00015399</t>
  </si>
  <si>
    <t>CONTABILIZACIÓN IVA COMISION Y 4*1000 NIP15392-FE 10708</t>
  </si>
  <si>
    <t>NIP-00015407</t>
  </si>
  <si>
    <t>LEGALIZACION DE TC DESTINOS #4302740001596798 - CORRESPONDIENTE AL MES DE MAYO 2024</t>
  </si>
  <si>
    <t>NIP-00015450</t>
  </si>
  <si>
    <t>CONTABILIZACIÓN IVA COMIISON Y 4*1000</t>
  </si>
  <si>
    <t>NIP-00015451</t>
  </si>
  <si>
    <t>CONTABILIZACIÓN IVA COMISION Y 4*1000 NIP 15415</t>
  </si>
  <si>
    <t>NIP-00015457</t>
  </si>
  <si>
    <t>CONTABILIZACION IVA COMISION 4*1000 DE CAM 956</t>
  </si>
  <si>
    <t>NIP-00015458</t>
  </si>
  <si>
    <t>CONTABILIZACIÓN IVA COMISION 4*1000 NIP 15453 AVE1-417 AVE8-419</t>
  </si>
  <si>
    <t>NIP-00015504</t>
  </si>
  <si>
    <t>SE CONTABILIZA IVA COMISION 4*1000 CAM 953-954</t>
  </si>
  <si>
    <t>NIP-00015505</t>
  </si>
  <si>
    <t>SE CONTABILIZA IVA COMISION 4*1000 CAM 957</t>
  </si>
  <si>
    <t>NIP-00015507</t>
  </si>
  <si>
    <t>CONTABILIZACIÓN IVA COMISION 4/1000 FACT 447-4767-33871-33870-1443</t>
  </si>
  <si>
    <t>NIP-00015513</t>
  </si>
  <si>
    <t>NIP-00015521</t>
  </si>
  <si>
    <t>LEGALIZACION GASTOS TC TESORERA DLO GODADDYCOM</t>
  </si>
  <si>
    <t>NIP-00015543</t>
  </si>
  <si>
    <t>CONTABILIZACIÓN IVA, COMISION 4*1000 DE NIP 15527- FE 2099</t>
  </si>
  <si>
    <t>NIP-00015560</t>
  </si>
  <si>
    <t>CONTABLIZACIÓN IVA COMISION Y 4*1000</t>
  </si>
  <si>
    <t>NIP-00015569</t>
  </si>
  <si>
    <t>CONTABILIZACIÓN IVA COMISION Y 4*1000</t>
  </si>
  <si>
    <t>NIP-00015605</t>
  </si>
  <si>
    <t>LEGALIZACION DE TC DESTINOS #4302740001596798 CORRESPONDIENTE AL MES DE JUNIO 2024</t>
  </si>
  <si>
    <t>AEROVIAS DEL CONTINENTE AMERICANO S.A.AVIANCA</t>
  </si>
  <si>
    <t>NIP-00015610</t>
  </si>
  <si>
    <t>LEGALIZACION TARJETA FRANCISCO MOMCAYO MES DE JUNIO</t>
  </si>
  <si>
    <t>NIP-00015619</t>
  </si>
  <si>
    <t>LEGALIZACION TARJETA FRANCISCO MONCAYO</t>
  </si>
  <si>
    <t>LEGALIZACION TARJETA FRANCISCO MONCAYO No. 5592-2520-6844-4207</t>
  </si>
  <si>
    <t>NIP-00015671</t>
  </si>
  <si>
    <t>CONTABILIZACIÓN IVA COMISION Y 4*1000 DE CXP</t>
  </si>
  <si>
    <t>NIP-00015672</t>
  </si>
  <si>
    <t>CONTABILIZACIÓN IVA COMION Y 4*1000 DE CAM 958-959</t>
  </si>
  <si>
    <t>NIP-00015673</t>
  </si>
  <si>
    <t>CONTABILIZACIÓN IVA COMISIONES 4*1000</t>
  </si>
  <si>
    <t>NIP-00015676</t>
  </si>
  <si>
    <t>CONABILIZACION IVA COMISION 4*1000 NIP 15661</t>
  </si>
  <si>
    <t>NIP-00015677</t>
  </si>
  <si>
    <t>LEGALIZACION GASTOS TC 5592252034421750 MES DE JUNIO DE 2024 FACTURA PENDIENTES DE ENTREGA</t>
  </si>
  <si>
    <t>LEGALIZACION GASTOS TC 5592252034421750 MES DE JUNIO DE 2024</t>
  </si>
  <si>
    <t>NIP-00015680</t>
  </si>
  <si>
    <t>NIP-00015682</t>
  </si>
  <si>
    <t>LEGALIZACION GASTOS TC 5128350028970288</t>
  </si>
  <si>
    <t>NIP-00015686</t>
  </si>
  <si>
    <t>LEGALIZACION TC TESORERA GASTOS MES DE JUNIO DE 2024 FACTURA DE GODADDYCOM.L</t>
  </si>
  <si>
    <t>LEGALIZACION TC TESORERA GASTOS MES DE JUNIO DE 2024</t>
  </si>
  <si>
    <t>NIP-00015691</t>
  </si>
  <si>
    <t>CONTABILIZACIÓN 4*1000 CAM 961</t>
  </si>
  <si>
    <t>NIP-00015703</t>
  </si>
  <si>
    <t>NIP-00015721</t>
  </si>
  <si>
    <t>SE CONTABILIZA IVA COMISIÓN Y 4*1000 DE NIP 15715-15718</t>
  </si>
  <si>
    <t>NIP-00015745</t>
  </si>
  <si>
    <t>CONTABILIZACIÓN IVA COMISION 4*1000 CAM 965-963-964-962</t>
  </si>
  <si>
    <t>NIP-00015748</t>
  </si>
  <si>
    <t>CONTABILIZACIÓN IVA COMISION 4 X1000</t>
  </si>
  <si>
    <t>NIP-00015749</t>
  </si>
  <si>
    <t>NIP-00015750</t>
  </si>
  <si>
    <t>CONTABILIZACIÓN IVA COMISION 4X1000 NIP 15743</t>
  </si>
  <si>
    <t>NIP-00015755</t>
  </si>
  <si>
    <t>NIP-00015769</t>
  </si>
  <si>
    <t>NIP-00015776</t>
  </si>
  <si>
    <t>LEGALIZACION DE TC DESTINOS #4302740001596798 CORRESPONDIENTE AL MES DE JULIO 2024</t>
  </si>
  <si>
    <t>NIP-00015781</t>
  </si>
  <si>
    <t>NIP-00015782</t>
  </si>
  <si>
    <t>NIP-00015786</t>
  </si>
  <si>
    <t>CONTANILIZACIÓN IVA COMISION 4*1000 CAM 966</t>
  </si>
  <si>
    <t>NIP-00015799</t>
  </si>
  <si>
    <t>CONTABILIZACIÓN IVA COISION 4*1000</t>
  </si>
  <si>
    <t>NIP-00015804</t>
  </si>
  <si>
    <t>LEGALIZACION GASTOS TC GERENCIA 5592252034421750 MES DE AGOSTO DE 2024</t>
  </si>
  <si>
    <t>NIP-00015808</t>
  </si>
  <si>
    <t>LEGALIZACION GASTOS TC DIRECCIÓN FINANCIERA 5592252093721520 MES DE JULIO 2024</t>
  </si>
  <si>
    <t>NIP-00015817</t>
  </si>
  <si>
    <t>LEGALIZACION TC TESORERA GASTOS MES DE JULIO DE 2024</t>
  </si>
  <si>
    <t>NIP-00015881</t>
  </si>
  <si>
    <t>CONTABILIZACIÓN IVA COMISION 4*1000 CAM 968</t>
  </si>
  <si>
    <t>NIP-00015882</t>
  </si>
  <si>
    <t>CONTABILIZACIÓN IVA COMISIÓN 4*1000</t>
  </si>
  <si>
    <t>NIP-00015884</t>
  </si>
  <si>
    <t>NIP-00015885</t>
  </si>
  <si>
    <t>LEGALIZACION GASTOS MES DE AGOSTO TC 5592252093721520 DIRECCIÓN FINANCIERA</t>
  </si>
  <si>
    <t>NIP-00015945</t>
  </si>
  <si>
    <t>CONTABILIZACIÓN IVA COMISION 4 X1000 NIP 15925</t>
  </si>
  <si>
    <t>NIP-00015952</t>
  </si>
  <si>
    <t>LEGALIZACION DE TC DESTINOS #4302740001596798 CORRESPONDIENTE AL MES DE AGOSTO 2024</t>
  </si>
  <si>
    <t>NIP-00015959</t>
  </si>
  <si>
    <t>NIP-00015960</t>
  </si>
  <si>
    <t>NIP-00015988</t>
  </si>
  <si>
    <t>CONTABILIZACIÓN IVA 4X1000 COMISION REEMBOLSO CAM 971</t>
  </si>
  <si>
    <t>NIP-00015989</t>
  </si>
  <si>
    <t>CONTABILIZACIÓN IVA COMISION 4X1000 CC NIP 001-15985</t>
  </si>
  <si>
    <t>NIP-00015990</t>
  </si>
  <si>
    <t>NIP-00016028</t>
  </si>
  <si>
    <t>NIP-00016031</t>
  </si>
  <si>
    <t>NIP-00016032</t>
  </si>
  <si>
    <t>CONTABILIZACIÓN IVA COMISION  4*1000</t>
  </si>
  <si>
    <t>NIP-00016033</t>
  </si>
  <si>
    <t>NIP-00016070</t>
  </si>
  <si>
    <t>NIP-00016098</t>
  </si>
  <si>
    <t>NIP-00016104</t>
  </si>
  <si>
    <t>NIP-00016107</t>
  </si>
  <si>
    <t>LORMO S.A.S</t>
  </si>
  <si>
    <t>NIP-00016115</t>
  </si>
  <si>
    <t>CONTABILIZACIÓN IVA COMISIONY 4X1000 NIP 16106</t>
  </si>
  <si>
    <t>NIP-00016155</t>
  </si>
  <si>
    <t>NIP-00016156</t>
  </si>
  <si>
    <t>NIP-00016176</t>
  </si>
  <si>
    <t>GASTOS BANCARIOS BCO POPULAR CTA CORRIENTE 2276 MES DE OCTUBRE 2024</t>
  </si>
  <si>
    <t>NIP-00016211</t>
  </si>
  <si>
    <t>NIP-00016288</t>
  </si>
  <si>
    <t>COMPRA DE TIQUETES SANDRA MARCELA GARCIA Y DIANA MARCELA RODRIGUEZ- BOGOTA , CALI</t>
  </si>
  <si>
    <t>LEGALIZACION DE TC DESTINOS N°: 43027400001596798 - CORRESPONDIENTE AL MES DE OCTUBRE 2024</t>
  </si>
  <si>
    <t>AGENCIAS DE VIAJES Y TURISMO AVIATUR S.A.</t>
  </si>
  <si>
    <t>NIP-00016337</t>
  </si>
  <si>
    <t>NIP-00016339</t>
  </si>
  <si>
    <t>NIP-00016341</t>
  </si>
  <si>
    <t>CONTABILIACIÓN IVA COMISION 4*1000</t>
  </si>
  <si>
    <t>NIP-00016342</t>
  </si>
  <si>
    <t>NIP-00016343</t>
  </si>
  <si>
    <t>NIP-00016344</t>
  </si>
  <si>
    <t>NIP-00016345</t>
  </si>
  <si>
    <t>NIP-00016351</t>
  </si>
  <si>
    <t>LEGALIZACION TC GERENCIA 5592252034421750 DEL 29 DE SEPTIEMBRE AL 30 DE OCTUBRE</t>
  </si>
  <si>
    <t>NIP-00016381</t>
  </si>
  <si>
    <t>NIP-00016444</t>
  </si>
  <si>
    <t>contabilización iva comion y 4*1000</t>
  </si>
  <si>
    <t>NIP-00016445</t>
  </si>
  <si>
    <t>NIP-00016463</t>
  </si>
  <si>
    <t>LEGALIZACION DE TC DESTINOS N°: 43027400001596798 - CORRESPONDIENTE AL MES DE NOVIEMBRE 2024</t>
  </si>
  <si>
    <t>NIP-00016467</t>
  </si>
  <si>
    <t>NIP-00016469</t>
  </si>
  <si>
    <t>NIP-00016515</t>
  </si>
  <si>
    <t>LEGALIZACION TARJETA CREDITO GUIOVANNI GUERRERO # 5592 2520 9372 1520</t>
  </si>
  <si>
    <t>NIP-00016564</t>
  </si>
  <si>
    <t>LEGALIZACION DE TC CREDISTO #4302740001596798 MES DE DICIEMBRE 2024</t>
  </si>
  <si>
    <t>NIP-00016632</t>
  </si>
  <si>
    <t>LEGALIZACION TARJETA CREDITO FRANCISCO MONCAYO No. 5592 2520 0002 0529 PERIODO LIQUIDADO NOV/29/2024 A DIC/30/2024</t>
  </si>
  <si>
    <t>NIP-00016635</t>
  </si>
  <si>
    <t>LEGALIZACION ANTICIPO PAGO DE TARJETA CREDITO FRANCISCO MONCAYO</t>
  </si>
  <si>
    <t>NIP-00016720</t>
  </si>
  <si>
    <t>LEGALIZACION DE TC CREDISTO #4302740001596798 MES DE ENERO 2024</t>
  </si>
  <si>
    <t>LEGALIZACION DE TC CREDITO DESTINO #4302740001596798 MES DE ENERO 2024</t>
  </si>
  <si>
    <t>NIP-00016732</t>
  </si>
  <si>
    <t>LEGALIZACION TARJETA CREDITO FRANCISCO MONCAYO No.5592 2520 0002 0529</t>
  </si>
  <si>
    <t>NIP-00016734</t>
  </si>
  <si>
    <t>LEGALIZACION TC DAVIVIENDA MRESTREPO No. 5592 2520 3442 1750</t>
  </si>
  <si>
    <t>NIP-00016735</t>
  </si>
  <si>
    <t>LEGALIZACIÓN TC MRESTREPO No. 5592 2520 3442 1750 NOV-DIC 2024</t>
  </si>
  <si>
    <t>NIP-00016737</t>
  </si>
  <si>
    <t>LEGALIZACIÓN TC MRESTREPO No. 5592 2520 3442 1750 SEP-OCT 2024</t>
  </si>
  <si>
    <t>NIP-00016843</t>
  </si>
  <si>
    <t>LEGALIZACION DE TC CREDITO DESTINO #4302740001596798 MES FEBRERO 2024</t>
  </si>
  <si>
    <t>NIP-00016892</t>
  </si>
  <si>
    <t>TARJETA DE CRÉDITO MASTERCARD #5592252093721520 DE ENERO 30 AL 27 DE FEBRERO DE 2025 A CARGO DIRECCIÓN FINANCIERA</t>
  </si>
  <si>
    <t>NIP-00016950</t>
  </si>
  <si>
    <t>TARJETA DE CRÉDITO NO. 5592 2520 9372 1520 DEL 27 DE FEBRERO AL 30 DE MARZO DE 2025 OTROS CARGOS</t>
  </si>
  <si>
    <t>TARJETA DE CRÉDITO NO. 5592 2520 9372 1520 DEL 27 DE FEBRERO AL 30 DE MARZO DE 2025</t>
  </si>
  <si>
    <t>NIP-00017026</t>
  </si>
  <si>
    <t>LEGALIZACION DE TARJETA DESTINOS</t>
  </si>
  <si>
    <t>Año</t>
  </si>
  <si>
    <t>ABRIL</t>
  </si>
  <si>
    <t>NIC-00037073</t>
  </si>
  <si>
    <t>NIP-00017058</t>
  </si>
  <si>
    <t>NIP-00017059</t>
  </si>
  <si>
    <t>NIB-00006642</t>
  </si>
  <si>
    <t>NIB-00006648</t>
  </si>
  <si>
    <t>NIB-00006649</t>
  </si>
  <si>
    <t>NIP-00017083</t>
  </si>
  <si>
    <t>NIP-00017084</t>
  </si>
  <si>
    <t>NIP-00017085</t>
  </si>
  <si>
    <t>NIP-00017086</t>
  </si>
  <si>
    <t>NIP-00017099</t>
  </si>
  <si>
    <t>NIP-00017100</t>
  </si>
  <si>
    <t>FAC-00046484</t>
  </si>
  <si>
    <t>NIB-00006713</t>
  </si>
  <si>
    <t>NIP-00017120</t>
  </si>
  <si>
    <t>NIB-00006717</t>
  </si>
  <si>
    <t>NIB-00006720</t>
  </si>
  <si>
    <t>NIP-00017137</t>
  </si>
  <si>
    <t>NIB-00006722</t>
  </si>
  <si>
    <t>NIB-00006724</t>
  </si>
  <si>
    <t>NIP-00017146</t>
  </si>
  <si>
    <t>NIP-00017147</t>
  </si>
  <si>
    <t>DSF-00001221</t>
  </si>
  <si>
    <t>DSF-00001223</t>
  </si>
  <si>
    <t>DSF-00001224</t>
  </si>
  <si>
    <t>DSF-00001226</t>
  </si>
  <si>
    <t>DSF-00001227</t>
  </si>
  <si>
    <t>DSF-00001229</t>
  </si>
  <si>
    <t>DSF-00001230</t>
  </si>
  <si>
    <t>DSF-00001231</t>
  </si>
  <si>
    <t>NIC-00037188</t>
  </si>
  <si>
    <t>NIC-00037218</t>
  </si>
  <si>
    <t>NIC-00037431</t>
  </si>
  <si>
    <t>NIC-00037433</t>
  </si>
  <si>
    <t>NIP-00017180</t>
  </si>
  <si>
    <t>NIP-00017182</t>
  </si>
  <si>
    <t>NIP-00017183</t>
  </si>
  <si>
    <t>FAC-00046704</t>
  </si>
  <si>
    <t>FAC-00046705</t>
  </si>
  <si>
    <t>NIB-00006759</t>
  </si>
  <si>
    <t>NIB-00006760</t>
  </si>
  <si>
    <t>NIB-00006775</t>
  </si>
  <si>
    <t>NIB-00006776</t>
  </si>
  <si>
    <t>NIB-00006781</t>
  </si>
  <si>
    <t>NIB-00006782</t>
  </si>
  <si>
    <t>NIB-00006826</t>
  </si>
  <si>
    <t>NIB-00006835</t>
  </si>
  <si>
    <t>NIB-00006839</t>
  </si>
  <si>
    <t>COMISION FACTORING</t>
  </si>
  <si>
    <t>PAGO DE EMBARGOS JUDICIALES INGENIO CARMELITA - ARCHIVO: 1519692 - ARCHIVO: GD2025050708919001961_04.TXT - CODIGO: 30030 - REGISTRO CARGADOS 21</t>
  </si>
  <si>
    <t>FACTORING KLYM -COMISIONES FAN-30080 - 30110</t>
  </si>
  <si>
    <t>FACTORING BBVA -COMISIONES FAN-29985-30103-30106</t>
  </si>
  <si>
    <t>CLFV21747 : COMISION CORRESAGRO - SERV DE REGRISTRO BMC 860071250</t>
  </si>
  <si>
    <t>CLFV21746 : COMISION CORRESAGRO - SERV DE REGRISTRO BMC 860071250</t>
  </si>
  <si>
    <t>CLFV21721 : serv modificacion BMC 860071250</t>
  </si>
  <si>
    <t>CLFV20653 : COMISION CORREAGRO 1.00 82,382.00 82,382.00 SERBMC SERV DE REGISTRO BMC 860071250 1.00 203,208.00 203,208.00 IVABMC IVA SERV DE REGISTRO BMC 19% - MES DE ENERO 2025</t>
  </si>
  <si>
    <t>CLFV20652 - COMISION CORREAGRO 1.00 300,142.00 300,142.00 SERBMC SERV DE REGISTRO BMC 860071250 1.00 1,000,476.00 1,000,476.00 IVABMC IVA SERV DE REGISTRO BMC 19% - MS DE ENERO</t>
  </si>
  <si>
    <t>SOC86094 - COMISION FIJA POR ADMINISTRACION: PERIODO DE FACTURACION MES DE MAYO 2025</t>
  </si>
  <si>
    <t>COMISIONES BANCARIAS MES DE MARZO 2025- ITAU PANAMA</t>
  </si>
  <si>
    <t>FACTRING DAVIVIENDA-RED CAPITAL FAN-30318</t>
  </si>
  <si>
    <t>FACTORING DAVIVIENDA RED CAPITAL - FAN-30261-30259-30275-30270-30274-30279-30282-3029630306-30319</t>
  </si>
  <si>
    <t>GASTOS BANCARIOS MES DE MARZO 2025-</t>
  </si>
  <si>
    <t>FACTORING BBVA FAC-30278</t>
  </si>
  <si>
    <t>FACTRORING BBVA FAN-30262-30299-30307-30342-30358-30361</t>
  </si>
  <si>
    <t>CONTABILIZACÓN IVA COMISION 4*1000</t>
  </si>
  <si>
    <t>GASTOS BANCARIOS CORRESPONDIENTES AL MES DE ABRIL 2025</t>
  </si>
  <si>
    <t>GASTOS BANCARIOS CORRESPONDIENTE AL MES DE ABRIL 2025</t>
  </si>
  <si>
    <t>DEVOLUCION DE DSF - GASTOS BANCARIOS CORRESPONDIENTES AL MES DE ABRIL 2025- (DESDE DSF1221 AL DSF1229)</t>
  </si>
  <si>
    <t>CRUCE DE NOTA CREDITO ENCL146 - DE LA FACTURA AFECTADA: FZ22104</t>
  </si>
  <si>
    <t>COMISION FACTORING KLYM FAN -29976</t>
  </si>
  <si>
    <t>COMISION FACTORING KLYM FAN-298</t>
  </si>
  <si>
    <t>CLFV22104 - COMSIION CORREAGRO - SERRV DE REGRISTRO BMC 860071250</t>
  </si>
  <si>
    <t>CLFV22103 - COMISION CORREAGRO - SERV DE REGISTRO BMC 860071250 - IVA</t>
  </si>
  <si>
    <t>CLFV22088 - SERV MODIFICACION BMC 86071250 - IVA</t>
  </si>
  <si>
    <t>FAC133899 - COMISION FIJA MES DE ABRIL 2025</t>
  </si>
  <si>
    <t>FAC134280 - COMISION FIJA MES DE MAYO 2025</t>
  </si>
  <si>
    <t>REGISTRO DE COMISION Y RENDIMIENTOS FINANCIEROS BANCOLOMBIA PANAMA MES DE MAYO 2025</t>
  </si>
  <si>
    <t>COMISIONES BANCARIAS BANCTO ITAU PANAMA - CTA COMPENSACION 102068322 MES DE MAYO 2025</t>
  </si>
  <si>
    <t>GASTOS BANCARIOS BANCOLOMBIA CTA AHORRO 30631513979 - MES DE MAYO 2025</t>
  </si>
  <si>
    <t>GASTOS BANCARIOS BANCOLOMBIA CTA CTE 80104152201 - MES DE MAYO 2025</t>
  </si>
  <si>
    <t>GASTOS BANCARIOS BANCO DE BOGOTA CALI CTA CTE 256096355 - MES DE MAYO 2025</t>
  </si>
  <si>
    <t>GASTOS BANCARIOS BANCO DE BOGOTA CTA CTE  612036319 - MES DE MAYO 2025</t>
  </si>
  <si>
    <t>GASTOS BANCARIOS BANCO ITAU CTA CTE 301-44051-7  MES DE MARZO 2025</t>
  </si>
  <si>
    <t>COMISION (DEBITO POR RECHAZOS PAGOS) MAYO 2025 BANCOLOMBIA CTA CTE 80104152201</t>
  </si>
  <si>
    <t>GASTOS BANCARIOS DAVIVIENDA 379469997678 - MES DE MAYO 2025</t>
  </si>
  <si>
    <t>CLFV21721 : COMISION CORRESAGRO - SERV DE REGRISTRO BMC 860071250</t>
  </si>
  <si>
    <t>MAYO</t>
  </si>
  <si>
    <t>SANTACRUZ  JOHN</t>
  </si>
  <si>
    <t>REYES MORIONES ANGELICA</t>
  </si>
  <si>
    <t>SUPER DE ALIMENTOS S.A.S.</t>
  </si>
  <si>
    <t>LEVAPAN SA</t>
  </si>
  <si>
    <t>GOLOSINAS TRULULU S.A.</t>
  </si>
  <si>
    <t>MORIONES SUAREZ BEATRIZ EUGENIA</t>
  </si>
  <si>
    <t>QBCO SAS</t>
  </si>
  <si>
    <t>Débitos</t>
  </si>
  <si>
    <t>Créditos</t>
  </si>
  <si>
    <t>Nit tercero</t>
  </si>
  <si>
    <t>Razón social tercero docto.</t>
  </si>
  <si>
    <t>Nit movto.</t>
  </si>
  <si>
    <t>Referencia 1</t>
  </si>
  <si>
    <t>Referencia 2</t>
  </si>
  <si>
    <t>Referencia 3</t>
  </si>
  <si>
    <t>NINO PALOMINO CARLOS MARIO</t>
  </si>
  <si>
    <t>928149105971DV28</t>
  </si>
  <si>
    <t>BAVARIA Y CIA S C A</t>
  </si>
  <si>
    <t>CARRILLO PEREZ GILBERTO ANTONIO</t>
  </si>
  <si>
    <t>MEDINA OCHOA LUZ ELENA</t>
  </si>
  <si>
    <t>NIB-00006665</t>
  </si>
  <si>
    <t>NIB-00006777</t>
  </si>
  <si>
    <t>NIB-00006779</t>
  </si>
  <si>
    <t>NIB-00006783</t>
  </si>
  <si>
    <t>NIB-00006822</t>
  </si>
  <si>
    <t>NIP-00017207</t>
  </si>
  <si>
    <t>PAGO DE SEGURO DE VIDA DE LA ACTIVACION DE LA TC DE DR MARIO - TARJETA N°512835-0-288 - FEBRERO Y MARZO</t>
  </si>
  <si>
    <t>PAGO DE SEGURO DE VIDA DE LA ACTIVACION DE LA TC DE DR MARIO - TARJETA N°512835-0-288</t>
  </si>
  <si>
    <t>GASTOS BANCARIOS BANCOLOMBIA 762-823167-03 - MES DE MAYO 2025</t>
  </si>
  <si>
    <t>GASTOS BANCARIOS BANCO POPULAR CTA CTE 110560212276 - MES DE MAYO 2025</t>
  </si>
  <si>
    <t>GASTOS BANCARIOS BANCO DE BOGOTA ESPECIAL 484183223 MES DE MAYO 2025</t>
  </si>
  <si>
    <t>GASTOS BANCARIOS Y RENDIMIENTOS FINANCIEROS FIDUCIA DAVIVIENDA RENTA LIQUIDA MES DE MAYO 2025-</t>
  </si>
  <si>
    <t>TARJETA DE CRÉDITO # 5592 2520 9372 1520 DEL 29 DE ABRIL AL 30 DE MAYO DE 2025 UBER</t>
  </si>
  <si>
    <t>TARJETA DE CRÉDITO # 5592 2520 9372 1520 DEL 29 DE ABRIL AL 30 DE MAYO DE 2025</t>
  </si>
  <si>
    <t>NIB-00006911</t>
  </si>
  <si>
    <t>ABONO 4X1000Mayo 31 de 2025 - PATRIMONIOS AUTONOMOS FIDUCIARIA POPULAR</t>
  </si>
  <si>
    <t>REGISTRO DE PARTIDAS CONCILIADAS AL 31 DE MAYO 2025</t>
  </si>
  <si>
    <t>Gastos GMF 4x1000 - - BANCO DE OCCIDENTE CTE 001526318</t>
  </si>
  <si>
    <t>Gastos GMF 4x1000 Feb 2025 -- 28/02/2025 - BANCO DE OCCIDENTE CTE 001526318</t>
  </si>
  <si>
    <t>NIB-00006978</t>
  </si>
  <si>
    <t>GASTOS BANCARIOS BANCOLOMBIA AHORRO 30631513979 MES DE JUNIO 2025</t>
  </si>
  <si>
    <t>NIB-00006981</t>
  </si>
  <si>
    <t>GASTOS BANCARIOS BANCO DE OCCIDENTE CTE 001526318 MES DE JUNIO</t>
  </si>
  <si>
    <t>NIB-00006988</t>
  </si>
  <si>
    <t>GASTOS BANCARIOS Y RENDIMIENTO FINANCIERO RENTA LIQUIDA MES DE JUNIO 2025</t>
  </si>
  <si>
    <t>NIB-00006993</t>
  </si>
  <si>
    <t>GASTOS BANCARIOS BANCO DE BOGOTA TULUA CTE 612036319 MES DE JUNIO 2025</t>
  </si>
  <si>
    <t>NIB-00006994</t>
  </si>
  <si>
    <t>GASTOS BANCARIOS BANCO BOGOTA CALI CTE 256096355 MES DE JUNIO 2025</t>
  </si>
  <si>
    <t>NIB-00006995</t>
  </si>
  <si>
    <t>GASTOS BANCARIOS BANCO DE BOGOTA SOBREGIRO 484183223 MES DE JUNIO 2025</t>
  </si>
  <si>
    <t>NIB-00006997</t>
  </si>
  <si>
    <t>GASTOS BANCARIOS BANCOLOMBIA CTE 80104152201 MES DE JUNIO 2025</t>
  </si>
  <si>
    <t>NIB-00006998</t>
  </si>
  <si>
    <t>GASTOS BANCARIOS BANCOLOMBIA SOBREGIRO 76282316703 MES DE JUNIO 2025</t>
  </si>
  <si>
    <t>NIB-00007000</t>
  </si>
  <si>
    <t>GASTOS BANCARIOS BANCO DAVIVIENDA CTE 379469997678 MES DE JUNIO</t>
  </si>
  <si>
    <t>NIB-00007012</t>
  </si>
  <si>
    <t>GASTOS BANCARIOS BANCO POPULAR CTA CTE 110560212276 MES JUNIO 2025</t>
  </si>
  <si>
    <t>NIP-00017192</t>
  </si>
  <si>
    <t>NIP-00017200</t>
  </si>
  <si>
    <t>CONTABILIZACION IVA COMION 4*1000</t>
  </si>
  <si>
    <t>NIP-00017218</t>
  </si>
  <si>
    <t>NIP-00017230</t>
  </si>
  <si>
    <t>CONTABILIZAICON IVA COMIOSN 4*1000</t>
  </si>
  <si>
    <t>NIP-00017241</t>
  </si>
  <si>
    <t>NIP-00017266</t>
  </si>
  <si>
    <t>cotabilizacion iva comision y 4*1000</t>
  </si>
  <si>
    <t>NIP-00017268</t>
  </si>
  <si>
    <t>cotabilizaicon iva comision y 4*1000</t>
  </si>
  <si>
    <t>NIP-00017321</t>
  </si>
  <si>
    <t>TARJETA DE CRÉDITO # 5592 2520 9372 1520 DE MAYO 30 A JUNIO 29 2025 PROPINA</t>
  </si>
  <si>
    <t>TARJETA DE CRÉDITO # 5592 2520 9372 1520 DE MAYO 30 A JUNIO 29 2025 DIRECTOR FINANCIERO</t>
  </si>
  <si>
    <t>FAC-00046892</t>
  </si>
  <si>
    <t>FAC1017089 - COMISION FIJA DE ADMINISTRACION (MES DE JUNIO 2025)</t>
  </si>
  <si>
    <t>FAC-00046906</t>
  </si>
  <si>
    <t>FAC134675- COMISION FIDUCIARIA MES DE JUNIO 2025</t>
  </si>
  <si>
    <t>FAC-00046938</t>
  </si>
  <si>
    <t>SOC87183- COMISION POR ADMINISTRACION MES DE JUNIO 2025</t>
  </si>
  <si>
    <t>NIB-00006842</t>
  </si>
  <si>
    <t>PAGO DE EMBARGOS JUDICIALES DE ICSA - COMPROBANTE D EPAGO: 1526776 - ARCHIVO: GD2025060608919001961_05.TXT - ARCHIVO: 30030</t>
  </si>
  <si>
    <t>NIB-00006864</t>
  </si>
  <si>
    <t>FACTORING KLYM FAN-30359 COMISION PAGO</t>
  </si>
  <si>
    <t>NIB-00006871</t>
  </si>
  <si>
    <t>FACTORING QBCO FAN-30511-30518 PROD.LACTEOS AURORA -FAN 30578</t>
  </si>
  <si>
    <t>NIB-00006873</t>
  </si>
  <si>
    <t>FACTORING KLYM  FAN-30397  PAGO-COMISIONES</t>
  </si>
  <si>
    <t>NIB-00006874</t>
  </si>
  <si>
    <t>FACTORING BBVA FAN-30369-30378-30502-30516-30517-30719 PAGO-COMISIONES</t>
  </si>
  <si>
    <t>Gasto por cuota manejo Feb 2025 -- 28/02/2025 - BANCO DE OCCIDENTE CTE 001526318</t>
  </si>
  <si>
    <t>RETENCION Mayo 31 de 2025 - PATRIMONIOS AUTONOMOS FIDUCIARIA POPULAR</t>
  </si>
  <si>
    <t>NIB-00006923</t>
  </si>
  <si>
    <t>FACTORING BBVA FAN-30865-30876-30877</t>
  </si>
  <si>
    <t>NIB-00006924</t>
  </si>
  <si>
    <t>FACTORING BBVA FAN-30889-30892-30893-30911 COMISION PAGO</t>
  </si>
  <si>
    <t>NIB-00006925</t>
  </si>
  <si>
    <t>FACTORING DAVIVIENDA RED CAPITAL FAN-30786-792-822-825-844-846-849-859-864-872 COMISION PAGO</t>
  </si>
  <si>
    <t>NIB-00006952</t>
  </si>
  <si>
    <t>FACTORING BBVA FAN-30903-30912-30925-30942 COMISION Y PAGO</t>
  </si>
  <si>
    <t>NIB-00006961</t>
  </si>
  <si>
    <t>FACTORING BBVA FAN-30908-30930-30936-30937-30943-30944-30955-30972 COMISIONES - PAGO</t>
  </si>
  <si>
    <t>NIB-00006963</t>
  </si>
  <si>
    <t>FACTORING RED CAPITAL - DAVIVIENDA FAN-30852-30874 COMISION PAGO</t>
  </si>
  <si>
    <t>NIB-00006989</t>
  </si>
  <si>
    <t>RENDIMIENTOS FINANCIEROS Y REGISTRO DE COMISIONES BANCOLOMBIA PANAMA JUNIO 2025</t>
  </si>
  <si>
    <t>NIB-00006990</t>
  </si>
  <si>
    <t>GASTOS COMISIONES ITAU PANAMA - CTA COMPENSACION 102068322 MES DE JUNIO</t>
  </si>
  <si>
    <t>NIC-00037592</t>
  </si>
  <si>
    <t>NOTA CREDITO NCC-1 DE LA FACTURA - CLFV22435 - COMISION CORREAGRO  SERV DE REGRISTRO BMC</t>
  </si>
  <si>
    <t>NIP-00017286</t>
  </si>
  <si>
    <t>CLFV22434 - COMISION CORREAGRO  SERV DE REGRISTRO BMC</t>
  </si>
  <si>
    <t>NIP-00017287</t>
  </si>
  <si>
    <t>CLFV22435 - COMISION CORREAGRO  SERV DE REGRISTRO BMC</t>
  </si>
  <si>
    <t>NIP-00017324</t>
  </si>
  <si>
    <t>COMISION OPERACIONES DE REGISTRO 5% - SERVICIO DE REGRISTRO BMC</t>
  </si>
  <si>
    <t>I15652 - COMISION OPERACIONES DE REGISTRO 5% - SERVICIO DE REGRISTRO BMC</t>
  </si>
  <si>
    <t>RENTA Y CAMPO CORREDORES S A</t>
  </si>
  <si>
    <t>NIB-00007028</t>
  </si>
  <si>
    <t>Banco de bogta Cali cta cte 256096355</t>
  </si>
  <si>
    <t>Cobro comision por Generacion Extracto Mayo 2025 Cobrado en el mes de Junio 2025</t>
  </si>
  <si>
    <t>Banco de bogta tulua cta cte 612036319</t>
  </si>
  <si>
    <t>NIB-00007034</t>
  </si>
  <si>
    <t>FIDUCIA ALIANZA - 1026 OBRAS POR IMPUEST Enero a Junio 2025</t>
  </si>
  <si>
    <t>Rendimientos financieros y GMF de Enero a Junio 2025 Fiducia alianza 1026-1034-1140</t>
  </si>
  <si>
    <t>FIDUCIA ALIANZA - 1140 Enero a Junio 2025</t>
  </si>
  <si>
    <t>DSF-00001257</t>
  </si>
  <si>
    <t>Gastos Bancarios correspondientes al mes de mayo 2025</t>
  </si>
  <si>
    <t>DSF-00001259</t>
  </si>
  <si>
    <t>GASTOS BANCARIOS CORRESPONDIENTE AL MES DE MAYO 2025</t>
  </si>
  <si>
    <t>DSF-00001260</t>
  </si>
  <si>
    <t>DSF-00001262</t>
  </si>
  <si>
    <t>DSF-00001265</t>
  </si>
  <si>
    <t>DSF-00001266</t>
  </si>
  <si>
    <t>DSF-00001267</t>
  </si>
  <si>
    <t>DSF-00001268</t>
  </si>
  <si>
    <t>DSF-00001269</t>
  </si>
  <si>
    <t>DSF-00001270</t>
  </si>
  <si>
    <t>GASTOS BANCARIOS CORRESPONDIENTE AL MES DE JUNIO 2025</t>
  </si>
  <si>
    <t>DSF-00001271</t>
  </si>
  <si>
    <t>DSF-00001273</t>
  </si>
  <si>
    <t>DSF-00001275</t>
  </si>
  <si>
    <t>DSF-00001276</t>
  </si>
  <si>
    <t>DSF-00001277</t>
  </si>
  <si>
    <t>DSF-00001281</t>
  </si>
  <si>
    <t>GASTOS BANCARIOS CORRESPONDIENTES AL MES DE JUNIO 2025</t>
  </si>
  <si>
    <t>DSF-00001282</t>
  </si>
  <si>
    <t>DSF-00001283</t>
  </si>
  <si>
    <t>DSF-00001284</t>
  </si>
  <si>
    <t>FAC-00047370</t>
  </si>
  <si>
    <t>SOC87914- COMISION POR ADMINISTRACION MES DE JULIO 2025</t>
  </si>
  <si>
    <t>NCS-00000167</t>
  </si>
  <si>
    <t>NCE426 - CRUCE DE NOTA CREDITO - COMISION OPERACIONES DE REGISTEO - SERV DE REGRISTRO BMC</t>
  </si>
  <si>
    <t>NIB-00007086</t>
  </si>
  <si>
    <t>FACTORNING BBVA FAN-30980-30981-31003-31008-31009-31011-31098-31103-31104-31105 COMISION PAGO</t>
  </si>
  <si>
    <t>NIB-00007087</t>
  </si>
  <si>
    <t>FACTORING BBVA GOLOSINAS TRULULU</t>
  </si>
  <si>
    <t>NIB-00007140</t>
  </si>
  <si>
    <t>FACTORING RED CAPITAL - DAVIVIENDA FAN-31250-31247-31208</t>
  </si>
  <si>
    <t>NIB-00007141</t>
  </si>
  <si>
    <t>FACTORING BANCOLOMBIA FAN-31254</t>
  </si>
  <si>
    <t>NIB-00007173</t>
  </si>
  <si>
    <t>FACTORING KLYM FAN-31013-31164-31227-31246-31252-31284-31299</t>
  </si>
  <si>
    <t>NIB-00007177</t>
  </si>
  <si>
    <t>FACTORING RED CAPITAL-DAVIVIENDA FAN-31328-31330-31345-31353-31381</t>
  </si>
  <si>
    <t>NIB-00007179</t>
  </si>
  <si>
    <t>FACTORING BBVA FAN-31279-31282-31308 COMISION Y PAGO</t>
  </si>
  <si>
    <t>NIB-00007183</t>
  </si>
  <si>
    <t>FACTORING RED CAPITAL- DAVIVIENDA FAN-31215-31303-31300-31316 PAGO COMISION</t>
  </si>
  <si>
    <t>NIB-00007185</t>
  </si>
  <si>
    <t>FACTORING KLYM - FAN-31317-31338-31363 PAGO COMISION</t>
  </si>
  <si>
    <t>NIB-00007188</t>
  </si>
  <si>
    <t>FACTORIN KLYM - FAN-31206-31236 PAGO COMISION</t>
  </si>
  <si>
    <t>NIB-00007194</t>
  </si>
  <si>
    <t>FACTORNG KLYM FAN-30945 COMISION PAGO</t>
  </si>
  <si>
    <t>NIB-00007196</t>
  </si>
  <si>
    <t>FACTORING BANCOLOMBIA FAN-31400 COMISION PAGO</t>
  </si>
  <si>
    <t>PRODUCTOS EL TOMATICO S.A.S</t>
  </si>
  <si>
    <t>NIB-00007224</t>
  </si>
  <si>
    <t>PAGO DE EMBARGOS DE LLANO INGENIERIA A FAVOR DE BANC AGRARIO</t>
  </si>
  <si>
    <t>NIB-00007233</t>
  </si>
  <si>
    <t>GASTOS BANCARIOS BANCO BBVA COLOMBIA 0502000100011570 CTE MES DE JULIO 2025</t>
  </si>
  <si>
    <t>NIB-00007246</t>
  </si>
  <si>
    <t>GASTOS BANCARIOS BANCO DE BOGOTA TULUA CTE 612036319 MES DE JULIO 2025</t>
  </si>
  <si>
    <t>NIB-00007247</t>
  </si>
  <si>
    <t>GASTOS BANCARIOS BANCO BOGOTA CALI CTE 256096355 MES DE JULIO 2025</t>
  </si>
  <si>
    <t>NIB-00007249</t>
  </si>
  <si>
    <t>GASTOS BANCARIOS BANCO DAVIVIENDA CTE 379469997678 MES DE JULIO 2025</t>
  </si>
  <si>
    <t>NIB-00007251</t>
  </si>
  <si>
    <t>GASTOS BANCARIOS BANCOLOMBIA CTE 80104152201 MES DE JULIO 2025</t>
  </si>
  <si>
    <t>NIB-00007252</t>
  </si>
  <si>
    <t>GASTOS BANCARIOS BANCOLOMBIA AHORRO 30631513979 MES DE JULIO 2025</t>
  </si>
  <si>
    <t>NIB-00007260</t>
  </si>
  <si>
    <t>GASTOS BANCARIOS BANCOLOMBIA PANAMA MES DE JULIO 2025</t>
  </si>
  <si>
    <t>NIB-00007263</t>
  </si>
  <si>
    <t>GASTOS BANCARIOS BANCO DE OCCIDENTE CTE 001526318 MES DE JULIO 2025</t>
  </si>
  <si>
    <t>NIB-00007282</t>
  </si>
  <si>
    <t>GASTOS BANCARIOS ITAU PANAMA - CTA COMPENSACION 102068322 MES DE JULIO 2025</t>
  </si>
  <si>
    <t>NIB-00007285</t>
  </si>
  <si>
    <t>GASTOS BANCARIOS BANCO POPULAR CTA CTE 110560212276 MES DE JULIO 2025</t>
  </si>
  <si>
    <t>NIB-00007287</t>
  </si>
  <si>
    <t>PAGO DE EMBARGOS MES DE JUNIO, PAGADO EN JULIO 2025</t>
  </si>
  <si>
    <t>NIB-00007289</t>
  </si>
  <si>
    <t>Comsiones Bancarias Junio 2025 --- 30/06/2025</t>
  </si>
  <si>
    <t>GASTOS BANCARIOS BANCO ITAU CTA CTE 301-44051-7 MES DE JULIO 2025</t>
  </si>
  <si>
    <t>NIC-00037857</t>
  </si>
  <si>
    <t>DEVOLUCION DE DSF (1257 AL 12849 GASTOS BANCARIOS MAYO Y JUNIO 2025</t>
  </si>
  <si>
    <t>NIC-00038078</t>
  </si>
  <si>
    <t>DEVOLUCION DE DSF 1271- GASTOS BANCARIOS MES DE JUNIO 2025</t>
  </si>
  <si>
    <t>NIP-00017304</t>
  </si>
  <si>
    <t>NIP-00017305</t>
  </si>
  <si>
    <t>NIP-00017314</t>
  </si>
  <si>
    <t>NIP-00017404</t>
  </si>
  <si>
    <t>NIP-00017427</t>
  </si>
  <si>
    <t>CONTABILIZAICON IVA COMISION 4*1000</t>
  </si>
  <si>
    <t>NIP-00017433</t>
  </si>
  <si>
    <t>LEGALIZACIÓN TC BANOCCIDENTE MRESTREPO MONEDA COP CORTE 30 JUNIO 2025 CUOTA MANEJO</t>
  </si>
  <si>
    <t>LEGALIZACIÓN TC BANOCCIDENTE MRESTREPO No. 512835-0-028970-288 MONEDA COP CORTE 30 JUNIO 2025</t>
  </si>
  <si>
    <t>LEGALIZACIÓN TC BANOCCIDENTE MRESTREPO MONEDA COP CORTE 30 JUNIO 2025 SEGURO VIDA DEUDOR</t>
  </si>
  <si>
    <t>NIP-00017435</t>
  </si>
  <si>
    <t>NIP-00017438</t>
  </si>
  <si>
    <t>V16455 : COMISION OPERACIONES DE REGISTEO - SERV DE REGISTRO BMC</t>
  </si>
  <si>
    <t>NIP-00017445</t>
  </si>
  <si>
    <t>OF-00000056</t>
  </si>
  <si>
    <t>OBLIGACION #119000029906 -$500M -CUOTAS:24 - INTERES:$28.425.906,67 - PAGOS MENSUALES - (Forma Cálculo Interes : LINEAL/CALENDARIO/VENCIDO - TI:5.37% - FECHA INICIO:23/07/2025- FECHA FIN:23/07/2027)</t>
  </si>
  <si>
    <t>NIB-00007248</t>
  </si>
  <si>
    <t>GASTOS BANCARIOS BANCO DE BOGOTA SOBREGIRO 484183223 MES DE JULIO 2025</t>
  </si>
  <si>
    <t>NIB-00007250</t>
  </si>
  <si>
    <t>ABONO 4X1000 BANCO DE BOGOTA TULUA CTE 612036319</t>
  </si>
  <si>
    <t>NIB-00007255</t>
  </si>
  <si>
    <t>GASTOS BANCARIOS BANCOLOMBIA SOBREGIRO 76282316703 MES DE JULIO 2025</t>
  </si>
  <si>
    <t>NIB-00007288</t>
  </si>
  <si>
    <t>GASTOS BANCARIOS MES DE JUNIO 2025 Y DB. AUTOMATICO COMISION FIJA MES DE JUNIO 2025</t>
  </si>
  <si>
    <t>NIC-00038110</t>
  </si>
  <si>
    <t>GASTOS BANCARIOS FONDO INVERSION RENTA L 482800029407 DAV MES DE JULIO 2025</t>
  </si>
  <si>
    <t>NIP-00017386</t>
  </si>
  <si>
    <t>LEGALIZACION DE TC DESTINOS 4302840001596798 -MES DE MAYO 2025</t>
  </si>
  <si>
    <t>NIP-00017387</t>
  </si>
  <si>
    <t>CURSO SINDICAL- FORMACION E INVESTIGACION POLITICO SINDICAL DEL PODER ORBRERO(LUIS EDUARDO GUEVERA, JOSE DIEGO VIDAL, LUIS FERNANDO CEBALLOS, CARLOS ARTURO OSORIO)</t>
  </si>
  <si>
    <t>LEGALIZACION DE TC DESTINOS #4302740001596798 - MES DE ABRIL 2025</t>
  </si>
  <si>
    <t>NIP-00017394</t>
  </si>
  <si>
    <t>LEGALIZACIÓN TC DAVIVIENDA MRESTREPO N° 5592 2520 3442 1750 FEB MAR 2025 IMPTO 4X1000</t>
  </si>
  <si>
    <t>LEGALIZACIÓN TC DAVIVIENDA MRESTREPO N° 5592 2520 3442 1750 FEB MAR 2025</t>
  </si>
  <si>
    <t>LEGALIZACIÓN TC BANOCCIDENTE MRESTREPO MONEDA COP CORTE 30 JUNIO 2025 IMPTO 4X100</t>
  </si>
  <si>
    <t>NIP-00017442</t>
  </si>
  <si>
    <t>NIP-00017443</t>
  </si>
  <si>
    <t>LEGALIZACIÓN TC DAVIVIENDA MRESTREPO No. 5592 2520 3442 1750 DIC 2024 ENE 2025</t>
  </si>
  <si>
    <t>NIP-00017444</t>
  </si>
  <si>
    <t>LEGALIZACIÓN TC DAVIVIENDA MRESTREPO N° 5592 2520 3442 1750 ENE FEB 2025</t>
  </si>
  <si>
    <t>NIP-00017451</t>
  </si>
  <si>
    <t>LEGALIZACIÓN TC BANOCCIDENTE MRESTREPO No. 512835-0-028970-288 MONEDA COP CORTE 31 MAYO 2025</t>
  </si>
  <si>
    <t>NIP-00017459</t>
  </si>
  <si>
    <t>TARJETA DE CREDITO # 5592 2520 372 1520 CONSUMO DEL 29 DE JUNIO AL 30 DE JULIO DE 2025</t>
  </si>
  <si>
    <t>COMISIONES BANCARIAS</t>
  </si>
  <si>
    <t>COMISIONES POR FACTORING</t>
  </si>
  <si>
    <t>NIB-00007241</t>
  </si>
  <si>
    <t>NIB-00007258</t>
  </si>
  <si>
    <t>NIP-00017449</t>
  </si>
  <si>
    <t>NIP-00017454</t>
  </si>
  <si>
    <t>NIB-00007301</t>
  </si>
  <si>
    <t>NIB-00007321</t>
  </si>
  <si>
    <t>NIP-00017472</t>
  </si>
  <si>
    <t>NIB-00007340</t>
  </si>
  <si>
    <t>NIB-00007359</t>
  </si>
  <si>
    <t>NIB-00007363</t>
  </si>
  <si>
    <t>NIP-00017477</t>
  </si>
  <si>
    <t>NIP-00017490</t>
  </si>
  <si>
    <t>NIB-00007367</t>
  </si>
  <si>
    <t>NIP-00017517</t>
  </si>
  <si>
    <t>NIP-00017530</t>
  </si>
  <si>
    <t>DSF-00001375</t>
  </si>
  <si>
    <t>DSF-00001376</t>
  </si>
  <si>
    <t>DSF-00001377</t>
  </si>
  <si>
    <t>DSF-00001378</t>
  </si>
  <si>
    <t>DSF-00001380</t>
  </si>
  <si>
    <t>DSF-00001381</t>
  </si>
  <si>
    <t>DSF-00001382</t>
  </si>
  <si>
    <t>DSF-00001383</t>
  </si>
  <si>
    <t>DSF-00001384</t>
  </si>
  <si>
    <t>DSF-00001385</t>
  </si>
  <si>
    <t>DSF-00001386</t>
  </si>
  <si>
    <t>FAC-00048090</t>
  </si>
  <si>
    <t>NIB-00007446</t>
  </si>
  <si>
    <t>NIC-00038264</t>
  </si>
  <si>
    <t>NIC-00038276</t>
  </si>
  <si>
    <t>NIB-00007475</t>
  </si>
  <si>
    <t>NIB-00007476</t>
  </si>
  <si>
    <t>NIB-00007479</t>
  </si>
  <si>
    <t>NIB-00007480</t>
  </si>
  <si>
    <t>NIB-00007497</t>
  </si>
  <si>
    <t>NIB-00007498</t>
  </si>
  <si>
    <t>NIB-00007499</t>
  </si>
  <si>
    <t>NIB-00007500</t>
  </si>
  <si>
    <t>NIB-00007502</t>
  </si>
  <si>
    <t>NIC-00038377</t>
  </si>
  <si>
    <t>NIP-00017578</t>
  </si>
  <si>
    <t>NIP-00017579</t>
  </si>
  <si>
    <t>NIP-00017580</t>
  </si>
  <si>
    <t>NIB-00007408</t>
  </si>
  <si>
    <t>NIB-00007409</t>
  </si>
  <si>
    <t>NIB-00007464</t>
  </si>
  <si>
    <t>NIB-00007465</t>
  </si>
  <si>
    <t>NIB-00007467</t>
  </si>
  <si>
    <t>FACTORING RED CAPITAL FAN-31225-31259-31309-31343-31355-31398-31403</t>
  </si>
  <si>
    <t>FACTORING BBVA FAN-31558-31460</t>
  </si>
  <si>
    <t>CONTABILIZAICON IVA COMISON 4*1000</t>
  </si>
  <si>
    <t>contabilizacion iva comiison 4*1000</t>
  </si>
  <si>
    <t>PAGO DE DEPOSITOS JUDICIALES - ARCHIVO: 30030 - SECUENCIAL DE ARCHIVO: GSD202508060891900196_10.TXT</t>
  </si>
  <si>
    <t>FACTORING KLYM FAN-31354-31380</t>
  </si>
  <si>
    <t>COTABILIZACION IVA COMISION 4*1000</t>
  </si>
  <si>
    <t>FACTORING KLYM - FAN-31443-31454-31544</t>
  </si>
  <si>
    <t>FACTORIGN BBVA FAN31682-31625-31480 PAGO COMISION</t>
  </si>
  <si>
    <t>FACTORING BBVA FAN-31507 COMISION PAGO</t>
  </si>
  <si>
    <t>CONTABILIZACION IVA COMISION Y 4*1000</t>
  </si>
  <si>
    <t>FACTORING RED CAPITAL-DAVIVIENDA FAC-31659-31621-31640</t>
  </si>
  <si>
    <t>GASTOS BANCARIOS CORRESPONDIENTE AL MES DE JULIO 2025</t>
  </si>
  <si>
    <t>GASTOS BANCARIOS CORRESPONDIENTES AL MES DE JULIO 2025</t>
  </si>
  <si>
    <t>SOC89864 - COMISION POR ADMINISTRACION : MES DE AGOSTO 2025</t>
  </si>
  <si>
    <t>CONSIGNACION DE NEGOCIACION DE TIDIS CON BANCOLOMBIA POR EL 99.95%- COSTO DE OPERACION $931.558.50</t>
  </si>
  <si>
    <t>DEVOLUCION DE DSF MES DE JULIO 2025- GASTOS BANCARIOS (DSF1375 AL DSF 1386)</t>
  </si>
  <si>
    <t>GASTOS BANCARIOS BANCOLOMBIA AHORRO 30631513979 MES DE AGOSTO 2025</t>
  </si>
  <si>
    <t>GASTOS BANCARIOS BANCO DE BOGOTA TULUA CTE 612036319 MES DE AGOSTO 2025</t>
  </si>
  <si>
    <t>GASTOS BANCARIOS BANCO BOGOTA CALI CTE 256096355 MES DE AGOSTO 2025</t>
  </si>
  <si>
    <t>GASTOS BANCARIOS BANCO DE OCCIDENTE CTE 001526318 MES DE AGOSTO 2025</t>
  </si>
  <si>
    <t>GASTOS BANCARIOS BANCO DAVIVIENDA CTE 379469997678 MES DE AGOSTO 2025</t>
  </si>
  <si>
    <t>GASTOS BANCARIOS BANCO BBVA COLOMBIA 0502000100011570 CTE MES DE AGOSTO 2025</t>
  </si>
  <si>
    <t>GASTOS BANCARIOS BANCOLOMBIA PANAMA 10400455 MES DE AGOSTO 2025</t>
  </si>
  <si>
    <t>GASTOS BANCARIOS ITAU PANAMA - CTA COMPENSACION 102068322 MES DE AGOSTO 2025</t>
  </si>
  <si>
    <t>RECLASIFICACION COMISIONES FACTORING NIB- 7321 FACTORING KLYM FAN-31354-31380</t>
  </si>
  <si>
    <t>RECLASIFICACION COMISIONES FACTORING AGOSO 2025 DE 53051501  A 53051502</t>
  </si>
  <si>
    <t>RECLASIFICACION COMISIONES FACTORING NIB- 7340 FACTORING KLYM - FAN-31443-31454-31544</t>
  </si>
  <si>
    <t>RECLASIFICACION COMISIONES FACTORING NIB- 7359 FACTORIGN BBVA FAN31682-31625-31480 PAGO COMISION</t>
  </si>
  <si>
    <t>RECLASIFICACION COMISIONES FACTORING NIB- 7363 FACTORING BBVA FAN-31507 COMISION PAGO</t>
  </si>
  <si>
    <t>RECLASIFICACION COMISIONES FACTORING NIB- 7367 FACTORING RED CAPITAL-DAVIVIENDA FAC-31659-31621-31640</t>
  </si>
  <si>
    <t>RECLASIFICACION COMISIONES FACTORING NIB-7241 RED CAPITAL FAN-31225-31259-31309-31343-31355-31398-31403</t>
  </si>
  <si>
    <t>RECLASIFICACION COMISIONES NIB-7258 FACTORING BBVA FAN-31558-31460</t>
  </si>
  <si>
    <t>CLFV23217 - COMISION CORREAGRO - SERV DE REGISTRO BMC</t>
  </si>
  <si>
    <t>CLFV23216 - COMISION CORREAGRO - SERV DE REGISTRO BMC</t>
  </si>
  <si>
    <t>C-16601 - COMISION OPERACIONES - SRR REGISTRO BMC</t>
  </si>
  <si>
    <t>FACTORING BANCOLOMBIA FAN-31731 COMISION PAGO</t>
  </si>
  <si>
    <t>FACTORING RED CAPITAL - FAN-31602-31763-31774 COMISION PAGO</t>
  </si>
  <si>
    <t>FACTORING BBVA FAN-31784-31719 PAGO - COMISION</t>
  </si>
  <si>
    <t>FACTORING BBVA FAN-31705</t>
  </si>
  <si>
    <t>FACTORNG BBVA FAN-31754-31760-31791-31797-31815-31823-31831-31835</t>
  </si>
  <si>
    <t>NIP-00017561</t>
  </si>
  <si>
    <t>NIP-00017564</t>
  </si>
  <si>
    <t>NIP-00017567</t>
  </si>
  <si>
    <t>NIP-00017570</t>
  </si>
  <si>
    <t>NIB-00007478</t>
  </si>
  <si>
    <t>NIB-00007483</t>
  </si>
  <si>
    <t>NIB-00007519</t>
  </si>
  <si>
    <t>LEGALIZACION DE TC DESTINOS 4302840001596798 -MES DE JULIO 2025</t>
  </si>
  <si>
    <t>LEGALIZACIÓN TC DAVIVIENDA MRESTREPO No. 5592 2520 3442 1750 MAR - ABR 2025</t>
  </si>
  <si>
    <t>LEGALIZACIÓN TC BANOCCIDENTE MRESTREPO USD CORTE 31 JULIO 2025 IMPTO 4X1000</t>
  </si>
  <si>
    <t>LEGALIZACION DE TC DESTINOS #4302740001596798 MES DE JUNIO 2025</t>
  </si>
  <si>
    <t>GASTOS BANCARIOS FIDUCIA CREDICORPCAPITAL 1-1-54782 MES DE AGOSTO 2025</t>
  </si>
  <si>
    <t>GASTOS BANCARIOS BANCO POPULAR CTA CTE 110560212276 MES DE AGOSTO 2025</t>
  </si>
  <si>
    <t>GASTOS BANCARIOS FONDO INVERSION RENTA L 482800029407 DAV MES DE AGOSTO 2025</t>
  </si>
  <si>
    <t>LEGALIZACIÓN TC BANOCCIDENTE MRESTREPO No. 512835-0-028970-288 MONEDA USD CORTE 31 JULIO 2025</t>
  </si>
  <si>
    <t>NIC-00038501</t>
  </si>
  <si>
    <t>NIC-00038506</t>
  </si>
  <si>
    <t>RECLASIFICACION FAN- 31507 CTA COMISION 53051502 A SEPTIEMBRE POR VENCIMIENTOS DE FACTURAS</t>
  </si>
  <si>
    <t>RECLASIFICACION CTA COMISION 53051502 A SEPTIEMBRE POR VENCIMIENTOS DE FACTURAS</t>
  </si>
  <si>
    <t>RECLASIFICACION COMISION FAN-31731-FAN-31400</t>
  </si>
  <si>
    <t>RECLASIFICACION  FAN- 31731 CTA COMISION 53051502 A SEPTIEMBRE POR VENCIMIENTOS DE FACTURAS</t>
  </si>
  <si>
    <t>RECLASIFICACION FAN- 31558-31460 CTA COMISION 53051502 A SEPTIEMBRE POR VENCIMIENTOS DE FACTURAS</t>
  </si>
  <si>
    <t>RECLASIFICACION FAN- 31659-31621-31640 CTA COMISION 53051502 A SEPTIEMBRE POR VENCIMIENTOS DE FACTURAS</t>
  </si>
  <si>
    <t>RECLASIFICACION FAN- 31682-31625-31480 CTA COMISION 53051502 A SEPTIEMBRE POR VENCIMIENTOS DE FACTURAS</t>
  </si>
  <si>
    <t>RECLASIFICACION FAN- 31705 CTA COMISION 53051502 A SEPTIEMBRE POR VENCIMIENTOS DE FACTURAS</t>
  </si>
  <si>
    <t>RECLASIFICACION FAN- 31754-760 -791-797-815-823-831-835 CTA COMISION 53051502 A SEPTIEMBRE POR VENCIMIENTOS DE FACTURAS</t>
  </si>
  <si>
    <t>RECLASIFICACION FAN- 31784-31719 CTA COMISION 53051502 A SEPTIEMBRE POR VENCIMIENTOS DE FACTURAS</t>
  </si>
  <si>
    <t>RECLASIFICACION FAN-31602-31763-31774 CTA COMISION 53051502 A SEPTIEMBRE POR VENCIMIENTOS DE FACTURAS</t>
  </si>
  <si>
    <t>COMISIONES EN BOLSA</t>
  </si>
  <si>
    <t>NIP-00017575</t>
  </si>
  <si>
    <t>NIP-00017577</t>
  </si>
  <si>
    <t>NIP-00017584</t>
  </si>
  <si>
    <t>NIP-00017616</t>
  </si>
  <si>
    <t>NIB-00007561</t>
  </si>
  <si>
    <t>NIC-00038534</t>
  </si>
  <si>
    <t>NIP-00017682</t>
  </si>
  <si>
    <t>DSF-00001407</t>
  </si>
  <si>
    <t>FAC-00048354</t>
  </si>
  <si>
    <t>DSF-00001415</t>
  </si>
  <si>
    <t>DSF-00001416</t>
  </si>
  <si>
    <t>NIP-00017694</t>
  </si>
  <si>
    <t>NIB-00007661</t>
  </si>
  <si>
    <t>CAM-00001009</t>
  </si>
  <si>
    <t>NIP-00017701</t>
  </si>
  <si>
    <t>NIP-00017705</t>
  </si>
  <si>
    <t>NIP-00017709</t>
  </si>
  <si>
    <t>DSF-00001430</t>
  </si>
  <si>
    <t>DSF-00001431</t>
  </si>
  <si>
    <t>DSF-00001432</t>
  </si>
  <si>
    <t>DSF-00001433</t>
  </si>
  <si>
    <t>DSF-00001437</t>
  </si>
  <si>
    <t>DSF-00001438</t>
  </si>
  <si>
    <t>DSF-00001439</t>
  </si>
  <si>
    <t>NIC-00038574</t>
  </si>
  <si>
    <t>NIP-00017721</t>
  </si>
  <si>
    <t>FAC-00048423</t>
  </si>
  <si>
    <t>NIB-00007694</t>
  </si>
  <si>
    <t>NIB-00007737</t>
  </si>
  <si>
    <t>NIP-00017733</t>
  </si>
  <si>
    <t>NIB-00007553</t>
  </si>
  <si>
    <t>NIB-00007554</t>
  </si>
  <si>
    <t>NIB-00007539</t>
  </si>
  <si>
    <t>NIB-00007548</t>
  </si>
  <si>
    <t>NIB-00007552</t>
  </si>
  <si>
    <t>NIB-00007620</t>
  </si>
  <si>
    <t>NIB-00007710</t>
  </si>
  <si>
    <t>NIB-00007714</t>
  </si>
  <si>
    <t>NIB-00007660</t>
  </si>
  <si>
    <t>NIB-00007662</t>
  </si>
  <si>
    <t>NIB-00007716</t>
  </si>
  <si>
    <t>NIB-00007705</t>
  </si>
  <si>
    <t>NIB-00007706</t>
  </si>
  <si>
    <t>NIB-00007718</t>
  </si>
  <si>
    <t>NIB-00007719</t>
  </si>
  <si>
    <t>NIB-00007720</t>
  </si>
  <si>
    <t>CONTABILIZAICON IVA COMIION 4*1000</t>
  </si>
  <si>
    <t>CONTABILIZAION IVA COMISION 4*1000</t>
  </si>
  <si>
    <t>SE CONTABILIZA IVA COMISION 4*1000</t>
  </si>
  <si>
    <t>PAGO DE DEPSITOS JUDICIALES - ICSA</t>
  </si>
  <si>
    <t>CONTABILIZACION IVA COMIISON 4*1000</t>
  </si>
  <si>
    <t>GASTOS BANCARIOS CORRESPONDIENTE AL MES DE AGOSTO 2025</t>
  </si>
  <si>
    <t>SOC91016 - COMISION POR ADMINISTRACION- PERIODO DE FACTRUAUCION: SEPTIEMBRE 2025</t>
  </si>
  <si>
    <t>PRUEBA</t>
  </si>
  <si>
    <t>CLFV23467 - SERV MODIFICACION BMC 860071250</t>
  </si>
  <si>
    <t>FACTORING KLYM FAC-32176-32212 COMISION PAGO</t>
  </si>
  <si>
    <t>PAGO DE COMISION DE CHEQUES BANCOLOMBIA ,(412624452-579274497-016926301-133925799)</t>
  </si>
  <si>
    <t>CAM1009 - LEGALIZACION DE CAJA MENOR OFICINA DE CALI DEL 02  AL 16 DE SEPTIEMBRE 2025</t>
  </si>
  <si>
    <t>contabilizacion iva comision 4*1000</t>
  </si>
  <si>
    <t>GASTOS BANCARIOS CORRESPONDIENTE AL MES DE AOSTO 2025</t>
  </si>
  <si>
    <t>DSF1437 - GASTOS BANCARIOS CORRESPONDIENTE AL MES DE AGOSTO 2025</t>
  </si>
  <si>
    <t>GASTOS BANCARIOS CORRESPONDIENTES AL MES DE AGOSTO 2025</t>
  </si>
  <si>
    <t>DEVOLUCION DE DSF - GASTOS BANCARIOS CORRESPONDIENTES AL MES DE AGOSOT 2025 (DSF1430 AL DSF 1439)</t>
  </si>
  <si>
    <t>contabilizaicon iva comision 4*1000</t>
  </si>
  <si>
    <t>FAC1042306 - COMISION FIJA DE ADMINISTRACION -MES DE SEPTIEMBRE 2025</t>
  </si>
  <si>
    <t>GASTO DE COMISION EN LEVANTAMIENTO DE PRENDA HIPOTECA EN EL MES DE MAYO 2025</t>
  </si>
  <si>
    <t>GASTOS BANCARIOS BANCOLOMBIA PANAMA MES DE SEPTIEMBRE 2025</t>
  </si>
  <si>
    <t>SOC78543- COMISION POR ADMINIOSTRACION DAVIVIENDA NOVIEMBRE 2024</t>
  </si>
  <si>
    <t>FACTORING BBVA FAN-31867-31816 PAGO - COMISION</t>
  </si>
  <si>
    <t>FACTORING BBVA FAN-31859</t>
  </si>
  <si>
    <t>FACTORING BBVA 31854-31863-31865-31876-31942 COMISION PAGO</t>
  </si>
  <si>
    <t>FACTORING KLYM FAN-31739-31785-31790-31805-31861-31864-31883 PAGO COMISION</t>
  </si>
  <si>
    <t>FACTORING RED CAPITAL - FAN-31779-31787-31799-31808-31944</t>
  </si>
  <si>
    <t>FACTORING BBVA FAN-31984-31811 PAGO-COMISION</t>
  </si>
  <si>
    <t>FACTORING FAN-32014 COMISION PAGO</t>
  </si>
  <si>
    <t>FACTORING FAN-31834-32065 COMISION PAGO</t>
  </si>
  <si>
    <t>FACTORING BBVA FAN-31287-31286 COMISION Y PAGO</t>
  </si>
  <si>
    <t>FACTORING RED CAPITAL - FAN-32046-32126-32152-32175-32178 COMISION PAGO</t>
  </si>
  <si>
    <t>FACTORING AJOVER FAN-32271 ALPINA FAN-32177-32192-32230-32258 PAGO COMISION</t>
  </si>
  <si>
    <t>FACTORING FAN-31819 COMISION Y PAGO</t>
  </si>
  <si>
    <t>FACTORING FAN-32402-32403-32404</t>
  </si>
  <si>
    <t>FACTORING FAN-32000 COMISION PAGO</t>
  </si>
  <si>
    <t>FACTORING FAN- 32280-32282-32260 COMISION - PAGO</t>
  </si>
  <si>
    <t>FACTORING FAN-32248  COMISION PAGO</t>
  </si>
  <si>
    <t>BANCO DAVIVIENDA S.A</t>
  </si>
  <si>
    <t>NIB-00007741</t>
  </si>
  <si>
    <t>NIB-00007742</t>
  </si>
  <si>
    <t>NIB-00007744</t>
  </si>
  <si>
    <t>NIB-00007746</t>
  </si>
  <si>
    <t>NIB-00007747</t>
  </si>
  <si>
    <t>NIB-00007748</t>
  </si>
  <si>
    <t>NIB-00007749</t>
  </si>
  <si>
    <t>GASTOS BANCARIOS BANCO DAVIVIENDA CTE 379469997678 MES DE SEPTIEMBRE 2025</t>
  </si>
  <si>
    <t>GASRTOS BANCARIOS BANCO BOGOTA CALI CTE 256096355 MES DE SEPTIEMBRE 2025</t>
  </si>
  <si>
    <t>GASTOS BANCARIOS BANCO DE OCCIDENTE CTE 001526318 MES DE SEPTIEMBRE 2025</t>
  </si>
  <si>
    <t>GASTOS BANCARIOS BANCOLOMBIA CTE 80104152201 MES DE SEPTIEMBRE 2025</t>
  </si>
  <si>
    <t>GASTOS BANCARIOS BANCOLOMBIA AHORRO 30631513979 MES DE SEPTIEMBRE 2025</t>
  </si>
  <si>
    <t>GASTOS BANCARIOS BANCO DE BOGOTA TULUA CTE 612036319 MES DE SEPTIEMBRE 2025</t>
  </si>
  <si>
    <t>GASTOS BANCARIOS BANCO BBVA COLOMBIA 0502000100011570 CTE MES DE SEPTIEMBRE 2025</t>
  </si>
  <si>
    <t>BANCO AGRARIO DE COLOMBIA S.A</t>
  </si>
  <si>
    <t>NIC-00038768</t>
  </si>
  <si>
    <t>NIC-00038753</t>
  </si>
  <si>
    <t>RECLASIFICAION FACTORING NIC-38534 FAN-31859</t>
  </si>
  <si>
    <t>RECLASIFICACION COMISIONES FACTORING VENCIMIENTOS OCTUBRE</t>
  </si>
  <si>
    <t>NIB-00007735</t>
  </si>
  <si>
    <t>NIB-00007743</t>
  </si>
  <si>
    <t>NIB-00007745</t>
  </si>
  <si>
    <t>NIP-00017737</t>
  </si>
  <si>
    <t>NIP-00017745</t>
  </si>
  <si>
    <t>PAGO DE KIT DE INTERNET, STARLINK ESTANDAER - PARA LA EMPRESA CARMLEITA AGRICOLA</t>
  </si>
  <si>
    <t>GASTOS BANCARIOS BANCO DE BOGOTA SOBREGIRO 484183223 MES DE SEPTIEMBRE 2025</t>
  </si>
  <si>
    <t>GASTOS BANCARIOS BANCO POPULAR CTA CTE 110560212276 MES DE SEPTIEMBRE 2025</t>
  </si>
  <si>
    <t>LEGALIZACION DE TC DESTINOS  #4302740001596798 CORRESPONDIENTE AL MES DE AGOSTO 2025</t>
  </si>
  <si>
    <t>FACTURA CLPC44222 LEGALIZACIÓN TARJETA DE CREDITO #5592 2520 9372 1520 JULIO - AGOSTO 2025 DIRECCIÓN FINANCIERA</t>
  </si>
  <si>
    <t>LEGALLIZACIÓN TARJETA DE CREDITO # 5592 2520 9372 1520 JULIO 30 AGOSTO 30 2025 DIRECCIÓN FINANCIERA</t>
  </si>
  <si>
    <t>NIC-00038907</t>
  </si>
  <si>
    <t>NIB-00007909</t>
  </si>
  <si>
    <t>NIB-00007911</t>
  </si>
  <si>
    <t>NIB-00007966</t>
  </si>
  <si>
    <t>NIB-00007910</t>
  </si>
  <si>
    <t>NIB-00007913</t>
  </si>
  <si>
    <t>NIC-00038908</t>
  </si>
  <si>
    <t>NIB-00007949</t>
  </si>
  <si>
    <t>NIB-00007953</t>
  </si>
  <si>
    <t>NIB-00007955</t>
  </si>
  <si>
    <t>NIB-00007956</t>
  </si>
  <si>
    <t>NIB-00007985</t>
  </si>
  <si>
    <t>NIC-00039075</t>
  </si>
  <si>
    <t>NIC-00039081</t>
  </si>
  <si>
    <t>NIP-00017856</t>
  </si>
  <si>
    <t>NIP-00017743</t>
  </si>
  <si>
    <t>NIB-00007817</t>
  </si>
  <si>
    <t>NIP-00017749</t>
  </si>
  <si>
    <t>NIP-00017750</t>
  </si>
  <si>
    <t>NIP-00017751</t>
  </si>
  <si>
    <t>NIP-00017752</t>
  </si>
  <si>
    <t>NIP-00017754</t>
  </si>
  <si>
    <t>NIB-00007831</t>
  </si>
  <si>
    <t>NIP-00017775</t>
  </si>
  <si>
    <t>NIP-00017825</t>
  </si>
  <si>
    <t>FAC-00049158</t>
  </si>
  <si>
    <t>DSF-00001462</t>
  </si>
  <si>
    <t>DSF-00001463</t>
  </si>
  <si>
    <t>DSF-00001464</t>
  </si>
  <si>
    <t>DSF-00001465</t>
  </si>
  <si>
    <t>DSF-00001467</t>
  </si>
  <si>
    <t>DSF-00001469</t>
  </si>
  <si>
    <t>DSF-00001471</t>
  </si>
  <si>
    <t>DSF-00001472</t>
  </si>
  <si>
    <t>NIC-00038891</t>
  </si>
  <si>
    <t>NIP-00017831</t>
  </si>
  <si>
    <t>NIP-00017832</t>
  </si>
  <si>
    <t>NIB-00007964</t>
  </si>
  <si>
    <t>NIB-00007968</t>
  </si>
  <si>
    <t>NIB-00007975</t>
  </si>
  <si>
    <t>NIB-00007977</t>
  </si>
  <si>
    <t>NIB-00007978</t>
  </si>
  <si>
    <t>NIB-00007981</t>
  </si>
  <si>
    <t>NIB-00007982</t>
  </si>
  <si>
    <t>NIB-00007983</t>
  </si>
  <si>
    <t>NIB-00007997</t>
  </si>
  <si>
    <t>NIP-00017849</t>
  </si>
  <si>
    <t>NIP-00017850</t>
  </si>
  <si>
    <t>NIP-00017851</t>
  </si>
  <si>
    <t>NIP-00017852</t>
  </si>
  <si>
    <t>NIP-00017853</t>
  </si>
  <si>
    <t>NIP-00017854</t>
  </si>
  <si>
    <t>COMISION FACTORING FAN-32178-32014-32046-32126-32152-32175</t>
  </si>
  <si>
    <t>FACTORING FAN- 32527 COMISION Y PAGOS</t>
  </si>
  <si>
    <t>FACTORGING FAN-32001-32373-32372 COMISION FACTORING</t>
  </si>
  <si>
    <t>FACTORING FAN-32245 COMISION PAGO</t>
  </si>
  <si>
    <t>FACTORING FAN-32565-32589-32596-32603-32671-32673 COMISION Y PAGO</t>
  </si>
  <si>
    <t>FACTORING FAN-32383-32425-32506-32524-32467-32502-32551-32583-32574-32580</t>
  </si>
  <si>
    <t>COMISION FACTORING BANCOLOMBIA FAN-32402-32403-32404</t>
  </si>
  <si>
    <t>FACTONRING FAN-32615-32621-32645</t>
  </si>
  <si>
    <t>FACTORING FAN-32518-32538-32561-32576 PAGO COMISION</t>
  </si>
  <si>
    <t>FACTORING FAN-32793 - 32701 PAGO</t>
  </si>
  <si>
    <t>FACTORING BBVA FAN-32843 PAGO</t>
  </si>
  <si>
    <t>REGISTRO COMISIONES FACTORING VENCIMIENTOS OCTUBRE</t>
  </si>
  <si>
    <t>CRUCE PAGO EXCEDENTES - COMISION FAN-32065-31834</t>
  </si>
  <si>
    <t>RECLASIFICACION COMISION FACTORING</t>
  </si>
  <si>
    <t>REINTEGRO PAGO FACTORING KLYM FAN-32271-3221-32176 RCA-34333-34260</t>
  </si>
  <si>
    <t>CONTABILIZACION IVA COMISON 4*1000 RECARGA TARJETA PREPAGO</t>
  </si>
  <si>
    <t>PAGO DE EMBARGOS JUDICIALES ICSA - ARCHIVO: GD2025100689190019621_12. - SECUENCIAL: 1557948 - CODIGO 30030</t>
  </si>
  <si>
    <t>CLFV 23608 - SERV MODIFICACION BMC 860071250</t>
  </si>
  <si>
    <t>CLFV 23609 - SERV MODIFICACION BMC 860071250</t>
  </si>
  <si>
    <t>CLFV 23647 - COMISION CORREAGRO - SERV DE REGISTRO BMC 860071250</t>
  </si>
  <si>
    <t>CLFV 23648 - COMISION CORREAGRO - SERV DE REGISTRO BMC 860071250</t>
  </si>
  <si>
    <t>PAGO DE GTOS BANCARIOS Y CUENTAS DE COBRO COMISION</t>
  </si>
  <si>
    <t>CONTABILIZACION IVA COMISON 4*1000 RECARGA TARJETA</t>
  </si>
  <si>
    <t>contabilizacioni va comison 4*1000 recarga 20</t>
  </si>
  <si>
    <t>contabilizacioni va comison 4*1000</t>
  </si>
  <si>
    <t>SOC92368 - COMISION POR ADMINISTRACION: OCTUBRE 2025</t>
  </si>
  <si>
    <t>GASTOS BANCARIOS CORRESPONDIENTES AL MES DE SEPTIEMBRE 2025</t>
  </si>
  <si>
    <t>GASTOS BANCARIOS CORRESPONDIENTE AL MES DE SEPTIEMBRE 2025</t>
  </si>
  <si>
    <t>DEVOLUCION DE DSF - GASTOS BANCARIOS CORRESPONDIENTES AL MES DE SEPTIEMBRE 2025 (DSF1462 AL DSF 1472)</t>
  </si>
  <si>
    <t>LEGALIZACIÓN TC BANOCCIDENTE MRESTREPO No. 512835-0-028970-288 COP CORTE 30 SEPTIEMBRE 2025 CUOTA MANEJO</t>
  </si>
  <si>
    <t>LEGALIZACIÓN TC BANOCCIDENTE MRESTREPO No. 512835-0-028970-288 MONEDA COP CORTE 30 SEPTIEMBRE 2025</t>
  </si>
  <si>
    <t>LEGALIZACIÓN TC BANOCCIDENTE MRESTREPO No. 512835-0-028970-288 COP CORTE 30 SEPTIEMBRE 2025 SEGURO VIDA</t>
  </si>
  <si>
    <t>GASTOS BANCARIOS BANCO BBVA COLOMBIA 0502000100011570 CTE OCTUBRE 2025</t>
  </si>
  <si>
    <t>GASTOS BANCARIOS BANCO DE OCCIDENTE CTE 001526318 OCTUBRE 2025</t>
  </si>
  <si>
    <t>GASTOS BANCARIOS BANCOLOMBIA PANAMA OCTUBRE 2025</t>
  </si>
  <si>
    <t>GASTOS BANCARIOS BANCO DE BOGOTA TULUA CTE 612036319 OCTUBRE 2025</t>
  </si>
  <si>
    <t>GASTOS BANCARIOS BANCO BOGOTA CALI CTE 256096355 OCTUBRE 2025</t>
  </si>
  <si>
    <t>GASTOS BANCARIOS BANCOLOMBIA SOBREGIRO 76282316703 MES DE OCTUBRE 2025</t>
  </si>
  <si>
    <t>GASTOS BANCARIOS BANCOLOMBIA CTE 80104152201 MES OCTUBRE 2025</t>
  </si>
  <si>
    <t>GASTOS BANCARIOS BANCOLOMBIA AHORRO 30631513979 MES DE OCTUBRE 2025</t>
  </si>
  <si>
    <t>GASTOS BANCARIOS BANCO DAVIVIENDA CTE 379469997678 MES DE OCTUBRE 2025</t>
  </si>
  <si>
    <t>CLFV24064 - COMISION CORREAGRO - SERV DE REGRISTRO BMC 890071250</t>
  </si>
  <si>
    <t>CLFV24063 - COMISION CORREAGRO N- SERV REGRISTRO BMC 860071250</t>
  </si>
  <si>
    <t>CLFV24017 : SERV MODIFICACION BMC860071250</t>
  </si>
  <si>
    <t>CLFV23877 - SERV MODIFICACION BMC 860071250</t>
  </si>
  <si>
    <t>CLFV23939 - SERV MODIFICACION 860071250</t>
  </si>
  <si>
    <t>CLFV23750 - SERV MODIFICACION BMN 860071250</t>
  </si>
  <si>
    <t>NIP-00017777</t>
  </si>
  <si>
    <t>NIP-00017787</t>
  </si>
  <si>
    <t>NIP-00017806</t>
  </si>
  <si>
    <t>NIB-00007959</t>
  </si>
  <si>
    <t>NIB-00007965</t>
  </si>
  <si>
    <t>NIB-00007992</t>
  </si>
  <si>
    <t>NIC-00038906</t>
  </si>
  <si>
    <t>NIP-00017837</t>
  </si>
  <si>
    <t>LEGALIZACIÓN TC BANOCCIDENTE MRESTREPO No. 512835-0-028970-288 COP CORTE 31 JUL-AGOS 2025 IMPTO 4X1000 AGOSTO</t>
  </si>
  <si>
    <t>LEGALIZACIÓN TC BANOCCIDENTE MRESTREPO No. 512835-0-028970-288 MONEDA COP CORTE 31 JUL-AGOS 2025</t>
  </si>
  <si>
    <t>LEGALIZACIÓN TC BANOCCIDENTE MRESTREPO No. 512835-0-028970-288 COP CORTE 31 JULIO 2025 4X1000</t>
  </si>
  <si>
    <t>LEGALIZACIÓN TC BANOCCIDENTE MRESTREPO No. 512835-0-028970-288 USD CORTE 3O JUNIO 2025 4X1000</t>
  </si>
  <si>
    <t>LEGALIZACIÓN TC BANOCCIDENTE MRESTREPO No. 512835-0-028970-288 MONEDA USD CORTE 3O JUNIO 2025</t>
  </si>
  <si>
    <t>LEGALIZACION DE TC EN PESOS 8208 CORRESPONDIENTE AL MES DE AGOSTO 2025</t>
  </si>
  <si>
    <t>LEGALIZACIÓN TC BANOCCIDENTE MRESTREPO No. 512835-0-028970-288 COP CORTE 30 SEPTIEMBRE 2025 IMPTO 4X1000</t>
  </si>
  <si>
    <t>Gastos 4x1000 mes de Julio 2025</t>
  </si>
  <si>
    <t>PARTIDAS PENDIENTE DE CONTABILIZAR AL 30 DE SEPTIEMBRE 2025 FIDUCIA POPULAR 2213-3</t>
  </si>
  <si>
    <t>GASTOS BANCARIOS BANCO POPULAR CTA CTE 110560212276 MES DE OCTUBRE 2025</t>
  </si>
  <si>
    <t>DEB AUTOMATICO COMISION FIJA Y GASTOS BANCARIOS FONDO INVERSION RENTA L 482800029407 DAV OCTUBRE 2025</t>
  </si>
  <si>
    <t>LEGALIZACION TARJETA DE CREDITO FRANCISCO MONCAYO</t>
  </si>
  <si>
    <t>LEGALIZACIÓN TARJETA DE CRÉDITO # 5592 2520 9372 1520 AGOSTO 30 A 29 DE SEPTIEMBRE 2025</t>
  </si>
  <si>
    <t>NCS-00000193</t>
  </si>
  <si>
    <t>NIC-00039102</t>
  </si>
  <si>
    <t>NIP-00017877</t>
  </si>
  <si>
    <t>NIB-00008054</t>
  </si>
  <si>
    <t>NIP-00017915</t>
  </si>
  <si>
    <t>NIP-00017959</t>
  </si>
  <si>
    <t>FAC-00049468</t>
  </si>
  <si>
    <t>NIP-00017975</t>
  </si>
  <si>
    <t>NIP-00017994</t>
  </si>
  <si>
    <t>NIB-00008166</t>
  </si>
  <si>
    <t>NIB-00008167</t>
  </si>
  <si>
    <t>NIB-00008169</t>
  </si>
  <si>
    <t>NIB-00008172</t>
  </si>
  <si>
    <t>NIB-00008173</t>
  </si>
  <si>
    <t>NIB-00008189</t>
  </si>
  <si>
    <t>NIB-00008191</t>
  </si>
  <si>
    <t>NIB-00008193</t>
  </si>
  <si>
    <t>NIB-00008194</t>
  </si>
  <si>
    <t>NIB-00008195</t>
  </si>
  <si>
    <t>NIB-00008213</t>
  </si>
  <si>
    <t>NIP-00018041</t>
  </si>
  <si>
    <t>NIP-00018042</t>
  </si>
  <si>
    <t>NIP-00018045</t>
  </si>
  <si>
    <t>NIP-00018046</t>
  </si>
  <si>
    <t>NIP-00018053</t>
  </si>
  <si>
    <t>NIC-00039141</t>
  </si>
  <si>
    <t>NIC-00039142</t>
  </si>
  <si>
    <t>NIP-00017885</t>
  </si>
  <si>
    <t>NIB-00008071</t>
  </si>
  <si>
    <t>NIB-00008072</t>
  </si>
  <si>
    <t>NIB-00008073</t>
  </si>
  <si>
    <t>NIB-00008074</t>
  </si>
  <si>
    <t>NIB-00008136</t>
  </si>
  <si>
    <t>NIB-00008137</t>
  </si>
  <si>
    <t>NIB-00008127</t>
  </si>
  <si>
    <t>NIB-00008129</t>
  </si>
  <si>
    <t>NIB-00008130</t>
  </si>
  <si>
    <t>NIB-00008204</t>
  </si>
  <si>
    <t>NIB-00008205</t>
  </si>
  <si>
    <t>NIB-00008207</t>
  </si>
  <si>
    <t>NIB-00008206</t>
  </si>
  <si>
    <t>NOTA CREDITO NCE-479 - DE LA FACTURA V-16601</t>
  </si>
  <si>
    <t>PAGO DE DEPOSITOS JUDICIALES  - COMPROBANTE DE PAGO: 1566535 - ARCHIVO: 30030 - GD2025110708919001961_13.</t>
  </si>
  <si>
    <t>SOC93247 - COMISION POR ADMINISTRACION CORRESPONDIENTE AL MES DE NOVIEMBRE 2025</t>
  </si>
  <si>
    <t>GASTOS BANCARIOS BANCOLOMBIA CTE 80104152201 MES DE NOVIEMBRE 2025</t>
  </si>
  <si>
    <t>GASTOS BANCARIOS BANCOLOMBIA AHORRO 30631513979 MES DE NOVIEMBRE 2025</t>
  </si>
  <si>
    <t>BANCO DAVIVIENDA CTE 379469997678 MES NOVIEMBRE 2025</t>
  </si>
  <si>
    <t>GASTOS BANCARIOS BANCO DE BOGOTA TULUA CTE 612036319 MES DE NOVIEMBRE 2025</t>
  </si>
  <si>
    <t>GASTOS BANCARIOS BANCO BOGOTA CALI CTE 256096355 MES DE NOVIEMBRE 2025</t>
  </si>
  <si>
    <t>GASTOS BANCARIOS BANCO DAVIVIENDA CTE 379469997678 MES DE NOVIEMBRE 2025</t>
  </si>
  <si>
    <t>GASTOS BANCARIOS BANCOLOMBIA PANAMA MES DE NOVIEMBRE 2025</t>
  </si>
  <si>
    <t>GASTOS BANCARIOS BANCO BBVA COLOMBIA 0502000100011570 CTE MES DE NOVIEMBRE 2025</t>
  </si>
  <si>
    <t>COMISION POR GENERACION DE EXTRACTOS MES DE NOVIEMBRE - BANCO BOGOTA CALI CTE 256096355</t>
  </si>
  <si>
    <t>COMISION POR GENERACION DE EXTRACTOS MES DE NOVIEMBRE BANCO DE BOGOTA TULUA CTE 612036319</t>
  </si>
  <si>
    <t>GASTOS BANCARIOS BANCO DE OCCIDENTE CTE 001526318 MES DE NOVIEMBRE 2025</t>
  </si>
  <si>
    <t>GASTOS BANCARIOS ITAU PANAMA - CTA COMPENSACION 102068322 MES DE NOVIEMBRE 2025</t>
  </si>
  <si>
    <t>CLFV24411 -  COMISION CORREGRO - SERV DE REGSITRO BMC</t>
  </si>
  <si>
    <t>CLFV24410 - COMISION CORREGARO - SERV DE REGRISTRI BMC</t>
  </si>
  <si>
    <t>CLFV24339 - SERV MODIFICACION BMC 8600713250</t>
  </si>
  <si>
    <t>CLFV24295 : SERV MODUFUCACIN BMC 86007 1250</t>
  </si>
  <si>
    <t>LEGALIZACION DE ANTICIPO  PAGO COMISION CHEQUES ANTICIPO COR GARGUE A LA TC NOVIEMBRE 2025</t>
  </si>
  <si>
    <t>FACTORING FAN-32614-32663-32670-32713-32714-32725-32736-32745-32776-32778-32789-32792-32811-32818-32832-32838-32840-32852</t>
  </si>
  <si>
    <t>FACTORING FAN-32672-32697-32814-32822-32825</t>
  </si>
  <si>
    <t>FACTORING FAN-32873-32918-32919</t>
  </si>
  <si>
    <t>FACTORING FAN- 32947</t>
  </si>
  <si>
    <t>FACTORING FAN-32612-32658-32726-32761</t>
  </si>
  <si>
    <t>FACTORING KLYM FAN-32633-32804</t>
  </si>
  <si>
    <t>FACTORING KLYM FAN-32764-32812-32816</t>
  </si>
  <si>
    <t>FACTORIGN BBVA FAN-33161-33143 COMISION PAGO</t>
  </si>
  <si>
    <t>FACTORING BBVA FAN-32963-32962</t>
  </si>
  <si>
    <t>FACTORING RED CAPITAL -FAN-33023-00362-33076-33087-33098-33118</t>
  </si>
  <si>
    <t>FACTORING BBVA FAN-32997-32998 COMISION PAGO</t>
  </si>
  <si>
    <t>FACTORING FAN-33207-33201</t>
  </si>
  <si>
    <t>FACTORING KLYN FAN-33131 PAGO COMISION</t>
  </si>
  <si>
    <t>FACTORING RED CAPITAL - DAVIVIENDA FAN-33130-33203-33211-33214 COMISION PAGO</t>
  </si>
  <si>
    <t>NIP-00018033</t>
  </si>
  <si>
    <t>NIP-00018037</t>
  </si>
  <si>
    <t>NIB-00008266</t>
  </si>
  <si>
    <t>NIP-00018075</t>
  </si>
  <si>
    <t>NIP-00018107</t>
  </si>
  <si>
    <t>NIP-00018115</t>
  </si>
  <si>
    <t>NIP-00018116</t>
  </si>
  <si>
    <t>NIP-00018117</t>
  </si>
  <si>
    <t>NIP-00018118</t>
  </si>
  <si>
    <t>FAC-00050011</t>
  </si>
  <si>
    <t>NIP-00018142</t>
  </si>
  <si>
    <t>NCS-00000212</t>
  </si>
  <si>
    <t>NCS-00000213</t>
  </si>
  <si>
    <t>NCS-00000215</t>
  </si>
  <si>
    <t>NIB-00008364</t>
  </si>
  <si>
    <t>NIB-00008365</t>
  </si>
  <si>
    <t>NIB-00008367</t>
  </si>
  <si>
    <t>NIB-00008368</t>
  </si>
  <si>
    <t>NIB-00008369</t>
  </si>
  <si>
    <t>NIB-00008370</t>
  </si>
  <si>
    <t>NIB-00008371</t>
  </si>
  <si>
    <t>NIB-00008398</t>
  </si>
  <si>
    <t>NIB-00008401</t>
  </si>
  <si>
    <t>NIB-00008404</t>
  </si>
  <si>
    <t>NIP-00018159</t>
  </si>
  <si>
    <t>NIP-00018160</t>
  </si>
  <si>
    <t>NIP-00018162</t>
  </si>
  <si>
    <t>NIP-00018163</t>
  </si>
  <si>
    <t>NIP-00018164</t>
  </si>
  <si>
    <t>NIB-00008328</t>
  </si>
  <si>
    <t>NIB-00008234</t>
  </si>
  <si>
    <t>NIB-00008327</t>
  </si>
  <si>
    <t>NIB-00008285</t>
  </si>
  <si>
    <t>NIB-00008326</t>
  </si>
  <si>
    <t>NIB-00008325</t>
  </si>
  <si>
    <t>NIB-00008387</t>
  </si>
  <si>
    <t>NIB-00008389</t>
  </si>
  <si>
    <t>PAGO DE EMBARGOS JUDICIALES ICSA - ARCHIVO: GD202512092891900196_15 - CODIGO: 30030</t>
  </si>
  <si>
    <t>CONTABILIZAICON IVA COMISION 4*1000 RECARGA TARJETA</t>
  </si>
  <si>
    <t>FAC185563- COBRO DE COMISION FIJA SEGUN CONTRATO</t>
  </si>
  <si>
    <t>FAC-186337 COBRO COMISION FIJA SEGUN CONTRATO</t>
  </si>
  <si>
    <t>FAC-187608 COBRO COMISION FIJA SEGUN CONTRATO</t>
  </si>
  <si>
    <t>SOC94453 - -COMISION POR ADMINISTRACION. Periodo de Facturacion: Diciembre 2025</t>
  </si>
  <si>
    <t>NCC-50 - DE LA FACTRA 24816 - SE RALIZA DEV</t>
  </si>
  <si>
    <t>NCC-46 - DE LA FACTRA: 24411 - SE REALIZA DEV</t>
  </si>
  <si>
    <t>NCC-45 - DE LA FACTRA: 24411 - SE REALIZA DEV</t>
  </si>
  <si>
    <t>GASTOS BANCARIOS BANCOLOMBIA AHORRO 30631513979</t>
  </si>
  <si>
    <t>GASTOS BANCARIOS BANCOLOMBIA CTE 80104152201 MES DE DICIEMBRE 2025</t>
  </si>
  <si>
    <t>GASTOS BANCARIOS BANCO DAVIVIENDA CTE 379469997678 MES DE DICIEMBRE 2025</t>
  </si>
  <si>
    <t>GASTOS BANCARIOS BANCO POPULAR CTA CTE 110560212276 MES DE DICIEMBRE 2025</t>
  </si>
  <si>
    <t>GASTOS BANCARIOS BANCO DE OCCIDENTE CTE 001526318 MES DE DICIEMBRE 2025</t>
  </si>
  <si>
    <t>GASTOS BANCARIOS BANCO DE BOGOTA TULUA CTE 612036319 MES DE DICIEMBRE 2025</t>
  </si>
  <si>
    <t>GASTOS BANCARIOS BANCO BOGOTA CALI CTE 256096355 MES DE DICIEMBRE 2025</t>
  </si>
  <si>
    <t>GASTOS BANCARIOS BANCOLOMBIA PANAMA MES DE DICIEMBRE 2025</t>
  </si>
  <si>
    <t>GASTOS BANCARIOS ITAU PANAMA - CTA COMPENSACION 102068322 MES DE DICIEMBRE 2025</t>
  </si>
  <si>
    <t>REINTEGRO CARGO POR SALDO INFERIOR NOVIEMBRE 2025</t>
  </si>
  <si>
    <t>CLFV24816 : COMSIION CORREAGRO - SERV DE REGISTRO BMC</t>
  </si>
  <si>
    <t>CLFV24815 - COMSIION CORREAGRO - SERV DE REGRISTRO BMC</t>
  </si>
  <si>
    <t>CLFV24650 : SERV MODIFICACION BMC 860071250</t>
  </si>
  <si>
    <t>FACTORING FAN-33162 COMISION PAGO</t>
  </si>
  <si>
    <t>FACTORING FAN-33296-33303-33315-33324-33327-33340</t>
  </si>
  <si>
    <t>FACTORING FAN-33210-33265 COMISION PAGO</t>
  </si>
  <si>
    <t>FACTORING FAN 33218-33292 REGISTRO DE COMISION Y PAGO</t>
  </si>
  <si>
    <t>FACTORING FAN-33227 COMISION PAGO</t>
  </si>
  <si>
    <t>FACTORIN FAN-33185- FAN 33199 COMISION PAGO</t>
  </si>
  <si>
    <t>FACTORING FAN-33549-33550 COMISION PAGO</t>
  </si>
  <si>
    <t>FACTORING FAN-33509-33533-33548-33551-33556-33582-33586-33604</t>
  </si>
  <si>
    <t>FIDUCIARIA CORFICOLOMBIANA S.A.</t>
  </si>
  <si>
    <t>PATRIMONIOS AUTONOMOS AVAL FIDUCIARIA S.A</t>
  </si>
  <si>
    <t>GASTOS BANCARIOS</t>
  </si>
  <si>
    <t>NIB-00008363</t>
  </si>
  <si>
    <t>NIC-00039498</t>
  </si>
  <si>
    <t>NIB-00008366</t>
  </si>
  <si>
    <t>NIB-00008372</t>
  </si>
  <si>
    <t>NIB-00008386</t>
  </si>
  <si>
    <t>NIB-00008410</t>
  </si>
  <si>
    <t>LEGALIZACION DE TC DESTINOS 4302840001596798 MES DE NOVIEMBRE 2025</t>
  </si>
  <si>
    <t>GG-FEV-32730-LEGALIZACIÓN TARJETA DE CRÉDITO DIRECCIÓN FINANCIERA # 5592 2520 9372 1520 OCTUBRE NOVIEMBRE</t>
  </si>
  <si>
    <t>GASTOS BANCARIOS BANCOLOMBIA SOBREGIRO 76282316703 MES DE DICIEMBRE 2025</t>
  </si>
  <si>
    <t>GASTOS BANCARIOS BANCO DE BOGOTA SOBREGIRO 484183223 MES DE DICIEMBRE 2025</t>
  </si>
  <si>
    <t>GASTOS BANCARIOS FONDO INVERSION RENTA L 482800029407 DAV MES DE DICIEMBRE 2025</t>
  </si>
  <si>
    <t>TRASLADO DE FONDOS PARA PAGO DE FACTURA  AFE846 ASOCACION DE FUNDACIONES FAMILIARES Y EMPRESARIALES - FUNDACION CARMELITA</t>
  </si>
  <si>
    <t>NIP-00017973</t>
  </si>
  <si>
    <t>NIB-00008168</t>
  </si>
  <si>
    <t>NIB-00008171</t>
  </si>
  <si>
    <t>NIB-00008174</t>
  </si>
  <si>
    <t>NIB-00008200</t>
  </si>
  <si>
    <t>NIP-00018027</t>
  </si>
  <si>
    <t>NIP-00018040</t>
  </si>
  <si>
    <t>NIP-00018050</t>
  </si>
  <si>
    <t>LEGALIZACIÓN TC BANOCCIDENTE MRESTREPO No. 512835-0-028970-288 MONEDA COP CORTE 31 OCT 2025 IMPTO 4X1000</t>
  </si>
  <si>
    <t>GASTOS BANCARIOS BANCOLOMBIA SOBREGIRO 76282316703 MES DE NOVIEMBRE 2025</t>
  </si>
  <si>
    <t>GASTOS BANCARIOS BANCO POPULAR CTA CTE 110560212276 MES DE NOVIEMBRE 2025</t>
  </si>
  <si>
    <t>GASTOS BANCARIOS BANCO DE BOGOTA SOBREGIRO 484183223 MES DE NOVIEMBRE 2025</t>
  </si>
  <si>
    <t>GASTOS BANCARIOS FONDO INVERSION RENTA L 482800029407 DAV MES NOVIEMBRE 2025</t>
  </si>
  <si>
    <t>LEGALIZACION DE TC DESTINOS 4302840001596798 MES DE OCTUBRE 2025</t>
  </si>
  <si>
    <t>LEGALIZACION DE TC DESTINOS 4302840001596798 MES DE AGOSTO 2025</t>
  </si>
  <si>
    <t>LEGALIZACIÓN TARJETA DE CREDITO DIRECCIÓN FINANCIERA SEPTIEMBRE OCTUBRE # 5592 2520 9372 1520</t>
  </si>
  <si>
    <t>NIB-00008424</t>
  </si>
  <si>
    <t>GASTOS BANCARIOS BANCO BBVA COLOMBIA  CTE MES DE DICIEMBRE 2025</t>
  </si>
  <si>
    <t>FAC-00050217</t>
  </si>
  <si>
    <t>FAC-00050218</t>
  </si>
  <si>
    <t>FAC-00050219</t>
  </si>
  <si>
    <t>FAC-00050220</t>
  </si>
  <si>
    <t>FAC-00050221</t>
  </si>
  <si>
    <t>FAC-00050222</t>
  </si>
  <si>
    <t>FAC135008 - COMISION FIJA MES DE JULIO 2025</t>
  </si>
  <si>
    <t>FAC135343 - COMISION FIJA MES DE AGOSTO 2025</t>
  </si>
  <si>
    <t>FAC135645 - COMISION FIJA MES DE SEPTIEMBRE 2025</t>
  </si>
  <si>
    <t>FAC136001 - COMISION FIJA MES DE OCTUBRE 2025</t>
  </si>
  <si>
    <t>FAC136360 - COMISION FIJA MES DE NOVIEMBRE 2025</t>
  </si>
  <si>
    <t>FAC136683 - COMISION FIJA MES DE DICIEMBRE 2025</t>
  </si>
  <si>
    <t>FAC-00050223</t>
  </si>
  <si>
    <t>FAC1067194 - COMISION FIJA DE ADMINISTRACION MES DE 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</si>
</sst>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&quot;$&quot;\ #,##0"/>
    <numFmt numFmtId="165" formatCode="_-&quot;$&quot;\ * #,##0_-;\-&quot;$&quot;\ * #,##0_-;_-&quot;$&quot;\ 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165" fontId="0" fillId="0" borderId="0" xfId="42" applyNumberFormat="1" applyFont="1"/>
    <xf numFmtId="0" fontId="0" fillId="34" borderId="0" xfId="0" applyFill="1" applyAlignment="1">
      <alignment horizontal="left"/>
    </xf>
    <xf numFmtId="164" fontId="0" fillId="34" borderId="0" xfId="0" applyNumberFormat="1" applyFill="1"/>
    <xf numFmtId="0" fontId="0" fillId="0" borderId="0" xfId="0" applyAlignment="1">
      <alignment horizontal="center"/>
    </xf>
    <xf numFmtId="0" fontId="16" fillId="33" borderId="10" xfId="0" applyFont="1" applyFill="1" applyBorder="1" applyAlignment="1">
      <alignment horizontal="center"/>
    </xf>
    <xf numFmtId="9" fontId="0" fillId="0" borderId="0" xfId="43" applyFont="1" applyAlignment="1">
      <alignment horizontal="center"/>
    </xf>
    <xf numFmtId="165" fontId="0" fillId="0" borderId="0" xfId="42" applyNumberFormat="1" applyFont="1" applyAlignment="1">
      <alignment horizontal="center"/>
    </xf>
    <xf numFmtId="9" fontId="16" fillId="34" borderId="0" xfId="43" applyFont="1" applyFill="1" applyAlignment="1">
      <alignment horizontal="center"/>
    </xf>
    <xf numFmtId="0" fontId="14" fillId="0" borderId="0" xfId="0" applyFont="1" applyAlignment="1">
      <alignment horizontal="left" indent="1"/>
    </xf>
    <xf numFmtId="164" fontId="14" fillId="0" borderId="0" xfId="0" applyNumberFormat="1" applyFont="1"/>
    <xf numFmtId="165" fontId="16" fillId="33" borderId="10" xfId="42" applyNumberFormat="1" applyFont="1" applyFill="1" applyBorder="1" applyAlignment="1">
      <alignment horizontal="center"/>
    </xf>
    <xf numFmtId="164" fontId="16" fillId="34" borderId="10" xfId="0" applyNumberFormat="1" applyFont="1" applyFill="1" applyBorder="1"/>
    <xf numFmtId="0" fontId="16" fillId="0" borderId="0" xfId="0" applyFont="1"/>
    <xf numFmtId="0" fontId="16" fillId="0" borderId="0" xfId="0" applyFont="1" applyAlignment="1">
      <alignment horizontal="center"/>
    </xf>
    <xf numFmtId="0" fontId="0" fillId="35" borderId="0" xfId="0" applyFill="1"/>
    <xf numFmtId="8" fontId="0" fillId="35" borderId="0" xfId="0" applyNumberFormat="1" applyFill="1"/>
    <xf numFmtId="14" fontId="0" fillId="35" borderId="0" xfId="0" applyNumberFormat="1" applyFill="1"/>
    <xf numFmtId="0" fontId="13" fillId="36" borderId="0" xfId="0" applyFont="1" applyFill="1" applyAlignment="1">
      <alignment horizontal="center"/>
    </xf>
    <xf numFmtId="44" fontId="16" fillId="0" borderId="0" xfId="42" applyFont="1"/>
    <xf numFmtId="44" fontId="0" fillId="0" borderId="0" xfId="42" applyFont="1"/>
    <xf numFmtId="0" fontId="0" fillId="35" borderId="0" xfId="0" applyFill="1" applyAlignment="1">
      <alignment horizontal="center"/>
    </xf>
    <xf numFmtId="44" fontId="0" fillId="35" borderId="0" xfId="42" applyFont="1" applyFill="1"/>
    <xf numFmtId="8" fontId="19" fillId="0" borderId="0" xfId="0" applyNumberFormat="1" applyFont="1"/>
    <xf numFmtId="8" fontId="19" fillId="37" borderId="0" xfId="0" applyNumberFormat="1" applyFont="1" applyFill="1"/>
    <xf numFmtId="0" fontId="0" fillId="37" borderId="0" xfId="0" applyFill="1"/>
    <xf numFmtId="14" fontId="0" fillId="37" borderId="0" xfId="0" applyNumberFormat="1" applyFill="1"/>
    <xf numFmtId="14" fontId="0" fillId="38" borderId="0" xfId="0" applyNumberFormat="1" applyFill="1"/>
    <xf numFmtId="0" fontId="0" fillId="39" borderId="0" xfId="0" applyFill="1"/>
    <xf numFmtId="0" fontId="0" fillId="38" borderId="0" xfId="0" applyFill="1"/>
    <xf numFmtId="8" fontId="0" fillId="38" borderId="0" xfId="0" applyNumberFormat="1" applyFill="1"/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  <xf numFmtId="0" fontId="20" fillId="34" borderId="0" xfId="0" applyFont="1" applyFill="1"/>
    <xf numFmtId="8" fontId="20" fillId="34" borderId="0" xfId="0" applyNumberFormat="1" applyFont="1" applyFill="1"/>
    <xf numFmtId="14" fontId="20" fillId="34" borderId="0" xfId="0" applyNumberFormat="1" applyFont="1" applyFill="1"/>
    <xf numFmtId="0" fontId="0" fillId="36" borderId="0" xfId="0" applyFill="1"/>
    <xf numFmtId="8" fontId="0" fillId="36" borderId="0" xfId="0" applyNumberFormat="1" applyFill="1"/>
    <xf numFmtId="44" fontId="0" fillId="36" borderId="0" xfId="42" applyFont="1" applyFill="1"/>
    <xf numFmtId="0" fontId="0" fillId="36" borderId="0" xfId="0" applyFill="1" applyAlignment="1">
      <alignment horizontal="center"/>
    </xf>
    <xf numFmtId="8" fontId="0" fillId="0" borderId="0" xfId="42" applyNumberFormat="1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Porcentaje" xfId="43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4"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85725</xdr:rowOff>
    </xdr:from>
    <xdr:to>
      <xdr:col>13</xdr:col>
      <xdr:colOff>191891</xdr:colOff>
      <xdr:row>29</xdr:row>
      <xdr:rowOff>153180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891194-E17B-7F8E-F319-34E459389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85725"/>
          <a:ext cx="9964541" cy="559195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ian Camilo Lopez" refreshedDate="45752.745562268516" createdVersion="8" refreshedVersion="8" minRefreshableVersion="3" recordCount="128" xr:uid="{06A639C8-8B18-4CED-9BAC-D09948DFB71A}">
  <cacheSource type="worksheet">
    <worksheetSource ref="A1:O1048576" sheet="COMISIONES ENERO-MARZO 2025"/>
  </cacheSource>
  <cacheFields count="15">
    <cacheField name="C.Costo" numFmtId="0">
      <sharedItems containsBlank="1"/>
    </cacheField>
    <cacheField name="Desc. C.Costo" numFmtId="0">
      <sharedItems containsNonDate="0" containsString="0" containsBlank="1"/>
    </cacheField>
    <cacheField name="CUENTA" numFmtId="0">
      <sharedItems containsBlank="1"/>
    </cacheField>
    <cacheField name="Auxiliar" numFmtId="0">
      <sharedItems containsString="0" containsBlank="1" containsNumber="1" containsInteger="1" minValue="53051501" maxValue="53051501"/>
    </cacheField>
    <cacheField name="Desc. auxiliar" numFmtId="0">
      <sharedItems containsBlank="1"/>
    </cacheField>
    <cacheField name="Neto" numFmtId="0">
      <sharedItems containsString="0" containsBlank="1" containsNumber="1" minValue="-51359811.799999997" maxValue="322155624.35000002"/>
    </cacheField>
    <cacheField name="Docto." numFmtId="0">
      <sharedItems containsBlank="1"/>
    </cacheField>
    <cacheField name="Fecha" numFmtId="0">
      <sharedItems containsNonDate="0" containsDate="1" containsString="0" containsBlank="1" minDate="2025-01-07T00:00:00" maxDate="2025-04-01T00:00:00"/>
    </cacheField>
    <cacheField name="Notas" numFmtId="0">
      <sharedItems containsBlank="1"/>
    </cacheField>
    <cacheField name="Notas docto" numFmtId="0">
      <sharedItems containsBlank="1" count="71">
        <s v="GASTOS BANCARIOS 27 AL 31 DICIEMBRE 2024  "/>
        <s v="GASTOS BANCARIOS 27 AL 31 DICIEMBRE 2024 -POPULAR 2276 "/>
        <s v="GASTOS BANCARIOS 27 AL 31 DICIEMBRE 2024 -BANCOLOMBIA  "/>
        <s v="GASTOS BANCARIOS CORRESPONDIENTES AL MES DE ENERO 2025"/>
        <s v="GASTOS BANCARIOS CORRESPONDIENTES AL MES DE FEBRERO 2025"/>
        <s v="GASTOS BANCARIOS CORRESPONDIENTES AL MES DE FEBRERO 2025 - INCLUYE INT. COGENERACION"/>
        <s v="FAC132801 - COMISION FIDUCIARIA MES DE ENERO 2025- COMISION FIJA 2.5 SMMLV"/>
        <s v="SOC81109 -  COMISION POR ADMINISTRACION MES DE ENERO 2025 - EA"/>
        <s v="SOC82093 - D1- COMISION POR ADMINISTRACION, PERIODO DE FACTRUACION: FEBRERO 2025"/>
        <s v="FAC133255 - COMISION FIDUCIARIA MES DE FEBRERO 2025- COMISION FIJA 2.5 SMMLV"/>
        <s v="FAC133431 - COMISION FIDUCIARIA POR EXPEDICION DE CERTIFICADO DE GARANTIA 20"/>
        <s v="FAC133535 - COMISION FIDUCIARIA MES DE MARZO 2025 - COMISION FIJA  2.5 SMMLV"/>
        <s v="SOC83617 - COMISION POR ADMINISTRACION - PERIODO DE FACTURACION MARZO 2025 "/>
        <s v="FAC992663 - COMISION FIJA DE ADMINISTRACION CORRESPONDIENTE AL MES DE MARZO 2025"/>
        <s v="PAGO DE DEPOSITOS JUDICIALES - COMPROBANTE DE PAGO: 1491465 - ARCHIVO: 30030 - INGENIO CARMELITA - ARCHIVO: GD20250107018919001961"/>
        <s v="PAGO DE FACTURAS A NOMBRE DE INGENIERIA Y EQUIPOS PARA LA INGENIERIA"/>
        <s v=" GASTOS BANCARIOS MES DE ENERO 2025  FIDEICOMISO 42112858 - RENTA LIQUIDAN GASTOS BANCARIOS MES DE ENERO 2025  FIDEICOMISO 42112858 - RENTA LIQUIDA"/>
        <s v="GASTOS BANCARIOS MES DE ENERO 2025- BANCOLOMBIA PANAMA"/>
        <s v="GASTOS BANCARIOS BOGOTA TULUA 612036319- MES DE ENERO 2025"/>
        <s v="GASTOS BANCARIOS BANCOLOMBIA CTA CTE 80104152201 - MES DE ENERO 2025"/>
        <s v="GASTOS BANCARIOS POPULAR 2276 MES DE ENERO 2025"/>
        <s v="GASTOS BANCARIOS DAVIVIENDA 7678 MES DE ENERO 2025"/>
        <s v="GASTOS BANCARIOS BGTA CALI 256096355 MES DE ENERO 2025"/>
        <s v="PAGO DE DEPOSITOS JUCIALES ICSA - 1499295 - SECUENCIAL DEL ARCHIVO: GD202502070891001961_01.TXT"/>
        <s v="PAGO DE DEPOSITOS JUDICIALES - INGENIERIA Y EQUIPOS PARA LA INDUSTRIA - CODIGO DEL JUZGADO 760012031004 - NUMEOR DE PROCESO 7600131030042023000800"/>
        <s v="FACTORING BBVA FAN-29239 COMISIONES"/>
        <s v="FACTORING BBVA-COMISIONES FAN-29218-251-256-288-309-324"/>
        <s v="GASTOS BANCARIOS - BANCO BOGOTA CALI CTE 256096355 - MES DE ENERO 2025"/>
        <s v="FACTORING BBVA FAN-29038 REGISTRO COMISION"/>
        <s v="GATOS BANCARIOS Y RENIDMIENTOS FINANCIEROS, MES DE FEBRERO 2025 - BANCOLOMBIA PANAMA"/>
        <s v="GASTOS BANCARIOS MES DE FEBRERO 2025 - BANCOLOMBIA CTE 80104152201"/>
        <s v="GASTOS BANCARIOS MES DE FEBRERO 2025 - BANCO DE BOGOTA TULUA CTE 612036319 "/>
        <s v="Comision por generacion de extractos bancarios , Interes ´por sobregiro en extracto Febero 2025"/>
        <s v="GASTOS BANCARIOS MES DE FEBRERO 2025 - BANCO DAVIVIENDA CTE 379469997678"/>
        <s v="PAGO DE DEPOSITOS JUDICIALES ICSA - 1505496 - GD2025030608919001961_02. TXT - 30030"/>
        <s v="FACTORING BBVA FAN-29561 COMISION"/>
        <s v="FACTORIN KLYM FAN-29555-29567-29582-29594"/>
        <s v="RENDIMIENTOS FINANCIEROS Y COMISIONES BANCOLOMBIA PANAMA MES DE MARZO 2025"/>
        <s v="GASTOS BANCARIOS DAVIVIENDA 7678 MES DE MARZO 2025"/>
        <s v="GASTOS BANCARIOS BGTA CALI MES DE MARZO 2025"/>
        <s v="GASTOS BANCARIOS BANCO DE BOGOTA TULUA CTE 612036319  MES DE MARZO 2025"/>
        <s v="PAGO DE INTERESES OBLIGACION N°119000028444 - (ESTUDIO SOPORTE GARANTIA)"/>
        <s v="FACTORING BBVA FAN-29562-574-592-607-617-621-623-635-644-663-676 COMISIONES"/>
        <s v="FACTORING  BBVA-29557-584-589-599-600-612-634-650 COMISION"/>
        <s v="GASTOS BANCARIOS BANCO POPULAR CTA CTE 110560212276 MES DE MARZO 2025"/>
        <s v="GASTOS BANCARIOS FONDO INVERSION RENTA L 482800029407 DAV- MES DE MARZO 2025"/>
        <s v="DEVOLUCION DE DSF 1059-1060-1061 - GASTOS BANCARIOS 27 AL 31 DIC 2024"/>
        <s v="CONTABILIZACIÓN IVA COMISION 4*1000"/>
        <s v="CONTABILIZACIÓN IVA COMISON 4*1000"/>
        <s v="CONTABILIZACION IVA COMISON 4*1000"/>
        <s v="reclasificacion de cuentas en comision Factoring con Bavaria y Trululu"/>
        <s v="DEVOLUCION DE DSF - GASTOS BANCARIOS MES DE ENERO 2025"/>
        <s v="Ajuste de tercero en NIB5875 - Pago de facturas a nombre de INGENIERIA Y EQUIPOS PARA LA INDUSTRIA - INGEPIN"/>
        <s v="Registro de partidas conciliadas en Conciliación Bancaria correspondiente al mes de Enero 2025"/>
        <s v="RECLASIFICACION FAN-27800 A FAN - 27746"/>
        <s v="RECLASIFICACION 529505 A 530515 COMISIONES BBVA - KLYM FEB 2025"/>
        <s v="RECLASIFICION COMISIONES TRULULU FEB 2025 5295 A 5305"/>
        <s v="REGISTRO COMISION FACTORING BBVA"/>
        <s v="COMISIONES FACTORING BBVA  BAVARIA-GOLOSINAS TRULULU-SUPER DE ALIMENTOS"/>
        <s v="REGISTRO DE PARTIDAS CONCILIADAS EN CONCILIACION BANCARIA MES DE FEBRERO 2025"/>
        <s v="DEVOLUCION DE DSF - GASTOS BANCARIOS MES DE FEBRERO 2025 (DSF1104 AL 1114)"/>
        <s v="RECLASIFICACION COMISIONES FACTORING BBVA NIC-36470"/>
        <s v="CONTAN¿BILIZACIÓN IVA 4*1000 COMISION"/>
        <s v="contabilización de iva comision 4*1000"/>
        <s v="CLFV21037 - COMISIONES - SERV DE REGISTRO BMN 8600071250 - IVA SRRV REGISTRADO BMC 19%"/>
        <s v="CLFV21038- COMISIONES - SERV DE REGISTRO BMN 8600071250 - IVA SRRV REGISTRADO BMC 19%"/>
        <s v="CONTABILIZACION IVA COMISION 4*1000"/>
        <s v="CONTABILIZACIÓN IVA CMISON 4*1000"/>
        <s v="CLFV21377 - SERV REGISTRADO BMC 8600071250"/>
        <s v="CLFV21376 - SERV REGISTRADO BMC 8600071250"/>
        <m/>
      </sharedItems>
    </cacheField>
    <cacheField name="Razón social tercero movto." numFmtId="0">
      <sharedItems containsBlank="1" count="17">
        <s v="BANCO DE BOGOTA"/>
        <s v="BANCO POPULAR"/>
        <s v="BANCOLOMBIA"/>
        <s v="DAVIVIENDA"/>
        <s v="BANCO AGRARIO DE COLOMBIA  S.A"/>
        <s v="BBVA COLOMBIA S.A."/>
        <s v="FIDUCIARIA POPULAR S.A."/>
        <s v="FIDUCIARIA DAVIVIENDA S.A"/>
        <s v="BANCOLOMBIA PANAMA"/>
        <s v="ALIANZA FIDUCIARIA S.A"/>
        <s v="BANCO AGRARIO DE COLOMBIA"/>
        <s v="COOPERATIVA COLANTA"/>
        <s v="SERVICIOS FINANCIEROS S.A. SERFINANZA CIA DE FINANCIAMIENTO"/>
        <s v="ITAU CORPBANCA COLOMBIA SA"/>
        <s v="KLYM S.A.S"/>
        <s v="CORREAGRO S.A."/>
        <m/>
      </sharedItems>
    </cacheField>
    <cacheField name="SECCION" numFmtId="0">
      <sharedItems containsNonDate="0" containsString="0" containsBlank="1"/>
    </cacheField>
    <cacheField name="Prefijo tipo docto" numFmtId="0">
      <sharedItems containsBlank="1"/>
    </cacheField>
    <cacheField name="SUB SUBCUENTA" numFmtId="0">
      <sharedItems containsNonDate="0" containsString="0" containsBlank="1"/>
    </cacheField>
    <cacheField name="Mes" numFmtId="0">
      <sharedItems containsString="0" containsBlank="1" containsNumber="1" containsInteger="1" minValue="1" maxValue="3" count="4">
        <n v="1"/>
        <n v="2"/>
        <n v="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ian Camilo Lopez" refreshedDate="45967.430583796297" createdVersion="8" refreshedVersion="8" minRefreshableVersion="3" recordCount="569" xr:uid="{F55BB22C-20A6-4D30-BBC0-676D747474F8}">
  <cacheSource type="worksheet">
    <worksheetSource ref="A1:P1048576" sheet="COMISIONES ENERO-MARZO 2025 (2)"/>
  </cacheSource>
  <cacheFields count="16">
    <cacheField name="C.Costo" numFmtId="0">
      <sharedItems containsNonDate="0" containsString="0" containsBlank="1"/>
    </cacheField>
    <cacheField name="Desc. C.Costo" numFmtId="0">
      <sharedItems containsNonDate="0" containsString="0" containsBlank="1"/>
    </cacheField>
    <cacheField name="CUENTA" numFmtId="0">
      <sharedItems containsBlank="1" count="2">
        <s v="5502 - COMISIONES"/>
        <m/>
      </sharedItems>
    </cacheField>
    <cacheField name="Auxiliar" numFmtId="0">
      <sharedItems containsString="0" containsBlank="1" containsNumber="1" containsInteger="1" minValue="53051501" maxValue="53051502" count="3">
        <n v="53051501"/>
        <n v="53051502"/>
        <m/>
      </sharedItems>
    </cacheField>
    <cacheField name="Desc. auxiliar" numFmtId="0">
      <sharedItems containsBlank="1" count="4">
        <s v="COMISIONES BANCARIAS"/>
        <s v="COMISIONES POR FACTORING"/>
        <s v="COMISIONES EN BOLSA"/>
        <m/>
      </sharedItems>
    </cacheField>
    <cacheField name="Neto" numFmtId="0">
      <sharedItems containsString="0" containsBlank="1" containsNumber="1" minValue="-67603541.569999993" maxValue="67603541.569999993"/>
    </cacheField>
    <cacheField name="Docto." numFmtId="0">
      <sharedItems containsBlank="1"/>
    </cacheField>
    <cacheField name="Fecha" numFmtId="0">
      <sharedItems containsNonDate="0" containsDate="1" containsString="0" containsBlank="1" minDate="2025-01-07T00:00:00" maxDate="2025-11-01T00:00:00"/>
    </cacheField>
    <cacheField name="Notas" numFmtId="0">
      <sharedItems containsBlank="1"/>
    </cacheField>
    <cacheField name="Notas docto" numFmtId="0">
      <sharedItems containsBlank="1" count="330">
        <s v="PAGO DE DEPOSITOS JUDICIALES - COMPROBANTE DE PAGO: 1491465 - ARCHIVO: 30030 - INGENIO CARMELITA - ARCHIVO: GD20250107018919001961"/>
        <s v="CONTABILIZACIÓN IVA COMISON 4*1000"/>
        <s v="CONTABILIZACIÓN IVA COMISION 4*1000"/>
        <s v="GASTOS BANCARIOS POPULAR 2276 MES DE ENERO 2025"/>
        <s v="CONTAN¿BILIZACIÓN IVA 4*1000 COMISION"/>
        <s v="GASTOS BANCARIOS 27 AL 31 DICIEMBRE 2024  "/>
        <s v="GASTOS BANCARIOS 27 AL 31 DICIEMBRE 2024 -POPULAR 2276 "/>
        <s v="GASTOS BANCARIOS 27 AL 31 DICIEMBRE 2024 -BANCOLOMBIA  "/>
        <s v="DEVOLUCION DE DSF 1059-1060-1061 - GASTOS BANCARIOS 27 AL 31 DIC 2024"/>
        <s v="contabilización de iva comision 4*1000"/>
        <s v="FAC132801 - COMISION FIDUCIARIA MES DE ENERO 2025- COMISION FIJA 2.5 SMMLV"/>
        <s v="SOC81109 -  COMISION POR ADMINISTRACION MES DE ENERO 2025 - EA"/>
        <s v="PAGO DE FACTURAS A NOMBRE DE INGENIERIA Y EQUIPOS PARA LA INGENIERIA"/>
        <s v=" GASTOS BANCARIOS MES DE ENERO 2025  FIDEICOMISO 42112858 - RENTA LIQUIDAN GASTOS BANCARIOS MES DE ENERO 2025  FIDEICOMISO 42112858 - RENTA LIQUIDA"/>
        <s v="GASTOS BANCARIOS MES DE ENERO 2025- BANCOLOMBIA PANAMA"/>
        <s v="GASTOS BANCARIOS BOGOTA TULUA 612036319- MES DE ENERO 2025"/>
        <s v="GASTOS BANCARIOS BANCOLOMBIA CTA CTE 80104152201 - MES DE ENERO 2025"/>
        <s v="GASTOS BANCARIOS DAVIVIENDA 7678 MES DE ENERO 2025"/>
        <s v="GASTOS BANCARIOS BGTA CALI 256096355 MES DE ENERO 2025"/>
        <s v="reclasificacion de cuentas en comision Factoring con Bavaria y Trululu"/>
        <s v="CONTABILIZACION IVA COMISON 4*1000"/>
        <s v="PAGO DE DEPOSITOS JUCIALES ICSA - 1499295 - SECUENCIAL DEL ARCHIVO: GD202502070891001961_01.TXT"/>
        <s v="PAGO DE DEPOSITOS JUDICIALES - INGENIERIA Y EQUIPOS PARA LA INDUSTRIA - CODIGO DEL JUZGADO 760012031004 - NUMEOR DE PROCESO 7600131030042023000800"/>
        <s v="GASTOS BANCARIOS CORRESPONDIENTES AL MES DE ENERO 2025"/>
        <s v="DEVOLUCION DE DSF - GASTOS BANCARIOS MES DE ENERO 2025"/>
        <s v="FACTORING BBVA FAN-29239 COMISIONES"/>
        <s v="FACTORING BBVA-COMISIONES FAN-29218-251-256-288-309-324"/>
        <s v="FACTORING BBVA FAN-29038 REGISTRO COMISION"/>
        <s v="Ajuste de tercero en NIB5875 - Pago de facturas a nombre de INGENIERIA Y EQUIPOS PARA LA INDUSTRIA - INGEPIN"/>
        <s v="Registro de partidas conciliadas en Conciliación Bancaria correspondiente al mes de Enero 2025"/>
        <s v="SOC82093 - D1- COMISION POR ADMINISTRACION, PERIODO DE FACTRUACION: FEBRERO 2025"/>
        <s v="FAC133255 - COMISION FIDUCIARIA MES DE FEBRERO 2025- COMISION FIJA 2.5 SMMLV"/>
        <s v="GASTOS BANCARIOS - BANCO BOGOTA CALI CTE 256096355 - MES DE ENERO 2025"/>
        <s v="GATOS BANCARIOS Y RENIDMIENTOS FINANCIEROS, MES DE FEBRERO 2025 - BANCOLOMBIA PANAMA"/>
        <s v="GASTOS BANCARIOS MES DE FEBRERO 2025 - BANCOLOMBIA CTE 80104152201"/>
        <s v="GASTOS BANCARIOS MES DE FEBRERO 2025 - BANCO DE BOGOTA TULUA CTE 612036319 "/>
        <s v="Comision por generacion de extractos bancarios , Interes ´por sobregiro en extracto Febero 2025"/>
        <s v="GASTOS BANCARIOS MES DE FEBRERO 2025 - BANCO DAVIVIENDA CTE 379469997678"/>
        <s v="RECLASIFICACION FAN-27800 A FAN - 27746"/>
        <s v="RECLASIFICACION 529505 A 530515 COMISIONES BBVA - KLYM FEB 2025"/>
        <s v="RECLASIFICION COMISIONES TRULULU FEB 2025 5295 A 5305"/>
        <s v="CLFV21037 - COMISIONES - SERV DE REGISTRO BMN 8600071250 - IVA SRRV REGISTRADO BMC 19%"/>
        <s v="CLFV21038- COMISIONES - SERV DE REGISTRO BMN 8600071250 - IVA SRRV REGISTRADO BMC 19%"/>
        <s v="CONTABILIZACION IVA COMISION 4*1000"/>
        <s v="PAGO DE DEPOSITOS JUDICIALES ICSA - 1505496 - GD2025030608919001961_02. TXT - 30030"/>
        <s v="REGISTRO COMISION FACTORING BBVA"/>
        <s v="COMISIONES FACTORING BBVA  BAVARIA-GOLOSINAS TRULULU-SUPER DE ALIMENTOS"/>
        <s v="CONTABILIZACIÓN IVA CMISON 4*1000"/>
        <s v="FAC133431 - COMISION FIDUCIARIA POR EXPEDICION DE CERTIFICADO DE GARANTIA 20"/>
        <s v="FAC133535 - COMISION FIDUCIARIA MES DE MARZO 2025 - COMISION FIJA  2.5 SMMLV"/>
        <s v="SOC83617 - COMISION POR ADMINISTRACION - PERIODO DE FACTURACION MARZO 2025 "/>
        <s v="FAC992663 - COMISION FIJA DE ADMINISTRACION CORRESPONDIENTE AL MES DE MARZO 2025"/>
        <s v="GASTOS BANCARIOS CORRESPONDIENTES AL MES DE FEBRERO 2025"/>
        <s v="GASTOS BANCARIOS CORRESPONDIENTES AL MES DE FEBRERO 2025 - INCLUYE INT. COGENERACION"/>
        <s v="FACTORING BBVA FAN-29561 COMISION"/>
        <s v="FACTORING  BBVA-29557-584-589-599-600-612-634-650 COMISION"/>
        <s v="REGISTRO DE PARTIDAS CONCILIADAS EN CONCILIACION BANCARIA MES DE FEBRERO 2025"/>
        <s v="DEVOLUCION DE DSF - GASTOS BANCARIOS MES DE FEBRERO 2025 (DSF1104 AL 1114)"/>
        <s v="FACTORIN KLYM FAN-29555-29567-29582-29594"/>
        <s v="PAGO DE INTERESES OBLIGACION N°119000028444 - (ESTUDIO SOPORTE GARANTIA)"/>
        <s v="FACTORING BBVA FAN-29562-574-592-607-617-621-623-635-644-663-676 COMISIONES"/>
        <s v="RENDIMIENTOS FINANCIEROS Y COMISIONES BANCOLOMBIA PANAMA MES DE MARZO 2025"/>
        <s v="GASTOS BANCARIOS DAVIVIENDA 7678 MES DE MARZO 2025"/>
        <s v="GASTOS BANCARIOS BGTA CALI MES DE MARZO 2025"/>
        <s v="GASTOS BANCARIOS BANCO DE BOGOTA TULUA CTE 612036319  MES DE MARZO 2025"/>
        <s v="GASTOS BANCARIOS BANCO POPULAR CTA CTE 110560212276 MES DE MARZO 2025"/>
        <s v="GASTOS BANCARIOS FONDO INVERSION RENTA L 482800029407 DAV- MES DE MARZO 2025"/>
        <s v="RECLASIFICACION COMISIONES FACTORING BBVA NIC-36470"/>
        <s v="RECLASIFICACION COMISIONES FACTORING VENCIMIENTOS ABRIL 2025"/>
        <s v="RECLASIFICACION NIT 530515 NIC 36812"/>
        <s v="reclasificacion de cuentas en gastos bancarios bancolombia cta cte 2201 mes de marzo e2025"/>
        <s v="CLFV21377 - SERV REGISTRADO BMC 8600071250"/>
        <s v="CLFV21376 - SERV REGISTRADO BMC 8600071250"/>
        <s v="PAGO DE DEPOSITOS JUDICIALES ICSA - SECUENCIAL ARCHIVO: 1513049 - GD2025040708891900196  - 30030"/>
        <s v="REGISTRO COMISION FACTOING BBVA FAN 29557-29561-29584-29589-29599-29600-29612-29634-29650-29656-29667-29674-29695-29719-29734"/>
        <s v="FACTORING KLYM - COMISIONES FAN-29726"/>
        <s v="COMISION FACTORING BBVA"/>
        <s v="CRUCE DE NOTA CREDITO ENCL139 - DE LAS FACTURA FZ21377"/>
        <s v="CRUCE DE NOTA CREDITO ENCL138 - DE LAS FACTURA CLFV21376"/>
        <s v="CRUCE DE NOTA CREDITO ENCL137 - DE LAS FACTURA CLFV21377"/>
        <s v="GASTOS BANCARIOS CORRESPONDIENTES AL MES DE MARZO 2025"/>
        <s v="GASTOS BANCARIOS CORRESPONDIENTE AL MES DE MARZO 2025"/>
        <s v="DEVOLUCION DE DSF GASTOS BANCARIOS CORRESPONDIENTES AL MES DE MARZO 2025- (1149 AL 1162)"/>
        <s v="CONTABILIZACIÓN IVA COMISON Y 4*1000"/>
        <s v="PAGO ANTICIPO PAGO IMPUESTO VEHICULOS"/>
        <s v="DEB. AUTOMATICO OBLIGACION LEASING FINANCIERO LP #3-1034698700 - CUOTA 10/60"/>
        <s v="REGISTRO COMISION PAGO ANTICIPO PARA IMPUESTOS VEHICULOS"/>
        <s v="FACTORING KLYM FAN-29918 PAGO Y COMISIONES"/>
        <s v="SOC84695- COMISION POR ADMINISTRACION"/>
        <s v="GASTOS BANCARIOS BGTA TULUA 612036319 MES DE ABRIL 2025"/>
        <s v="GASTOS BANCARIOS BGTA CALI 256096355 MES DE ABRIL 2025"/>
        <s v="GASTOS BANCARIOS BANCOLOMBIA CTA AHORROS 306-315139-79 MES DE ABRIL 2025"/>
        <s v="GASTROS BANCARIOS DAVIVIENDA CAT CTE 7678 MES DE ABRIL 2025"/>
        <s v="GASTOS BANCARIOS BANCO POPULAR 2276 CTA CTE MES DE ABRIL 2025"/>
        <s v="GASTOS BANCARIOS BANCOLOMBIA PANAMA TCA CTE 10400455 MES DE ABRIL 2025"/>
        <s v="GASTOS BANCARIOS BANCOLOMBIA CTE 801-041522-01 MES DE ABRIL 2025"/>
        <s v="REGISTRO COMISIONES FACTORIGN"/>
        <s v="AJUSTE DE CUENTA EN NIB6567 -DEB. AUTOMATICO OBLIGACION LEASING FINANCIERO LP #3-1034698700 - CUOTA 10/60"/>
        <s v="CONTABILIZACIÓN IVA 4*1000"/>
        <s v="ANTICIPO CARGUE TARJETA TESORERA COMPRA USD 500 PARA GERENCIA AUT. DIREC.FINANCIERA"/>
        <s v="COMISION FACTORING"/>
        <s v="PAGO DE EMBARGOS JUDICIALES INGENIO CARMELITA - ARCHIVO: 1519692 - ARCHIVO: GD2025050708919001961_04.TXT - CODIGO: 30030 - REGISTRO CARGADOS 21"/>
        <s v="FACTORING KLYM -COMISIONES FAN-30080 - 30110"/>
        <s v="FACTORING BBVA -COMISIONES FAN-29985-30103-30106"/>
        <s v="CLFV21747 : COMISION CORRESAGRO - SERV DE REGRISTRO BMC 860071250"/>
        <s v="CLFV21746 : COMISION CORRESAGRO - SERV DE REGRISTRO BMC 860071250"/>
        <s v="CLFV21721 : COMISION CORRESAGRO - SERV DE REGRISTRO BMC 860071250"/>
        <s v="CLFV20653 : COMISION CORREAGRO 1.00 82,382.00 82,382.00 SERBMC SERV DE REGISTRO BMC 860071250 1.00 203,208.00 203,208.00 IVABMC IVA SERV DE REGISTRO BMC 19% - MES DE ENERO 2025"/>
        <s v="CLFV20652 - COMISION CORREAGRO 1.00 300,142.00 300,142.00 SERBMC SERV DE REGISTRO BMC 860071250 1.00 1,000,476.00 1,000,476.00 IVABMC IVA SERV DE REGISTRO BMC 19% - MS DE ENERO"/>
        <s v="SOC86094 - COMISION FIJA POR ADMINISTRACION: PERIODO DE FACTURACION MES DE MAYO 2025"/>
        <s v="COMISIONES BANCARIAS MES DE MARZO 2025- ITAU PANAMA"/>
        <s v="FACTRING DAVIVIENDA-RED CAPITAL FAN-30318"/>
        <s v="FACTORING DAVIVIENDA RED CAPITAL - FAN-30261-30259-30275-30270-30274-30279-30282-3029630306-30319"/>
        <s v="GASTOS BANCARIOS MES DE MARZO 2025-"/>
        <s v="FACTORING BBVA FAC-30278"/>
        <s v="FACTRORING BBVA FAN-30262-30299-30307-30342-30358-30361"/>
        <s v="CONTABILIZACÓN IVA COMISION 4*1000"/>
        <s v="GASTOS BANCARIOS CORRESPONDIENTES AL MES DE ABRIL 2025"/>
        <s v="GASTOS BANCARIOS CORRESPONDIENTE AL MES DE ABRIL 2025"/>
        <s v="DEVOLUCION DE DSF - GASTOS BANCARIOS CORRESPONDIENTES AL MES DE ABRIL 2025- (DESDE DSF1221 AL DSF1229)"/>
        <s v="CRUCE DE NOTA CREDITO ENCL146 - DE LA FACTURA AFECTADA: FZ22104"/>
        <s v="COMISION FACTORING KLYM FAN -29976"/>
        <s v="COMISION FACTORING KLYM FAN-298"/>
        <s v="CLFV22104 - COMSIION CORREAGRO - SERRV DE REGRISTRO BMC 860071250"/>
        <s v="CLFV22103 - COMISION CORREAGRO - SERV DE REGISTRO BMC 860071250 - IVA"/>
        <s v="CLFV22088 - SERV MODIFICACION BMC 86071250 - IVA"/>
        <s v="FAC133899 - COMISION FIJA MES DE ABRIL 2025"/>
        <s v="FAC134280 - COMISION FIJA MES DE MAYO 2025"/>
        <s v="REGISTRO DE COMISION Y RENDIMIENTOS FINANCIEROS BANCOLOMBIA PANAMA MES DE MAYO 2025"/>
        <s v="COMISIONES BANCARIAS BANCTO ITAU PANAMA - CTA COMPENSACION 102068322 MES DE MAYO 2025"/>
        <s v="GASTOS BANCARIOS BANCOLOMBIA CTA AHORRO 30631513979 - MES DE MAYO 2025"/>
        <s v="GASTOS BANCARIOS BANCOLOMBIA CTA CTE 80104152201 - MES DE MAYO 2025"/>
        <s v="GASTOS BANCARIOS BANCO DE BOGOTA CALI CTA CTE 256096355 - MES DE MAYO 2025"/>
        <s v="GASTOS BANCARIOS BANCO DE BOGOTA CTA CTE  612036319 - MES DE MAYO 2025"/>
        <s v="GASTOS BANCARIOS BANCO ITAU CTA CTE 301-44051-7  MES DE MARZO 2025"/>
        <s v="COMISION (DEBITO POR RECHAZOS PAGOS) MAYO 2025 BANCOLOMBIA CTA CTE 80104152201"/>
        <s v="GASTOS BANCARIOS DAVIVIENDA 379469997678 - MES DE MAYO 2025"/>
        <s v="FACTORING KLYM FAN-30359 COMISION PAGO"/>
        <s v="FACTORING QBCO FAN-30511-30518 PROD.LACTEOS AURORA -FAN 30578"/>
        <s v="CONTABILIZACION IVA COMION 4*1000"/>
        <s v="PAGO DE EMBARGOS JUDICIALES DE ICSA - COMPROBANTE D EPAGO: 1526776 - ARCHIVO: GD2025060608919001961_05.TXT - ARCHIVO: 30030"/>
        <s v="FACTORING KLYM  FAN-30397  PAGO-COMISIONES"/>
        <s v="FACTORING BBVA FAN-30369-30378-30502-30516-30517-30719 PAGO-COMISIONES"/>
        <s v="CONTABILIZAICON IVA COMIOSN 4*1000"/>
        <s v="REGISTRO DE PARTIDAS CONCILIADAS AL 31 DE MAYO 2025"/>
        <s v="FACTORING BBVA FAN-30889-30892-30893-30911 COMISION PAGO"/>
        <s v="FACTORING DAVIVIENDA RED CAPITAL FAN-30786-792-822-825-844-846-849-859-864-872 COMISION PAGO"/>
        <s v="FAC1017089 - COMISION FIJA DE ADMINISTRACION (MES DE JUNIO 2025)"/>
        <s v="FAC134675- COMISION FIDUCIARIA MES DE JUNIO 2025"/>
        <s v="SOC87183- COMISION POR ADMINISTRACION MES DE JUNIO 2025"/>
        <s v="FACTORING BBVA FAN-30865-30876-30877"/>
        <s v="cotabilizacion iva comision y 4*1000"/>
        <s v="cotabilizaicon iva comision y 4*1000"/>
        <s v="FACTORING BBVA FAN-30903-30912-30925-30942 COMISION Y PAGO"/>
        <s v="FACTORING BBVA FAN-30908-30930-30936-30937-30943-30944-30955-30972 COMISIONES - PAGO"/>
        <s v="FACTORING RED CAPITAL - DAVIVIENDA FAN-30852-30874 COMISION PAGO"/>
        <s v="I15652 - COMISION OPERACIONES DE REGISTRO 5% - SERVICIO DE REGRISTRO BMC"/>
        <s v="GASTOS BANCARIOS BANCOLOMBIA AHORRO 30631513979 MES DE JUNIO 2025"/>
        <s v="GASTOS BANCARIOS BANCO DE OCCIDENTE CTE 001526318 MES DE JUNIO"/>
        <s v="RENDIMIENTOS FINANCIEROS Y REGISTRO DE COMISIONES BANCOLOMBIA PANAMA JUNIO 2025"/>
        <s v="GASTOS COMISIONES ITAU PANAMA - CTA COMPENSACION 102068322 MES DE JUNIO"/>
        <s v="GASTOS BANCARIOS BANCO DE BOGOTA TULUA CTE 612036319 MES DE JUNIO 2025"/>
        <s v="GASTOS BANCARIOS BANCO BOGOTA CALI CTE 256096355 MES DE JUNIO 2025"/>
        <s v="GASTOS BANCARIOS BANCOLOMBIA CTE 80104152201 MES DE JUNIO 2025"/>
        <s v="GASTOS BANCARIOS BANCO DAVIVIENDA CTE 379469997678 MES DE JUNIO"/>
        <s v="Cobro comision por Generacion Extracto Mayo 2025 Cobrado en el mes de Junio 2025"/>
        <s v="NOTA CREDITO NCC-1 DE LA FACTURA - CLFV22435 - COMISION CORREAGRO  SERV DE REGRISTRO BMC"/>
        <s v="CLFV22434 - COMISION CORREAGRO  SERV DE REGRISTRO BMC"/>
        <s v="CLFV22435 - COMISION CORREAGRO  SERV DE REGRISTRO BMC"/>
        <s v="FACTORNING BBVA FAN-30980-30981-31003-31008-31009-31011-31098-31103-31104-31105 COMISION PAGO"/>
        <s v="FACTORING BBVA GOLOSINAS TRULULU"/>
        <s v="Gastos Bancarios correspondientes al mes de mayo 2025"/>
        <s v="GASTOS BANCARIOS CORRESPONDIENTE AL MES DE MAYO 2025"/>
        <s v="GASTOS BANCARIOS CORRESPONDIENTE AL MES DE JUNIO 2025"/>
        <s v="GASTOS BANCARIOS CORRESPONDIENTES AL MES DE JUNIO 2025"/>
        <s v="DEVOLUCION DE DSF (1257 AL 12849 GASTOS BANCARIOS MAYO Y JUNIO 2025"/>
        <s v="FACTORING BANCOLOMBIA FAN-31254"/>
        <s v="SOC87914- COMISION POR ADMINISTRACION MES DE JULIO 2025"/>
        <s v="FACTORNG KLYM FAN-30945 COMISION PAGO"/>
        <s v="FACTORING KLYM FAN-31013-31164-31227-31246-31252-31284-31299"/>
        <s v="FACTORING RED CAPITAL - DAVIVIENDA FAN-31250-31247-31208"/>
        <s v="OBLIGACION #119000029906 -$500M -CUOTAS:24 - INTERES:$28.425.906,67 - PAGOS MENSUALES - (Forma Cálculo Interes : LINEAL/CALENDARIO/VENCIDO - TI:5.37% - FECHA INICIO:23/07/2025- FECHA FIN:23/07/2027)"/>
        <s v="FACTORIN KLYM - FAN-31206-31236 PAGO COMISION"/>
        <s v="FACTORING RED CAPITAL-DAVIVIENDA FAN-31328-31330-31345-31353-31381"/>
        <s v="FACTORING BBVA FAN-31279-31282-31308 COMISION Y PAGO"/>
        <s v="FACTORING RED CAPITAL- DAVIVIENDA FAN-31215-31303-31300-31316 PAGO COMISION"/>
        <s v="FACTORING KLYM - FAN-31317-31338-31363 PAGO COMISION"/>
        <s v="FACTORING BANCOLOMBIA FAN-31400 COMISION PAGO"/>
        <s v="CONTABILIZAICON IVA COMISION 4*1000"/>
        <s v="LEGALIZACIÓN TC BANOCCIDENTE MRESTREPO No. 512835-0-028970-288 MONEDA COP CORTE 30 JUNIO 2025"/>
        <s v="NCE426 - CRUCE DE NOTA CREDITO - COMISION OPERACIONES DE REGISTEO - SERV DE REGRISTRO BMC"/>
        <s v="PAGO DE EMBARGOS DE LLANO INGENIERIA A FAVOR DE BANC AGRARIO"/>
        <s v="GASTOS BANCARIOS BANCO BBVA COLOMBIA 0502000100011570 CTE MES DE JULIO 2025"/>
        <s v="GASTOS BANCARIOS BANCO DE BOGOTA TULUA CTE 612036319 MES DE JULIO 2025"/>
        <s v="GASTOS BANCARIOS BANCO BOGOTA CALI CTE 256096355 MES DE JULIO 2025"/>
        <s v="GASTOS BANCARIOS BANCO DAVIVIENDA CTE 379469997678 MES DE JULIO 2025"/>
        <s v="GASTOS BANCARIOS BANCOLOMBIA CTE 80104152201 MES DE JULIO 2025"/>
        <s v="GASTOS BANCARIOS BANCOLOMBIA AHORRO 30631513979 MES DE JULIO 2025"/>
        <s v="GASTOS BANCARIOS BANCOLOMBIA PANAMA MES DE JULIO 2025"/>
        <s v="GASTOS BANCARIOS BANCO DE OCCIDENTE CTE 001526318 MES DE JULIO 2025"/>
        <s v="GASTOS BANCARIOS ITAU PANAMA - CTA COMPENSACION 102068322 MES DE JULIO 2025"/>
        <s v="GASTOS BANCARIOS BANCO POPULAR CTA CTE 110560212276 MES DE JULIO 2025"/>
        <s v="PAGO DE EMBARGOS MES DE JUNIO, PAGADO EN JULIO 2025"/>
        <s v="GASTOS BANCARIOS BANCO ITAU CTA CTE 301-44051-7 MES DE JULIO 2025"/>
        <s v="DEVOLUCION DE DSF 1271- GASTOS BANCARIOS MES DE JUNIO 2025"/>
        <s v="V16455 : COMISION OPERACIONES DE REGISTEO - SERV DE REGISTRO BMC"/>
        <s v="FACTORING RED CAPITAL FAN-31225-31259-31309-31343-31355-31398-31403"/>
        <s v="FACTORING BBVA FAN-31558-31460"/>
        <s v="CONTABILIZAICON IVA COMISON 4*1000"/>
        <s v="contabilizacion iva comiison 4*1000"/>
        <s v="PAGO DE DEPOSITOS JUDICIALES - ARCHIVO: 30030 - SECUENCIAL DE ARCHIVO: GSD202508060891900196_10.TXT"/>
        <s v="FACTORING KLYM FAN-31354-31380"/>
        <s v="COTABILIZACION IVA COMISION 4*1000"/>
        <s v="FACTORING KLYM - FAN-31443-31454-31544"/>
        <s v="FACTORIGN BBVA FAN31682-31625-31480 PAGO COMISION"/>
        <s v="FACTORING BBVA FAN-31507 COMISION PAGO"/>
        <s v="CONTABILIZACION IVA COMISION Y 4*1000"/>
        <s v="FACTORING BANCOLOMBIA FAN-31731 COMISION PAGO"/>
        <s v="FACTORING RED CAPITAL-DAVIVIENDA FAC-31659-31621-31640"/>
        <s v="FACTORING RED CAPITAL - FAN-31602-31763-31774 COMISION PAGO"/>
        <s v="GASTOS BANCARIOS CORRESPONDIENTE AL MES DE JULIO 2025"/>
        <s v="GASTOS BANCARIOS CORRESPONDIENTES AL MES DE JULIO 2025"/>
        <s v="SOC89864 - COMISION POR ADMINISTRACION : MES DE AGOSTO 2025"/>
        <s v="CONSIGNACION DE NEGOCIACION DE TIDIS CON BANCOLOMBIA POR EL 99.95%- COSTO DE OPERACION $931.558.50"/>
        <s v="DEVOLUCION DE DSF MES DE JULIO 2025- GASTOS BANCARIOS (DSF1375 AL DSF 1386)"/>
        <s v="FACTORING BBVA FAN-31784-31719 PAGO - COMISION"/>
        <s v="FACTORING BBVA FAN-31705"/>
        <s v="FACTORNG BBVA FAN-31754-31760-31791-31797-31815-31823-31831-31835"/>
        <s v="GASTOS BANCARIOS BANCOLOMBIA AHORRO 30631513979 MES DE AGOSTO 2025"/>
        <s v="GASTOS BANCARIOS BANCO DE BOGOTA TULUA CTE 612036319 MES DE AGOSTO 2025"/>
        <s v="GASTOS BANCARIOS BANCO BOGOTA CALI CTE 256096355 MES DE AGOSTO 2025"/>
        <s v="GASTOS BANCARIOS BANCO DE OCCIDENTE CTE 001526318 MES DE AGOSTO 2025"/>
        <s v="GASTOS BANCARIOS BANCO DAVIVIENDA CTE 379469997678 MES DE AGOSTO 2025"/>
        <s v="GASTOS BANCARIOS BANCO BBVA COLOMBIA 0502000100011570 CTE MES DE AGOSTO 2025"/>
        <s v="GASTOS BANCARIOS BANCOLOMBIA PANAMA 10400455 MES DE AGOSTO 2025"/>
        <s v="GASTOS BANCARIOS ITAU PANAMA - CTA COMPENSACION 102068322 MES DE AGOSTO 2025"/>
        <s v="RECLASIFICACION COMISIONES FACTORING AGOSO 2025 DE 53051501  A 53051502"/>
        <s v="RECLASIFICACION CTA COMISION 53051502 A SEPTIEMBRE POR VENCIMIENTOS DE FACTURAS"/>
        <s v="RECLASIFICACION COMISION FAN-31731-FAN-31400"/>
        <s v="CLFV23217 - COMISION CORREAGRO - SERV DE REGISTRO BMC"/>
        <s v="CLFV23216 - COMISION CORREAGRO - SERV DE REGISTRO BMC"/>
        <s v="C-16601 - COMISION OPERACIONES - SRR REGISTRO BMC"/>
        <s v="CONTABILIZAICON IVA COMIION 4*1000"/>
        <s v="CONTABILIZAION IVA COMISION 4*1000"/>
        <s v="SE CONTABILIZA IVA COMISION 4*1000"/>
        <s v="PAGO DE DEPSITOS JUDICIALES - ICSA"/>
        <m/>
        <s v="GASTOS BANCARIOS CORRESPONDIENTE AL MES DE AGOSTO 2025"/>
        <s v="SOC91016 - COMISION POR ADMINISTRACION- PERIODO DE FACTRUAUCION: SEPTIEMBRE 2025"/>
        <s v="PRUEBA"/>
        <s v="CLFV23467 - SERV MODIFICACION BMC 860071250"/>
        <s v="FACTORING KLYM FAC-32176-32212 COMISION PAGO"/>
        <s v="CAM1009 - LEGALIZACION DE CAJA MENOR OFICINA DE CALI DEL 02  AL 16 DE SEPTIEMBRE 2025"/>
        <s v="GASTOS BANCARIOS CORRESPONDIENTE AL MES DE AOSTO 2025"/>
        <s v="DSF1437 - GASTOS BANCARIOS CORRESPONDIENTE AL MES DE AGOSTO 2025"/>
        <s v="GASTOS BANCARIOS CORRESPONDIENTES AL MES DE AGOSTO 2025"/>
        <s v="DEVOLUCION DE DSF - GASTOS BANCARIOS CORRESPONDIENTES AL MES DE AGOSOT 2025 (DSF1430 AL DSF 1439)"/>
        <s v="FAC1042306 - COMISION FIJA DE ADMINISTRACION -MES DE SEPTIEMBRE 2025"/>
        <s v="GASTO DE COMISION EN LEVANTAMIENTO DE PRENDA HIPOTECA EN EL MES DE MAYO 2025"/>
        <s v="GASTOS BANCARIOS BANCOLOMBIA PANAMA MES DE SEPTIEMBRE 2025"/>
        <s v="GASTOS BANCARIOS BANCO DAVIVIENDA CTE 379469997678 MES DE SEPTIEMBRE 2025"/>
        <s v="GASRTOS BANCARIOS BANCO BOGOTA CALI CTE 256096355 MES DE SEPTIEMBRE 2025"/>
        <s v="GASTOS BANCARIOS BANCO DE OCCIDENTE CTE 001526318 MES DE SEPTIEMBRE 2025"/>
        <s v="GASTOS BANCARIOS BANCOLOMBIA CTE 80104152201 MES DE SEPTIEMBRE 2025"/>
        <s v="GASTOS BANCARIOS BANCOLOMBIA AHORRO 30631513979 MES DE SEPTIEMBRE 2025"/>
        <s v="GASTOS BANCARIOS BANCO DE BOGOTA TULUA CTE 612036319 MES DE SEPTIEMBRE 2025"/>
        <s v="GASTOS BANCARIOS BANCO BBVA COLOMBIA 0502000100011570 CTE MES DE SEPTIEMBRE 2025"/>
        <s v="RECLASIFICAION FACTORING NIC-38534 FAN-31859"/>
        <s v="SOC78543- COMISION POR ADMINIOSTRACION DAVIVIENDA NOVIEMBRE 2024"/>
        <s v="FACTORING BBVA FAN-31867-31816 PAGO - COMISION"/>
        <s v="FACTORING BBVA FAN-31859"/>
        <s v="FACTORING BBVA 31854-31863-31865-31876-31942 COMISION PAGO"/>
        <s v="FACTORING KLYM FAN-31739-31785-31790-31805-31861-31864-31883 PAGO COMISION"/>
        <s v="FACTORING RED CAPITAL - FAN-31779-31787-31799-31808-31944"/>
        <s v="FACTORING BBVA FAN-31984-31811 PAGO-COMISION"/>
        <s v="FACTORING FAN-32014 COMISION PAGO"/>
        <s v="FACTORING FAN-31834-32065 COMISION PAGO"/>
        <s v="FACTORING BBVA FAN-31287-31286 COMISION Y PAGO"/>
        <s v="FACTORING RED CAPITAL - FAN-32046-32126-32152-32175-32178 COMISION PAGO"/>
        <s v="FACTORING AJOVER FAN-32271 ALPINA FAN-32177-32192-32230-32258 PAGO COMISION"/>
        <s v="FACTORING FAN-31819 COMISION Y PAGO"/>
        <s v="FACTORING FAN-32402-32403-32404"/>
        <s v="FACTORING FAN-32000 COMISION PAGO"/>
        <s v="FACTORING FAN- 32280-32282-32260 COMISION - PAGO"/>
        <s v="FACTORING FAN-32248  COMISION PAGO"/>
        <s v="RECLASIFICACION COMISIONES FACTORING VENCIMIENTOS OCTUBRE"/>
        <s v="COMISION FACTORING FAN-32178-32014-32046-32126-32152-32175"/>
        <s v="FACTORING FAN- 32527 COMISION Y PAGOS"/>
        <s v="FACTORGING FAN-32001-32373-32372 COMISION FACTORING"/>
        <s v="FACTORING FAN-32245 COMISION PAGO"/>
        <s v="FACTORING FAN-32565-32589-32596-32603-32671-32673 COMISION Y PAGO"/>
        <s v="FACTORING FAN-32383-32425-32506-32524-32467-32502-32551-32583-32574-32580"/>
        <s v="COMISION FACTORING BANCOLOMBIA FAN-32402-32403-32404"/>
        <s v="FACTONRING FAN-32615-32621-32645"/>
        <s v="FACTORING FAN-32518-32538-32561-32576 PAGO COMISION"/>
        <s v="FACTORING FAN-32793 - 32701 PAGO"/>
        <s v="FACTORING BBVA FAN-32843 PAGO"/>
        <s v="REGISTRO COMISIONES FACTORING VENCIMIENTOS OCTUBRE"/>
        <s v="CRUCE PAGO EXCEDENTES - COMISION FAN-32065-31834"/>
        <s v="RECLASIFICACION COMISION FACTORING"/>
        <s v="REINTEGRO PAGO FACTORING KLYM FAN-32271-3221-32176 RCA-34333-34260"/>
        <s v="CONTABILIZACION IVA COMISON 4*1000 RECARGA TARJETA PREPAGO"/>
        <s v="PAGO DE EMBARGOS JUDICIALES ICSA - ARCHIVO: GD2025100689190019621_12. - SECUENCIAL: 1557948 - CODIGO 30030"/>
        <s v="CLFV 23608 - SERV MODIFICACION BMC 860071250"/>
        <s v="CLFV 23609 - SERV MODIFICACION BMC 860071250"/>
        <s v="CLFV 23647 - COMISION CORREAGRO - SERV DE REGISTRO BMC 860071250"/>
        <s v="CLFV 23648 - COMISION CORREAGRO - SERV DE REGISTRO BMC 860071250"/>
        <s v="PAGO DE GTOS BANCARIOS Y CUENTAS DE COBRO COMISION"/>
        <s v="CONTABILIZACION IVA COMISON 4*1000 RECARGA TARJETA"/>
        <s v="contabilizacioni va comison 4*1000"/>
        <s v="SOC92368 - COMISION POR ADMINISTRACION: OCTUBRE 2025"/>
        <s v="GASTOS BANCARIOS CORRESPONDIENTES AL MES DE SEPTIEMBRE 2025"/>
        <s v="GASTOS BANCARIOS CORRESPONDIENTE AL MES DE SEPTIEMBRE 2025"/>
        <s v="DEVOLUCION DE DSF - GASTOS BANCARIOS CORRESPONDIENTES AL MES DE SEPTIEMBRE 2025 (DSF1462 AL DSF 1472)"/>
        <s v="LEGALIZACIÓN TC BANOCCIDENTE MRESTREPO No. 512835-0-028970-288 MONEDA COP CORTE 30 SEPTIEMBRE 2025"/>
        <s v="GASTOS BANCARIOS BANCO BBVA COLOMBIA 0502000100011570 CTE OCTUBRE 2025"/>
        <s v="GASTOS BANCARIOS BANCO DE OCCIDENTE CTE 001526318 OCTUBRE 2025"/>
        <s v="GASTOS BANCARIOS BANCOLOMBIA PANAMA OCTUBRE 2025"/>
        <s v="GASTOS BANCARIOS BANCO DE BOGOTA TULUA CTE 612036319 OCTUBRE 2025"/>
        <s v="GASTOS BANCARIOS BANCO BOGOTA CALI CTE 256096355 OCTUBRE 2025"/>
        <s v="GASTOS BANCARIOS BANCOLOMBIA SOBREGIRO 76282316703 MES DE OCTUBRE 2025"/>
        <s v="GASTOS BANCARIOS BANCOLOMBIA CTE 80104152201 MES OCTUBRE 2025"/>
        <s v="GASTOS BANCARIOS BANCOLOMBIA AHORRO 30631513979 MES DE OCTUBRE 2025"/>
        <s v="GASTOS BANCARIOS BANCO DAVIVIENDA CTE 379469997678 MES DE OCTUBRE 2025"/>
        <s v="CLFV24064 - COMISION CORREAGRO - SERV DE REGRISTRO BMC 890071250"/>
        <s v="CLFV24063 - COMISION CORREAGRO N- SERV REGRISTRO BMC 860071250"/>
        <s v="CLFV24017 : SERV MODIFICACION BMC860071250"/>
        <s v="CLFV23877 - SERV MODIFICACION BMC 860071250"/>
        <s v="CLFV23939 - SERV MODIFICACION 860071250"/>
        <s v="CLFV23750 - SERV MODIFICACION BMN 860071250"/>
      </sharedItems>
    </cacheField>
    <cacheField name="Razón social tercero movto." numFmtId="0">
      <sharedItems containsBlank="1" count="30">
        <s v="BANCO AGRARIO DE COLOMBIA S.A"/>
        <s v="BANCOLOMBIA"/>
        <s v="BANCO POPULAR"/>
        <s v="BANCO DE BOGOTA"/>
        <s v="FIDUCIARIA POPULAR S.A."/>
        <s v="FIDUCIARIA DAVIVIENDA S.A"/>
        <s v="BANCOLOMBIA PANAMA"/>
        <s v="BANCO DAVIVIENDA S.A"/>
        <s v="BBVA COLOMBIA S.A."/>
        <s v="ITAU CORPBANCA COLOMBIA SA"/>
        <s v="KLYM S.A.S"/>
        <s v="CORREAGRO S.A."/>
        <s v="ALIANZA FIDUCIARIA S.A"/>
        <s v="COOPERATIVA COLANTA"/>
        <s v="SERVICIOS FINANCIEROS S.A. SERFINANZA CIA DE FINANCIAMIENTO"/>
        <s v="BANCO DE OCCIDENTE"/>
        <s v="RENTA Y CAMPO CORREDORES S A"/>
        <s v="PRODUCTOS EL TOMATICO S.A.S"/>
        <m/>
        <s v="LEVAPAN SA"/>
        <s v="DAVIVIENDA" u="1"/>
        <s v="BANCO AGRARIO DE COLOMBIA  S.A" u="1"/>
        <s v="BANCO AGRARIO DE COLOMBIA" u="1"/>
        <s v="INGENIO CARMELITA S.A." u="1"/>
        <s v="SANTACRUZ  JOHN" u="1"/>
        <s v="REYES MORIONES ANGELICA" u="1"/>
        <s v="SUPER DE ALIMENTOS S.A.S." u="1"/>
        <s v="GOLOSINAS TRULULU S.A." u="1"/>
        <s v="MORIONES SUAREZ BEATRIZ EUGENIA" u="1"/>
        <s v="QBCO SAS" u="1"/>
      </sharedItems>
    </cacheField>
    <cacheField name="SECCION" numFmtId="0">
      <sharedItems containsNonDate="0" containsString="0" containsBlank="1"/>
    </cacheField>
    <cacheField name="Prefijo tipo docto" numFmtId="0">
      <sharedItems containsBlank="1"/>
    </cacheField>
    <cacheField name="SUB SUBCUENTA" numFmtId="0">
      <sharedItems containsNonDate="0" containsString="0" containsBlank="1"/>
    </cacheField>
    <cacheField name="Mes" numFmtId="0">
      <sharedItems containsString="0" containsBlank="1" containsNumber="1" containsInteger="1" minValue="1" maxValue="10" count="11">
        <n v="1"/>
        <n v="2"/>
        <n v="3"/>
        <n v="4"/>
        <n v="5"/>
        <n v="6"/>
        <n v="7"/>
        <n v="8"/>
        <n v="9"/>
        <m/>
        <n v="10"/>
      </sharedItems>
    </cacheField>
    <cacheField name="Nombre M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m/>
    <m/>
    <s v="5502 - COMISIONES"/>
    <n v="53051501"/>
    <s v="BANCOS COMISIONES"/>
    <n v="38140"/>
    <s v="DSF-00001059"/>
    <d v="2025-01-29T00:00:00"/>
    <s v="GASTOS BANCARIOS 27 AL 31 DICIEMBRE 2024 -BGTA CALI"/>
    <x v="0"/>
    <x v="0"/>
    <m/>
    <s v="DSF "/>
    <m/>
    <x v="0"/>
  </r>
  <r>
    <m/>
    <m/>
    <s v="5502 - COMISIONES"/>
    <n v="53051501"/>
    <s v="BANCOS COMISIONES"/>
    <n v="78520"/>
    <s v="DSF-00001059"/>
    <d v="2025-01-29T00:00:00"/>
    <s v="GASTOS BANCARIOS 27 AL 31 DICIEMBRE 2024 -BGTA TULUA"/>
    <x v="0"/>
    <x v="0"/>
    <m/>
    <s v="DSF "/>
    <m/>
    <x v="0"/>
  </r>
  <r>
    <m/>
    <m/>
    <s v="5502 - COMISIONES"/>
    <n v="53051501"/>
    <s v="BANCOS COMISIONES"/>
    <n v="2500"/>
    <s v="DSF-00001060"/>
    <d v="2025-01-29T00:00:00"/>
    <s v="GASTOS BANCARIOS 27 AL 31 DICIEMBRE 2024 -POPULAR 2276"/>
    <x v="1"/>
    <x v="1"/>
    <m/>
    <s v="DSF "/>
    <m/>
    <x v="0"/>
  </r>
  <r>
    <m/>
    <m/>
    <s v="5502 - COMISIONES"/>
    <n v="53051501"/>
    <s v="BANCOS COMISIONES"/>
    <n v="125906.09"/>
    <s v="DSF-00001061"/>
    <d v="2025-01-29T00:00:00"/>
    <s v="GASTOS BANCARIOS 27 AL 31 DICIEMBRE 2024 -BANCOLOMBIA 801"/>
    <x v="2"/>
    <x v="2"/>
    <m/>
    <s v="DSF "/>
    <m/>
    <x v="0"/>
  </r>
  <r>
    <m/>
    <m/>
    <s v="5502 - COMISIONES"/>
    <n v="53051501"/>
    <s v="BANCOS COMISIONES"/>
    <n v="16560"/>
    <s v="DSF-00001061"/>
    <d v="2025-01-29T00:00:00"/>
    <s v="GASTOS BANCARIOS 27 AL 31 DICIEMBRE 2024 -BANCOLOMBIA ESPECIAL"/>
    <x v="2"/>
    <x v="2"/>
    <m/>
    <s v="DSF "/>
    <m/>
    <x v="0"/>
  </r>
  <r>
    <m/>
    <m/>
    <s v="5502 - COMISIONES"/>
    <n v="53051501"/>
    <s v="BANCOS COMISIONES"/>
    <n v="4303049"/>
    <s v="DSF-00001074"/>
    <d v="2025-02-19T00:00:00"/>
    <s v="GASTOS BANCARIOS CORRESPONDIENTES AL MES DE ENERO 2025"/>
    <x v="3"/>
    <x v="0"/>
    <m/>
    <s v="DSF "/>
    <m/>
    <x v="1"/>
  </r>
  <r>
    <m/>
    <m/>
    <s v="5502 - COMISIONES"/>
    <n v="53051501"/>
    <s v="BANCOS COMISIONES"/>
    <n v="4739977.04"/>
    <s v="DSF-00001076"/>
    <d v="2025-02-19T00:00:00"/>
    <s v="GASTOS BANCARIOS CORRESPONDIENTES AL MES DE ENERO 2025"/>
    <x v="3"/>
    <x v="2"/>
    <m/>
    <s v="DSF "/>
    <m/>
    <x v="1"/>
  </r>
  <r>
    <m/>
    <m/>
    <s v="5502 - COMISIONES"/>
    <n v="53051501"/>
    <s v="BANCOS COMISIONES"/>
    <n v="9801719"/>
    <s v="DSF-00001077"/>
    <d v="2025-02-19T00:00:00"/>
    <s v="GASTOS BANCARIOS CORRESPONDIENTES AL MES DE ENERO 2025"/>
    <x v="3"/>
    <x v="3"/>
    <m/>
    <s v="DSF "/>
    <m/>
    <x v="1"/>
  </r>
  <r>
    <m/>
    <m/>
    <s v="5502 - COMISIONES"/>
    <n v="53051501"/>
    <s v="BANCOS COMISIONES"/>
    <n v="2190"/>
    <s v="DSF-00001078"/>
    <d v="2025-02-19T00:00:00"/>
    <s v="GASTOS BANCARIOS CORRESPONDIENTES AL MES DE ENERO 2025"/>
    <x v="3"/>
    <x v="4"/>
    <m/>
    <s v="DSF "/>
    <m/>
    <x v="1"/>
  </r>
  <r>
    <m/>
    <m/>
    <s v="5502 - COMISIONES"/>
    <n v="53051501"/>
    <s v="BANCOS COMISIONES"/>
    <n v="2650"/>
    <s v="DSF-00001079"/>
    <d v="2025-02-19T00:00:00"/>
    <s v="GASTOS BANCARIOS CORRESPONDIENTES AL MES DE ENERO 2025"/>
    <x v="3"/>
    <x v="1"/>
    <m/>
    <s v="DSF "/>
    <m/>
    <x v="1"/>
  </r>
  <r>
    <m/>
    <m/>
    <s v="5502 - COMISIONES"/>
    <n v="53051501"/>
    <s v="BANCOS COMISIONES"/>
    <n v="43927682.079999998"/>
    <s v="DSF-00001081"/>
    <d v="2025-02-19T00:00:00"/>
    <s v="GASTOS BANCARIOS CORRESPONDIENTES AL MES DE ENERO 2025"/>
    <x v="3"/>
    <x v="5"/>
    <m/>
    <s v="DSF "/>
    <m/>
    <x v="1"/>
  </r>
  <r>
    <m/>
    <m/>
    <s v="5502 - COMISIONES"/>
    <n v="53051501"/>
    <s v="BANCOS COMISIONES"/>
    <n v="3558750"/>
    <s v="DSF-00001082"/>
    <d v="2025-02-19T00:00:00"/>
    <s v="GASTOS BANCARIOS CORRESPONDIENTES AL MES DE ENERO 2025"/>
    <x v="3"/>
    <x v="6"/>
    <m/>
    <s v="DSF "/>
    <m/>
    <x v="1"/>
  </r>
  <r>
    <m/>
    <m/>
    <s v="5502 - COMISIONES"/>
    <n v="53051501"/>
    <s v="BANCOS COMISIONES"/>
    <n v="7426250"/>
    <s v="DSF-00001083"/>
    <d v="2025-02-19T00:00:00"/>
    <s v="GASTOS BANCARIOS CORRESPONDIENTES AL MES DE ENERO 2025"/>
    <x v="3"/>
    <x v="7"/>
    <m/>
    <s v="DSF "/>
    <m/>
    <x v="1"/>
  </r>
  <r>
    <m/>
    <m/>
    <s v="5502 - COMISIONES"/>
    <n v="53051501"/>
    <s v="BANCOS COMISIONES"/>
    <n v="514829.43"/>
    <s v="DSF-00001084"/>
    <d v="2025-02-19T00:00:00"/>
    <s v="GASTOS BANCARIOS CORRESPONDIENTES AL MES DE ENERO 2025"/>
    <x v="3"/>
    <x v="8"/>
    <m/>
    <s v="DSF "/>
    <m/>
    <x v="1"/>
  </r>
  <r>
    <m/>
    <m/>
    <s v="5502 - COMISIONES"/>
    <n v="53051501"/>
    <s v="BANCOS COMISIONES"/>
    <n v="1675065"/>
    <s v="DSF-00001104"/>
    <d v="2025-03-21T00:00:00"/>
    <s v="GASTOS BANCARIOS CORRESPONDIENTES AL MES DE FEBRERO 2025"/>
    <x v="4"/>
    <x v="0"/>
    <m/>
    <s v="DSF "/>
    <m/>
    <x v="2"/>
  </r>
  <r>
    <m/>
    <m/>
    <s v="5502 - COMISIONES"/>
    <n v="53051501"/>
    <s v="BANCOS COMISIONES"/>
    <n v="4209166.1500000004"/>
    <s v="DSF-00001106"/>
    <d v="2025-03-21T00:00:00"/>
    <s v="GASTOS BANCARIOS CORRESPONDIENTES AL MES DE FEBRERO 2025"/>
    <x v="4"/>
    <x v="2"/>
    <m/>
    <s v="DSF "/>
    <m/>
    <x v="2"/>
  </r>
  <r>
    <m/>
    <m/>
    <s v="5502 - COMISIONES"/>
    <n v="53051501"/>
    <s v="BANCOS COMISIONES"/>
    <n v="8162148"/>
    <s v="DSF-00001107"/>
    <d v="2025-03-21T00:00:00"/>
    <s v="GASTOS BANCARIOS CORRESPONDIENTES AL MES DE FEBRERO 2025 - INCLUYE INT. COGENERACION"/>
    <x v="5"/>
    <x v="3"/>
    <m/>
    <s v="DSF "/>
    <m/>
    <x v="2"/>
  </r>
  <r>
    <m/>
    <m/>
    <s v="5502 - COMISIONES"/>
    <n v="53051501"/>
    <s v="BANCOS COMISIONES"/>
    <n v="32028.49"/>
    <s v="DSF-00001108"/>
    <d v="2025-03-21T00:00:00"/>
    <s v="GASTOS BANCARIOS CORRESPONDIENTES AL MES DE FEBRERO 2025"/>
    <x v="4"/>
    <x v="4"/>
    <m/>
    <s v="DSF "/>
    <m/>
    <x v="2"/>
  </r>
  <r>
    <m/>
    <m/>
    <s v="5502 - COMISIONES"/>
    <n v="53051501"/>
    <s v="BANCOS COMISIONES"/>
    <n v="51359811.799999997"/>
    <s v="DSF-00001111"/>
    <d v="2025-03-21T00:00:00"/>
    <s v="GASTOS BANCARIOS CORRESPONDIENTES AL MES DE FEBRERO 2025"/>
    <x v="4"/>
    <x v="5"/>
    <m/>
    <s v="DSF "/>
    <m/>
    <x v="2"/>
  </r>
  <r>
    <m/>
    <m/>
    <s v="5502 - COMISIONES"/>
    <n v="53051501"/>
    <s v="BANCOS COMISIONES"/>
    <n v="3558750"/>
    <s v="DSF-00001112"/>
    <d v="2025-03-21T00:00:00"/>
    <s v="GASTOS BANCARIOS CORRESPONDIENTES AL MES DE FEBRERO 2025"/>
    <x v="4"/>
    <x v="6"/>
    <m/>
    <s v="DSF "/>
    <m/>
    <x v="2"/>
  </r>
  <r>
    <m/>
    <m/>
    <s v="5502 - COMISIONES"/>
    <n v="53051501"/>
    <s v="BANCOS COMISIONES"/>
    <n v="3558750"/>
    <s v="DSF-00001113"/>
    <d v="2025-03-21T00:00:00"/>
    <s v="GASTOS BANCARIOS CORRESPONDIENTES AL MES DE FEBRERO 2025"/>
    <x v="4"/>
    <x v="7"/>
    <m/>
    <s v="DSF "/>
    <m/>
    <x v="2"/>
  </r>
  <r>
    <m/>
    <m/>
    <s v="5502 - COMISIONES"/>
    <n v="53051501"/>
    <s v="BANCOS COMISIONES"/>
    <n v="284369.99"/>
    <s v="DSF-00001114"/>
    <d v="2025-03-21T00:00:00"/>
    <s v="GASTOS BANCARIOS CORRESPONDIENTES AL MES DE FEBRERO 2025"/>
    <x v="4"/>
    <x v="8"/>
    <m/>
    <s v="DSF "/>
    <m/>
    <x v="2"/>
  </r>
  <r>
    <m/>
    <m/>
    <s v="5502 - COMISIONES"/>
    <n v="53051501"/>
    <s v="BANCOS COMISIONES"/>
    <n v="3558750"/>
    <s v="FAC-00045087"/>
    <d v="2025-01-31T00:00:00"/>
    <s v="FAC132801 - COMISION FIDUCIARIA MES DE ENERO 2025- COMISION FIJA 2.5 SMMLV"/>
    <x v="6"/>
    <x v="6"/>
    <m/>
    <s v="    "/>
    <m/>
    <x v="0"/>
  </r>
  <r>
    <m/>
    <m/>
    <s v="5502 - COMISIONES"/>
    <n v="53051501"/>
    <s v="BANCOS COMISIONES"/>
    <n v="3558750"/>
    <s v="FAC-00045088"/>
    <d v="2025-01-31T00:00:00"/>
    <s v="SOC81109 -  COMISION POR ADMINISTRACION MES DE ENERO 2025 - EA"/>
    <x v="7"/>
    <x v="7"/>
    <m/>
    <s v="    "/>
    <m/>
    <x v="0"/>
  </r>
  <r>
    <m/>
    <m/>
    <s v="5502 - COMISIONES"/>
    <n v="53051501"/>
    <s v="BANCOS COMISIONES"/>
    <n v="3558750"/>
    <s v="FAC-00045545"/>
    <d v="2025-02-28T00:00:00"/>
    <s v="SOC82093 - D1- COMISION POR ADMINISTRACION, PERIODO DE FACTRUACION: FEBRERO 2025"/>
    <x v="8"/>
    <x v="7"/>
    <m/>
    <s v="    "/>
    <m/>
    <x v="1"/>
  </r>
  <r>
    <m/>
    <m/>
    <s v="5502 - COMISIONES"/>
    <n v="53051501"/>
    <s v="BANCOS COMISIONES"/>
    <n v="3558750"/>
    <s v="FAC-00045546"/>
    <d v="2025-02-28T00:00:00"/>
    <s v="FAC133255 - COMISION FIDUCIARIA MES DE FEBRERO 2025- COMISION FIJA 2.5 SMMLV"/>
    <x v="9"/>
    <x v="6"/>
    <m/>
    <s v="    "/>
    <m/>
    <x v="1"/>
  </r>
  <r>
    <m/>
    <m/>
    <s v="5502 - COMISIONES"/>
    <n v="53051501"/>
    <s v="BANCOS COMISIONES"/>
    <n v="711750"/>
    <s v="FAC-00045697"/>
    <d v="2025-03-17T00:00:00"/>
    <s v="FAC133431 - COMISION FIDUCIARIA POR EXPEDICION DE CERTIFICADO DE GARANTIA 20"/>
    <x v="10"/>
    <x v="6"/>
    <m/>
    <s v="    "/>
    <m/>
    <x v="2"/>
  </r>
  <r>
    <m/>
    <m/>
    <s v="5502 - COMISIONES"/>
    <n v="53051501"/>
    <s v="BANCOS COMISIONES"/>
    <n v="3558750"/>
    <s v="FAC-00045698"/>
    <d v="2025-03-17T00:00:00"/>
    <s v="FAC133535 - COMISION FIDUCIARIA MES DE MARZO 2025 - COMISION FIJA  2.5 SMMLV"/>
    <x v="11"/>
    <x v="6"/>
    <m/>
    <s v="    "/>
    <m/>
    <x v="2"/>
  </r>
  <r>
    <m/>
    <m/>
    <s v="5502 - COMISIONES"/>
    <n v="53051501"/>
    <s v="BANCOS COMISIONES"/>
    <n v="3558750"/>
    <s v="FAC-00045701"/>
    <d v="2025-03-17T00:00:00"/>
    <s v="SOC83617 - COMISION POR ADMINISTRACION - PERIODO DE FACTURACION MARZO 2025"/>
    <x v="12"/>
    <x v="7"/>
    <m/>
    <s v="    "/>
    <m/>
    <x v="2"/>
  </r>
  <r>
    <m/>
    <m/>
    <s v="5502 - COMISIONES"/>
    <n v="53051501"/>
    <s v="BANCOS COMISIONES"/>
    <n v="1423500"/>
    <s v="FAC-00045724"/>
    <d v="2025-03-20T00:00:00"/>
    <s v="FAC992663 - COMISION FIJA DE ADMINISTRACION CORRESPONDIENTE AL MES DE MARZO 2025"/>
    <x v="13"/>
    <x v="9"/>
    <m/>
    <s v="    "/>
    <m/>
    <x v="2"/>
  </r>
  <r>
    <m/>
    <m/>
    <s v="5502 - COMISIONES"/>
    <n v="53051501"/>
    <s v="BANCOS COMISIONES"/>
    <n v="2190"/>
    <s v="NIB-00005736"/>
    <d v="2025-01-07T00:00:00"/>
    <s v="PAGO DE DEPOSITOS JUDICIALES - COMPROBANTE DE PAGO: 1491465 - ARCHIVO: 30030 - INGENIO CARMELITA - ARCHIVO: GD20250107018919001961"/>
    <x v="14"/>
    <x v="10"/>
    <m/>
    <s v="    "/>
    <m/>
    <x v="0"/>
  </r>
  <r>
    <m/>
    <m/>
    <s v="5502 - COMISIONES"/>
    <n v="53051501"/>
    <s v="BANCOS COMISIONES"/>
    <n v="9600.49"/>
    <s v="NIB-00005875"/>
    <d v="2025-01-31T00:00:00"/>
    <s v="COSTO DE TRANSACCION -PAGO DE FACTURAS A NOMBRE DE INGENIERIA Y EQUIPOS PARA LA INGENIERIA"/>
    <x v="15"/>
    <x v="2"/>
    <m/>
    <s v="    "/>
    <m/>
    <x v="0"/>
  </r>
  <r>
    <m/>
    <m/>
    <s v="5502 - COMISIONES"/>
    <n v="53051501"/>
    <s v="BANCOS COMISIONES"/>
    <n v="1824"/>
    <s v="NIB-00005875"/>
    <d v="2025-01-31T00:00:00"/>
    <s v="IVA DE TRANSACCION  -PAGO DE FACTURAS A NOMBRE DE INGENIERIA Y EQUIPOS PARA LA INGENIERIA"/>
    <x v="15"/>
    <x v="2"/>
    <m/>
    <s v="    "/>
    <m/>
    <x v="0"/>
  </r>
  <r>
    <m/>
    <m/>
    <s v="5502 - COMISIONES"/>
    <n v="53051501"/>
    <s v="BANCOS COMISIONES"/>
    <n v="3867500"/>
    <s v="NIB-00005899"/>
    <d v="2025-01-31T00:00:00"/>
    <s v="COMISION FIJA MES DE ENERO 2025"/>
    <x v="16"/>
    <x v="7"/>
    <m/>
    <s v="    "/>
    <m/>
    <x v="0"/>
  </r>
  <r>
    <m/>
    <m/>
    <s v="5502 - COMISIONES"/>
    <n v="53051501"/>
    <s v="BANCOS COMISIONES"/>
    <n v="514829.43"/>
    <s v="NIB-00005902"/>
    <d v="2025-01-31T00:00:00"/>
    <s v="GASTOS BANCARIOS MES DE ENERO 2025- BANCOLOMBIA PANAMA"/>
    <x v="17"/>
    <x v="8"/>
    <m/>
    <s v="    "/>
    <m/>
    <x v="0"/>
  </r>
  <r>
    <m/>
    <m/>
    <s v="5502 - COMISIONES"/>
    <n v="53051501"/>
    <s v="BANCOS COMISIONES"/>
    <n v="4280613"/>
    <s v="NIB-00005906"/>
    <d v="2025-01-31T00:00:00"/>
    <s v="GASTOS BANCARIOS BOGOTA TULUA 612036319- MES DE ENERO 2025"/>
    <x v="18"/>
    <x v="0"/>
    <m/>
    <s v="    "/>
    <m/>
    <x v="0"/>
  </r>
  <r>
    <m/>
    <m/>
    <s v="5502 - COMISIONES"/>
    <n v="53051501"/>
    <s v="BANCOS COMISIONES"/>
    <n v="4700320.55"/>
    <s v="NIB-00005911"/>
    <d v="2025-01-31T00:00:00"/>
    <s v="GASTOS BANCARIOS BANCOLOMBIA CTA CTE 80104152201 - MES DE ENERO 2025"/>
    <x v="19"/>
    <x v="2"/>
    <m/>
    <s v="    "/>
    <m/>
    <x v="0"/>
  </r>
  <r>
    <m/>
    <m/>
    <s v="5502 - COMISIONES"/>
    <n v="53051501"/>
    <s v="BANCOS COMISIONES"/>
    <n v="2650"/>
    <s v="NIB-00005915"/>
    <d v="2025-01-17T00:00:00"/>
    <s v="GASTOS BANCARIOS POPULAR 2276 MES DE ENERO 2025"/>
    <x v="20"/>
    <x v="1"/>
    <m/>
    <s v="    "/>
    <m/>
    <x v="0"/>
  </r>
  <r>
    <m/>
    <m/>
    <s v="5502 - COMISIONES"/>
    <n v="53051501"/>
    <s v="BANCOS COMISIONES"/>
    <n v="9801719"/>
    <s v="NIB-00005919"/>
    <d v="2025-01-31T00:00:00"/>
    <s v="GASTOS BANCARIOS DAVIVIENDA 7678 MES DE ENERO 2025"/>
    <x v="21"/>
    <x v="3"/>
    <m/>
    <s v="    "/>
    <m/>
    <x v="0"/>
  </r>
  <r>
    <m/>
    <m/>
    <s v="5502 - COMISIONES"/>
    <n v="53051501"/>
    <s v="BANCOS COMISIONES"/>
    <n v="22436"/>
    <s v="NIB-00005936"/>
    <d v="2025-01-31T00:00:00"/>
    <s v="GASTOS BANCARIOS BGTA CALI 256096355 MES DE ENERO 2025"/>
    <x v="22"/>
    <x v="0"/>
    <m/>
    <s v="    "/>
    <m/>
    <x v="0"/>
  </r>
  <r>
    <m/>
    <m/>
    <s v="5502 - COMISIONES"/>
    <n v="53051501"/>
    <s v="BANCOS COMISIONES"/>
    <n v="11004"/>
    <s v="NIB-00005978"/>
    <d v="2025-02-07T00:00:00"/>
    <s v="PAGO DE DEPOSITOS JUCIALES ICSA - 1499295 - SECUENCIAL DEL ARCHIVO: GD202502070891001961_01.TXT"/>
    <x v="23"/>
    <x v="10"/>
    <m/>
    <s v="    "/>
    <m/>
    <x v="1"/>
  </r>
  <r>
    <m/>
    <m/>
    <s v="5502 - COMISIONES"/>
    <n v="53051501"/>
    <s v="BANCOS COMISIONES"/>
    <n v="9600"/>
    <s v="NIB-00005995"/>
    <d v="2025-02-14T00:00:00"/>
    <s v="PAGO DE DEPOSITOS JUDICIALES - INGENIERIA Y EQUIPOS PARA LA INDUSTRIA - CODIGO DEL JUZGADO 760012031004 - NUMEOR DE PROCESO 7600131030042023000800"/>
    <x v="24"/>
    <x v="10"/>
    <m/>
    <s v="    "/>
    <m/>
    <x v="1"/>
  </r>
  <r>
    <m/>
    <m/>
    <s v="5502 - COMISIONES"/>
    <n v="53051501"/>
    <s v="BANCOS COMISIONES"/>
    <n v="1792877.05"/>
    <s v="NIB-00006062"/>
    <d v="2025-02-25T00:00:00"/>
    <s v="FACTORING BBVA FAN-29239 COMISIONES"/>
    <x v="25"/>
    <x v="5"/>
    <m/>
    <s v="    "/>
    <m/>
    <x v="1"/>
  </r>
  <r>
    <m/>
    <m/>
    <s v="5502 - COMISIONES"/>
    <n v="53051501"/>
    <s v="BANCOS COMISIONES"/>
    <n v="9251104.7599999998"/>
    <s v="NIB-00006091"/>
    <d v="2025-02-27T00:00:00"/>
    <s v="FACTORING BBVA-COMISIONES FAN-29218-251-256-288-309-324"/>
    <x v="26"/>
    <x v="5"/>
    <m/>
    <s v="    "/>
    <m/>
    <x v="1"/>
  </r>
  <r>
    <m/>
    <m/>
    <s v="5502 - COMISIONES"/>
    <n v="53051501"/>
    <s v="BANCOS COMISIONES"/>
    <n v="16300"/>
    <s v="NIB-00006094"/>
    <d v="2025-02-28T00:00:00"/>
    <s v="GASTOS BANCARIOS - BANCO BOGOTA CALI CTE 256096355 - MES DE ENERO 2025"/>
    <x v="27"/>
    <x v="0"/>
    <m/>
    <s v="    "/>
    <m/>
    <x v="1"/>
  </r>
  <r>
    <m/>
    <m/>
    <s v="5502 - COMISIONES"/>
    <n v="53051501"/>
    <s v="BANCOS COMISIONES"/>
    <n v="1162707.26"/>
    <s v="NIB-00006098"/>
    <d v="2025-02-27T00:00:00"/>
    <s v="FACTORING BBVA FAN-29038 REGISTRO COMISION"/>
    <x v="28"/>
    <x v="5"/>
    <m/>
    <s v="    "/>
    <m/>
    <x v="1"/>
  </r>
  <r>
    <m/>
    <m/>
    <s v="5502 - COMISIONES"/>
    <n v="53051501"/>
    <s v="BANCOS COMISIONES"/>
    <n v="284369.99"/>
    <s v="NIB-00006100"/>
    <d v="2025-02-28T00:00:00"/>
    <s v="GATOS BANCARIOS Y RENIDMIENTOS FINANCIEROS, MES DE FEBRERO 2025 - BANCOLOMBIA PANAMA"/>
    <x v="29"/>
    <x v="8"/>
    <m/>
    <s v="    "/>
    <m/>
    <x v="1"/>
  </r>
  <r>
    <m/>
    <m/>
    <s v="5502 - COMISIONES"/>
    <n v="53051501"/>
    <s v="BANCOS COMISIONES"/>
    <n v="4199416.6399999997"/>
    <s v="NIB-00006131"/>
    <d v="2025-02-28T00:00:00"/>
    <s v="GASTOS BANCARIOS MES DE FEBRERO 2025 - BANCOLOMBIA CTE 80104152201"/>
    <x v="30"/>
    <x v="2"/>
    <m/>
    <s v="    "/>
    <m/>
    <x v="1"/>
  </r>
  <r>
    <m/>
    <m/>
    <s v="5502 - COMISIONES"/>
    <n v="53051501"/>
    <s v="BANCOS COMISIONES"/>
    <n v="1604625"/>
    <s v="NIB-00006159"/>
    <d v="2025-02-28T00:00:00"/>
    <s v="GASTOS BANCARIOS MES DE FEBRERO 2025 - BANCO DE BOGOTA TULUA CTE 612036319"/>
    <x v="31"/>
    <x v="0"/>
    <m/>
    <s v="    "/>
    <m/>
    <x v="1"/>
  </r>
  <r>
    <m/>
    <m/>
    <s v="5502 - COMISIONES"/>
    <n v="53051501"/>
    <s v="BANCOS COMISIONES"/>
    <n v="54140"/>
    <s v="NIB-00006160"/>
    <d v="2025-02-28T00:00:00"/>
    <s v="Comision por generacion de extractos bancarios , Interes ´por sobregiro en extracto Febero 2025"/>
    <x v="32"/>
    <x v="0"/>
    <m/>
    <s v="    "/>
    <m/>
    <x v="1"/>
  </r>
  <r>
    <m/>
    <m/>
    <s v="5502 - COMISIONES"/>
    <n v="53051501"/>
    <s v="BANCOS COMISIONES"/>
    <n v="8162148"/>
    <s v="NIB-00006164"/>
    <d v="2025-02-28T00:00:00"/>
    <s v="GASTOS BANCARIOS MES DE FEBRERO 2025 - BANCO DAVIVIENDA CTE 379469997678"/>
    <x v="33"/>
    <x v="3"/>
    <m/>
    <s v="    "/>
    <m/>
    <x v="1"/>
  </r>
  <r>
    <m/>
    <m/>
    <s v="5502 - COMISIONES"/>
    <n v="53051501"/>
    <s v="BANCOS COMISIONES"/>
    <n v="12052"/>
    <s v="NIB-00006178"/>
    <d v="2025-03-06T00:00:00"/>
    <s v="PAGO DE DEPOSITOS JUDICIALES ICSA - 1505496 - GD2025030608919001961_02. TXT - 30030"/>
    <x v="34"/>
    <x v="4"/>
    <m/>
    <s v="    "/>
    <m/>
    <x v="2"/>
  </r>
  <r>
    <m/>
    <m/>
    <s v="5502 - COMISIONES"/>
    <n v="53051501"/>
    <s v="BANCOS COMISIONES"/>
    <n v="1809003.04"/>
    <s v="NIB-00006305"/>
    <d v="2025-03-21T00:00:00"/>
    <s v="FACTORING BBVA FAN-29561 COMISION"/>
    <x v="35"/>
    <x v="5"/>
    <m/>
    <s v="    "/>
    <m/>
    <x v="2"/>
  </r>
  <r>
    <m/>
    <m/>
    <s v="5502 - COMISIONES"/>
    <n v="53051501"/>
    <s v="BANCOS COMISIONES"/>
    <n v="1755101"/>
    <s v="NIB-00006323"/>
    <d v="2025-03-26T00:00:00"/>
    <s v="FACTORIN KLYM FAN-29555-29567-29582-29594"/>
    <x v="36"/>
    <x v="11"/>
    <m/>
    <s v="    "/>
    <m/>
    <x v="2"/>
  </r>
  <r>
    <m/>
    <m/>
    <s v="5502 - COMISIONES"/>
    <n v="53051501"/>
    <s v="BANCOS COMISIONES"/>
    <n v="475395.51"/>
    <s v="NIB-00006349"/>
    <d v="2025-03-31T00:00:00"/>
    <s v="RENDIMIENTOS FINANCIEROS Y COMISIONES BANCOLOMBIA PANAMA MES DE MARZO 2025"/>
    <x v="37"/>
    <x v="8"/>
    <m/>
    <s v="    "/>
    <m/>
    <x v="2"/>
  </r>
  <r>
    <m/>
    <m/>
    <s v="5502 - COMISIONES"/>
    <n v="53051501"/>
    <s v="BANCOS COMISIONES"/>
    <n v="8069844"/>
    <s v="NIB-00006357"/>
    <d v="2025-03-31T00:00:00"/>
    <s v="GASTOS BANCARIOS DAVIVIENDA 7678 MES DE MARZO 2025"/>
    <x v="38"/>
    <x v="3"/>
    <m/>
    <s v="    "/>
    <m/>
    <x v="2"/>
  </r>
  <r>
    <m/>
    <m/>
    <s v="5502 - COMISIONES"/>
    <n v="53051501"/>
    <s v="BANCOS COMISIONES"/>
    <n v="73668"/>
    <s v="NIB-00006361"/>
    <d v="2025-03-31T00:00:00"/>
    <s v="GASTOS BANCARIOS BGTA CALI MES DE MARZO 2025"/>
    <x v="39"/>
    <x v="0"/>
    <m/>
    <s v="    "/>
    <m/>
    <x v="2"/>
  </r>
  <r>
    <m/>
    <m/>
    <s v="5502 - COMISIONES"/>
    <n v="53051501"/>
    <s v="BANCOS COMISIONES"/>
    <n v="1575534"/>
    <s v="NIB-00006362"/>
    <d v="2025-03-31T00:00:00"/>
    <s v="GASTOS BANCARIOS BANCO DE BOGOTA TULUA CTE 612036319  MES DE MARZO 2025"/>
    <x v="40"/>
    <x v="0"/>
    <m/>
    <s v="    "/>
    <m/>
    <x v="2"/>
  </r>
  <r>
    <m/>
    <m/>
    <s v="5502 - COMISIONES"/>
    <n v="53051501"/>
    <s v="BANCOS COMISIONES"/>
    <n v="846982.5"/>
    <s v="NIB-00006367"/>
    <d v="2025-03-27T00:00:00"/>
    <s v="PAGO DE INTERESES OBLIGACION N°119000028444 - (ESTUDIO SOPORTE GARANTIA)"/>
    <x v="41"/>
    <x v="12"/>
    <m/>
    <s v="    "/>
    <m/>
    <x v="2"/>
  </r>
  <r>
    <m/>
    <m/>
    <s v="5502 - COMISIONES"/>
    <n v="53051501"/>
    <s v="BANCOS COMISIONES"/>
    <n v="14754923.09"/>
    <s v="NIB-00006380"/>
    <d v="2025-03-28T00:00:00"/>
    <s v="FACTORING BBVA FAN-29562-574-592-607-617-621-623-635-644-663-676 COMISIONES"/>
    <x v="42"/>
    <x v="5"/>
    <m/>
    <s v="    "/>
    <m/>
    <x v="2"/>
  </r>
  <r>
    <m/>
    <m/>
    <s v="5502 - COMISIONES"/>
    <n v="53051501"/>
    <s v="BANCOS COMISIONES"/>
    <n v="12271969.91"/>
    <s v="NIB-00006382"/>
    <d v="2025-03-21T00:00:00"/>
    <s v="FACTORIN BBVA-29557-584-589-599-600-612-634-650 COMISION"/>
    <x v="43"/>
    <x v="5"/>
    <m/>
    <s v="    "/>
    <m/>
    <x v="2"/>
  </r>
  <r>
    <m/>
    <m/>
    <s v="5502 - COMISIONES"/>
    <n v="53051501"/>
    <s v="BANCOS COMISIONES"/>
    <n v="15900"/>
    <s v="NIB-00006387"/>
    <d v="2025-03-31T00:00:00"/>
    <s v="GASTOS BANCARIOS BANCO POPULAR CTA CTE 110560212276 MES DE MARZO 2025"/>
    <x v="44"/>
    <x v="1"/>
    <m/>
    <s v="    "/>
    <m/>
    <x v="2"/>
  </r>
  <r>
    <m/>
    <m/>
    <s v="5502 - COMISIONES"/>
    <n v="53051501"/>
    <s v="BANCOS COMISIONES"/>
    <n v="0.5"/>
    <s v="NIB-00006401"/>
    <d v="2025-03-31T00:00:00"/>
    <s v="GASTOS BANCARIOS FONDO INVERSION RENTA L 482800029407 DAV- MES DE MARZO 2025"/>
    <x v="45"/>
    <x v="7"/>
    <m/>
    <s v="    "/>
    <m/>
    <x v="2"/>
  </r>
  <r>
    <m/>
    <m/>
    <s v="5502 - COMISIONES"/>
    <n v="53051501"/>
    <s v="BANCOS COMISIONES"/>
    <n v="-125906.09"/>
    <s v="NIC-00035976"/>
    <d v="2025-01-29T00:00:00"/>
    <s v="GASTOS BANCARIOS 27 AL 31 DICIEMBRE 2024 -BANCOLOMBIA 801"/>
    <x v="46"/>
    <x v="2"/>
    <m/>
    <s v="    "/>
    <m/>
    <x v="0"/>
  </r>
  <r>
    <m/>
    <m/>
    <s v="5502 - COMISIONES"/>
    <n v="53051501"/>
    <s v="BANCOS COMISIONES"/>
    <n v="-16560"/>
    <s v="NIC-00035976"/>
    <d v="2025-01-29T00:00:00"/>
    <s v="GASTOS BANCARIOS 27 AL 31 DICIEMBRE 2024 -BANCOLOMBIA ESPECIAL"/>
    <x v="46"/>
    <x v="2"/>
    <m/>
    <s v="    "/>
    <m/>
    <x v="0"/>
  </r>
  <r>
    <m/>
    <m/>
    <s v="5502 - COMISIONES"/>
    <n v="53051501"/>
    <s v="BANCOS COMISIONES"/>
    <n v="-38140"/>
    <s v="NIC-00035976"/>
    <d v="2025-01-29T00:00:00"/>
    <s v="GASTOS BANCARIOS 27 AL 31 DICIEMBRE 2024 -BGTA CALI"/>
    <x v="46"/>
    <x v="0"/>
    <m/>
    <s v="    "/>
    <m/>
    <x v="0"/>
  </r>
  <r>
    <m/>
    <m/>
    <s v="5502 - COMISIONES"/>
    <n v="53051501"/>
    <s v="BANCOS COMISIONES"/>
    <n v="-78520"/>
    <s v="NIC-00035976"/>
    <d v="2025-01-29T00:00:00"/>
    <s v="GASTOS BANCARIOS 27 AL 31 DICIEMBRE 2024 -BGTA TULUA"/>
    <x v="46"/>
    <x v="0"/>
    <m/>
    <s v="    "/>
    <m/>
    <x v="0"/>
  </r>
  <r>
    <m/>
    <m/>
    <s v="5502 - COMISIONES"/>
    <n v="53051501"/>
    <s v="BANCOS COMISIONES"/>
    <n v="-2500"/>
    <s v="NIC-00035976"/>
    <d v="2025-01-29T00:00:00"/>
    <s v="GASTOS BANCARIOS 27 AL 31 DICIEMBRE 2024 -POPULAR 2276"/>
    <x v="46"/>
    <x v="1"/>
    <m/>
    <s v="    "/>
    <m/>
    <x v="0"/>
  </r>
  <r>
    <m/>
    <m/>
    <s v="5502 - COMISIONES"/>
    <n v="53051501"/>
    <s v="BANCOS COMISIONES"/>
    <n v="3529"/>
    <s v="NIC-00036050"/>
    <d v="2025-02-04T00:00:00"/>
    <s v="CONTABILIZACIÓN IVA COMISION 4*1000"/>
    <x v="47"/>
    <x v="2"/>
    <m/>
    <s v="    "/>
    <m/>
    <x v="1"/>
  </r>
  <r>
    <m/>
    <m/>
    <s v="5502 - COMISIONES"/>
    <n v="53051501"/>
    <s v="BANCOS COMISIONES"/>
    <n v="3529"/>
    <s v="NIC-00036051"/>
    <d v="2025-02-04T00:00:00"/>
    <s v="CONTABILIZACIÓN IVA COMISION 4*1000"/>
    <x v="48"/>
    <x v="2"/>
    <m/>
    <s v="    "/>
    <m/>
    <x v="1"/>
  </r>
  <r>
    <m/>
    <m/>
    <s v="5502 - COMISIONES"/>
    <n v="53051501"/>
    <s v="BANCOS COMISIONES"/>
    <n v="3529"/>
    <s v="NIC-00036053"/>
    <d v="2025-02-04T00:00:00"/>
    <s v="CONTABILIZACIÓN IVA COMISION 4*1000"/>
    <x v="49"/>
    <x v="2"/>
    <m/>
    <s v="    "/>
    <m/>
    <x v="1"/>
  </r>
  <r>
    <m/>
    <m/>
    <s v="5502 - COMISIONES"/>
    <n v="53051501"/>
    <s v="BANCOS COMISIONES"/>
    <n v="7087724.7999999998"/>
    <s v="NIC-00036152"/>
    <d v="2025-01-31T00:00:00"/>
    <s v="COMISIONES FACTORIGN TRULULU FAN-28253-255  SUPER ALIMENTOS  28207-225-261-262"/>
    <x v="50"/>
    <x v="5"/>
    <m/>
    <s v="    "/>
    <m/>
    <x v="0"/>
  </r>
  <r>
    <m/>
    <m/>
    <s v="5502 - COMISIONES"/>
    <n v="53051501"/>
    <s v="BANCOS COMISIONES"/>
    <n v="36839957.280000001"/>
    <s v="NIC-00036152"/>
    <d v="2025-01-31T00:00:00"/>
    <s v="REGISTRO COMISION FACTORING BBVA FAN-27806-848-849-850-862-863-864"/>
    <x v="50"/>
    <x v="5"/>
    <m/>
    <s v="    "/>
    <m/>
    <x v="0"/>
  </r>
  <r>
    <m/>
    <m/>
    <s v="5502 - COMISIONES"/>
    <n v="53051501"/>
    <s v="BANCOS COMISIONES"/>
    <n v="-2190"/>
    <s v="NIC-00036228"/>
    <d v="2025-02-19T00:00:00"/>
    <s v="DEVOLUCION DE DSF - GASTOS BANCARIOS MES DE ENERO 2025"/>
    <x v="51"/>
    <x v="4"/>
    <m/>
    <s v="    "/>
    <m/>
    <x v="1"/>
  </r>
  <r>
    <m/>
    <m/>
    <s v="5502 - COMISIONES"/>
    <n v="53051501"/>
    <s v="BANCOS COMISIONES"/>
    <n v="-4303049"/>
    <s v="NIC-00036228"/>
    <d v="2025-02-19T00:00:00"/>
    <s v="DEVOLUCION DE DSF - GASTOS BANCARIOS MES DE ENERO 2025"/>
    <x v="51"/>
    <x v="0"/>
    <m/>
    <s v="    "/>
    <m/>
    <x v="1"/>
  </r>
  <r>
    <m/>
    <m/>
    <s v="5502 - COMISIONES"/>
    <n v="53051501"/>
    <s v="BANCOS COMISIONES"/>
    <n v="-2650"/>
    <s v="NIC-00036228"/>
    <d v="2025-02-19T00:00:00"/>
    <s v="DEVOLUCION DE DSF - GASTOS BANCARIOS MES DE ENERO 2025"/>
    <x v="51"/>
    <x v="1"/>
    <m/>
    <s v="    "/>
    <m/>
    <x v="1"/>
  </r>
  <r>
    <m/>
    <m/>
    <s v="5502 - COMISIONES"/>
    <n v="53051501"/>
    <s v="BANCOS COMISIONES"/>
    <n v="-4739977.04"/>
    <s v="NIC-00036228"/>
    <d v="2025-02-19T00:00:00"/>
    <s v="DEVOLUCION DE DSF - GASTOS BANCARIOS MES DE ENERO 2025"/>
    <x v="51"/>
    <x v="2"/>
    <m/>
    <s v="    "/>
    <m/>
    <x v="1"/>
  </r>
  <r>
    <m/>
    <m/>
    <s v="5502 - COMISIONES"/>
    <n v="53051501"/>
    <s v="BANCOS COMISIONES"/>
    <n v="-514829.43"/>
    <s v="NIC-00036228"/>
    <d v="2025-02-19T00:00:00"/>
    <s v="DEVOLUCION DE DSF - GASTOS BANCARIOS MES DE ENERO 2025"/>
    <x v="51"/>
    <x v="8"/>
    <m/>
    <s v="    "/>
    <m/>
    <x v="1"/>
  </r>
  <r>
    <m/>
    <m/>
    <s v="5502 - COMISIONES"/>
    <n v="53051501"/>
    <s v="BANCOS COMISIONES"/>
    <n v="-43927682.079999998"/>
    <s v="NIC-00036228"/>
    <d v="2025-02-19T00:00:00"/>
    <s v="DEVOLUCION DE DSF - GASTOS BANCARIOS MES DE ENERO 2025"/>
    <x v="51"/>
    <x v="5"/>
    <m/>
    <s v="    "/>
    <m/>
    <x v="1"/>
  </r>
  <r>
    <m/>
    <m/>
    <s v="5502 - COMISIONES"/>
    <n v="53051501"/>
    <s v="BANCOS COMISIONES"/>
    <n v="-9801719"/>
    <s v="NIC-00036228"/>
    <d v="2025-02-19T00:00:00"/>
    <s v="DEVOLUCION DE DSF - GASTOS BANCARIOS MES DE ENERO 2025"/>
    <x v="51"/>
    <x v="3"/>
    <m/>
    <s v="    "/>
    <m/>
    <x v="1"/>
  </r>
  <r>
    <m/>
    <m/>
    <s v="5502 - COMISIONES"/>
    <n v="53051501"/>
    <s v="BANCOS COMISIONES"/>
    <n v="-7426250"/>
    <s v="NIC-00036228"/>
    <d v="2025-02-19T00:00:00"/>
    <s v="DEVOLUCION DE DSF - GASTOS BANCARIOS MES DE ENERO 2025"/>
    <x v="51"/>
    <x v="7"/>
    <m/>
    <s v="    "/>
    <m/>
    <x v="1"/>
  </r>
  <r>
    <m/>
    <m/>
    <s v="5502 - COMISIONES"/>
    <n v="53051501"/>
    <s v="BANCOS COMISIONES"/>
    <n v="-3558750"/>
    <s v="NIC-00036228"/>
    <d v="2025-02-19T00:00:00"/>
    <s v="DEVOLUCION DE DSF - GASTOS BANCARIOS MES DE ENERO 2025"/>
    <x v="51"/>
    <x v="6"/>
    <m/>
    <s v="    "/>
    <m/>
    <x v="1"/>
  </r>
  <r>
    <m/>
    <m/>
    <s v="5502 - COMISIONES"/>
    <n v="53051501"/>
    <s v="BANCOS COMISIONES"/>
    <n v="11424.49"/>
    <s v="NIC-00036273"/>
    <d v="2025-02-27T00:00:00"/>
    <s v="Ajuste de tercero en NIB5875 - Pago de facturas a nombre de INGENIERIA Y EQUIPOS PARA LA INDUSTRIA - INGEPIN"/>
    <x v="52"/>
    <x v="4"/>
    <m/>
    <s v="    "/>
    <m/>
    <x v="1"/>
  </r>
  <r>
    <m/>
    <m/>
    <s v="5502 - COMISIONES"/>
    <n v="53051501"/>
    <s v="BANCOS COMISIONES"/>
    <n v="-11424.49"/>
    <s v="NIC-00036273"/>
    <d v="2025-02-27T00:00:00"/>
    <s v="Ajuste de tercero en NIB5875 - Pago de facturas a nombre de INGENIERIA Y EQUIPOS PARA LA INDUSTRIA - INGEPIN"/>
    <x v="52"/>
    <x v="2"/>
    <m/>
    <s v="    "/>
    <m/>
    <x v="1"/>
  </r>
  <r>
    <m/>
    <m/>
    <s v="5502 - COMISIONES"/>
    <n v="53051501"/>
    <s v="BANCOS COMISIONES"/>
    <n v="239997.6"/>
    <s v="NIC-00036277"/>
    <d v="2025-02-27T00:00:00"/>
    <s v="GASTO COMISION MES DE ENERO 2025 BANCO ITAU"/>
    <x v="53"/>
    <x v="13"/>
    <m/>
    <s v="    "/>
    <m/>
    <x v="1"/>
  </r>
  <r>
    <m/>
    <m/>
    <s v="5502 - COMISIONES"/>
    <n v="53051501"/>
    <s v="BANCOS COMISIONES"/>
    <n v="-639375"/>
    <s v="NIC-00036462"/>
    <d v="2025-02-28T00:00:00"/>
    <s v="RECLASIFICACION FAN-27800 A FAN - 27746"/>
    <x v="54"/>
    <x v="5"/>
    <m/>
    <s v="    "/>
    <m/>
    <x v="1"/>
  </r>
  <r>
    <m/>
    <m/>
    <s v="5502 - COMISIONES"/>
    <n v="53051501"/>
    <s v="BANCOS COMISIONES"/>
    <n v="37562145.5"/>
    <s v="NIC-00036474"/>
    <d v="2025-02-28T00:00:00"/>
    <s v="RECLASIFICACION 529505 A 530515 COMISIONES BBVA - KLYM FEB 2025"/>
    <x v="55"/>
    <x v="5"/>
    <m/>
    <s v="    "/>
    <m/>
    <x v="1"/>
  </r>
  <r>
    <m/>
    <m/>
    <s v="5502 - COMISIONES"/>
    <n v="53051501"/>
    <s v="BANCOS COMISIONES"/>
    <n v="3496088"/>
    <s v="NIC-00036474"/>
    <d v="2025-02-28T00:00:00"/>
    <s v="RECLASIFICACION 529505 A 530515 COMISIONES BBVA - KLYM FEB 2025"/>
    <x v="55"/>
    <x v="14"/>
    <m/>
    <s v="    "/>
    <m/>
    <x v="1"/>
  </r>
  <r>
    <m/>
    <m/>
    <s v="5502 - COMISIONES"/>
    <n v="53051501"/>
    <s v="BANCOS COMISIONES"/>
    <n v="2230352.23"/>
    <s v="NIC-00036475"/>
    <d v="2025-02-28T00:00:00"/>
    <s v="RECLASIFICION COMISIONES TRULULU FEB 2025 5295 A 5305"/>
    <x v="56"/>
    <x v="5"/>
    <m/>
    <s v="    "/>
    <m/>
    <x v="1"/>
  </r>
  <r>
    <m/>
    <m/>
    <s v="5502 - COMISIONES"/>
    <n v="53051501"/>
    <s v="BANCOS COMISIONES"/>
    <n v="1069455.6299999999"/>
    <s v="NIC-00036478"/>
    <d v="2025-03-06T00:00:00"/>
    <s v="REGISTRO COMISION FACTORING BBVA"/>
    <x v="57"/>
    <x v="5"/>
    <m/>
    <s v="    "/>
    <m/>
    <x v="2"/>
  </r>
  <r>
    <m/>
    <m/>
    <s v="5502 - COMISIONES"/>
    <n v="53051501"/>
    <s v="BANCOS COMISIONES"/>
    <n v="59241903.100000001"/>
    <s v="NIC-00036516"/>
    <d v="2025-03-08T00:00:00"/>
    <s v="COMISIONES FACTORING BBVA  BAVARIA-GOLOSINAS TRULULU-SUPER DE ALIMENTOS"/>
    <x v="58"/>
    <x v="5"/>
    <m/>
    <s v="    "/>
    <m/>
    <x v="2"/>
  </r>
  <r>
    <m/>
    <m/>
    <s v="5502 - COMISIONES"/>
    <n v="53051501"/>
    <s v="BANCOS COMISIONES"/>
    <n v="153140"/>
    <s v="NIC-00036581"/>
    <d v="2025-03-21T00:00:00"/>
    <s v="Cobro comision por Generacion de extracto bancario- 256096355 BGTA CALI"/>
    <x v="59"/>
    <x v="0"/>
    <m/>
    <s v="    "/>
    <m/>
    <x v="2"/>
  </r>
  <r>
    <m/>
    <m/>
    <s v="5502 - COMISIONES"/>
    <n v="53051501"/>
    <s v="BANCOS COMISIONES"/>
    <n v="239997.6"/>
    <s v="NIC-00036581"/>
    <d v="2025-03-21T00:00:00"/>
    <s v="COMISION BANCARIA CTA CTE 301-44051-7 BACO ITAU"/>
    <x v="59"/>
    <x v="13"/>
    <m/>
    <s v="    "/>
    <m/>
    <x v="2"/>
  </r>
  <r>
    <m/>
    <m/>
    <s v="5502 - COMISIONES"/>
    <n v="53051501"/>
    <s v="BANCOS COMISIONES"/>
    <n v="9020.32"/>
    <s v="NIC-00036581"/>
    <d v="2025-03-21T00:00:00"/>
    <s v="DEBITO POR RECHAZOS- BANCOLOMBIA CTA CTE 80104152201"/>
    <x v="59"/>
    <x v="2"/>
    <m/>
    <s v="    "/>
    <m/>
    <x v="2"/>
  </r>
  <r>
    <m/>
    <m/>
    <s v="5502 - COMISIONES"/>
    <n v="53051501"/>
    <s v="BANCOS COMISIONES"/>
    <n v="-32028.49"/>
    <s v="NIC-00036582"/>
    <d v="2025-03-21T00:00:00"/>
    <s v="DEVOLUCION DE DSF - GASTOS BANCARIOS MES DE FEBRERO 2025 (DSF1104 AL 1114)"/>
    <x v="60"/>
    <x v="4"/>
    <m/>
    <s v="    "/>
    <m/>
    <x v="2"/>
  </r>
  <r>
    <m/>
    <m/>
    <s v="5502 - COMISIONES"/>
    <n v="53051501"/>
    <s v="BANCOS COMISIONES"/>
    <n v="-1675065"/>
    <s v="NIC-00036582"/>
    <d v="2025-03-21T00:00:00"/>
    <s v="DEVOLUCION DE DSF - GASTOS BANCARIOS MES DE FEBRERO 2025 (DSF1104 AL 1114)"/>
    <x v="60"/>
    <x v="0"/>
    <m/>
    <s v="    "/>
    <m/>
    <x v="2"/>
  </r>
  <r>
    <m/>
    <m/>
    <s v="5502 - COMISIONES"/>
    <n v="53051501"/>
    <s v="BANCOS COMISIONES"/>
    <n v="-4209166.1500000004"/>
    <s v="NIC-00036582"/>
    <d v="2025-03-21T00:00:00"/>
    <s v="DEVOLUCION DE DSF - GASTOS BANCARIOS MES DE FEBRERO 2025 (DSF1104 AL 1114)"/>
    <x v="60"/>
    <x v="2"/>
    <m/>
    <s v="    "/>
    <m/>
    <x v="2"/>
  </r>
  <r>
    <m/>
    <m/>
    <s v="5502 - COMISIONES"/>
    <n v="53051501"/>
    <s v="BANCOS COMISIONES"/>
    <n v="-284369.99"/>
    <s v="NIC-00036582"/>
    <d v="2025-03-21T00:00:00"/>
    <s v="DEVOLUCION DE DSF - GASTOS BANCARIOS MES DE FEBRERO 2025 (DSF1104 AL 1114)"/>
    <x v="60"/>
    <x v="8"/>
    <m/>
    <s v="    "/>
    <m/>
    <x v="2"/>
  </r>
  <r>
    <m/>
    <m/>
    <s v="5502 - COMISIONES"/>
    <n v="53051501"/>
    <s v="BANCOS COMISIONES"/>
    <n v="-51359811.799999997"/>
    <s v="NIC-00036582"/>
    <d v="2025-03-21T00:00:00"/>
    <s v="DEVOLUCION DE DSF - GASTOS BANCARIOS MES DE FEBRERO 2025 (DSF1104 AL 1114)"/>
    <x v="60"/>
    <x v="5"/>
    <m/>
    <s v="    "/>
    <m/>
    <x v="2"/>
  </r>
  <r>
    <m/>
    <m/>
    <s v="5502 - COMISIONES"/>
    <n v="53051501"/>
    <s v="BANCOS COMISIONES"/>
    <n v="-8162148"/>
    <s v="NIC-00036582"/>
    <d v="2025-03-21T00:00:00"/>
    <s v="DEVOLUCION DE DSF - GASTOS BANCARIOS MES DE FEBRERO 2025 (DSF1104 AL 1114)"/>
    <x v="60"/>
    <x v="3"/>
    <m/>
    <s v="    "/>
    <m/>
    <x v="2"/>
  </r>
  <r>
    <m/>
    <m/>
    <s v="5502 - COMISIONES"/>
    <n v="53051501"/>
    <s v="BANCOS COMISIONES"/>
    <n v="-3558750"/>
    <s v="NIC-00036582"/>
    <d v="2025-03-21T00:00:00"/>
    <s v="DEVOLUCION DE DSF - GASTOS BANCARIOS MES DE FEBRERO 2025 (DSF1104 AL 1114)"/>
    <x v="60"/>
    <x v="7"/>
    <m/>
    <s v="    "/>
    <m/>
    <x v="2"/>
  </r>
  <r>
    <m/>
    <m/>
    <s v="5502 - COMISIONES"/>
    <n v="53051501"/>
    <s v="BANCOS COMISIONES"/>
    <n v="-3558750"/>
    <s v="NIC-00036582"/>
    <d v="2025-03-21T00:00:00"/>
    <s v="DEVOLUCION DE DSF - GASTOS BANCARIOS MES DE FEBRERO 2025 (DSF1104 AL 1114)"/>
    <x v="60"/>
    <x v="6"/>
    <m/>
    <s v="    "/>
    <m/>
    <x v="2"/>
  </r>
  <r>
    <m/>
    <m/>
    <s v="5502 - COMISIONES"/>
    <n v="53051501"/>
    <s v="BANCOS COMISIONES"/>
    <n v="16653281.57"/>
    <s v="NIC-00036745"/>
    <d v="2025-03-31T00:00:00"/>
    <s v="RECLASIFICACION COMISIONES FACTORING BBVA NIC-36470"/>
    <x v="61"/>
    <x v="5"/>
    <m/>
    <s v="    "/>
    <m/>
    <x v="2"/>
  </r>
  <r>
    <m/>
    <m/>
    <s v="5502 - COMISIONES"/>
    <n v="53051501"/>
    <s v="BANCOS COMISIONES"/>
    <n v="3529"/>
    <s v="NIP-00016497"/>
    <d v="2025-01-08T00:00:00"/>
    <s v="CONTABILIZACIÓN IVA COMISON 4*1000"/>
    <x v="48"/>
    <x v="2"/>
    <m/>
    <s v="    "/>
    <m/>
    <x v="0"/>
  </r>
  <r>
    <m/>
    <m/>
    <s v="5502 - COMISIONES"/>
    <n v="53051501"/>
    <s v="BANCOS COMISIONES"/>
    <n v="7058"/>
    <s v="NIP-00016498"/>
    <d v="2025-01-08T00:00:00"/>
    <s v="CONTABILIZACIÓN IVA COMISON 4*1000"/>
    <x v="48"/>
    <x v="2"/>
    <m/>
    <s v="    "/>
    <m/>
    <x v="0"/>
  </r>
  <r>
    <m/>
    <m/>
    <s v="5502 - COMISIONES"/>
    <n v="53051501"/>
    <s v="BANCOS COMISIONES"/>
    <n v="3529"/>
    <s v="NIP-00016519"/>
    <d v="2025-01-14T00:00:00"/>
    <s v="CONTABILIZACIÓN IVA COMISION 4*1000"/>
    <x v="47"/>
    <x v="2"/>
    <m/>
    <s v="    "/>
    <m/>
    <x v="0"/>
  </r>
  <r>
    <m/>
    <m/>
    <s v="5502 - COMISIONES"/>
    <n v="53051501"/>
    <s v="BANCOS COMISIONES"/>
    <n v="3529"/>
    <s v="NIP-00016556"/>
    <d v="2025-01-21T00:00:00"/>
    <s v="CONTAN¿BILIZACIÓN IVA 4*1000 COMISION"/>
    <x v="62"/>
    <x v="2"/>
    <m/>
    <s v="    "/>
    <m/>
    <x v="0"/>
  </r>
  <r>
    <m/>
    <m/>
    <s v="5502 - COMISIONES"/>
    <n v="53051501"/>
    <s v="BANCOS COMISIONES"/>
    <n v="3529"/>
    <s v="NIP-00016562"/>
    <d v="2025-01-22T00:00:00"/>
    <s v="contabilización iva comision 4*1000"/>
    <x v="47"/>
    <x v="2"/>
    <m/>
    <s v="    "/>
    <m/>
    <x v="0"/>
  </r>
  <r>
    <m/>
    <m/>
    <s v="5502 - COMISIONES"/>
    <n v="53051501"/>
    <s v="BANCOS COMISIONES"/>
    <n v="3529"/>
    <s v="NIP-00016588"/>
    <d v="2025-01-27T00:00:00"/>
    <s v="CONTABILIZACIÓN IVA COMISION 4*1000"/>
    <x v="47"/>
    <x v="2"/>
    <m/>
    <s v="    "/>
    <m/>
    <x v="0"/>
  </r>
  <r>
    <m/>
    <m/>
    <s v="5502 - COMISIONES"/>
    <n v="53051501"/>
    <s v="BANCOS COMISIONES"/>
    <n v="3529"/>
    <s v="NIP-00016610"/>
    <d v="2025-01-29T00:00:00"/>
    <s v="contabilización de iva comision 4*1000"/>
    <x v="63"/>
    <x v="2"/>
    <m/>
    <s v="    "/>
    <m/>
    <x v="0"/>
  </r>
  <r>
    <m/>
    <m/>
    <s v="5502 - COMISIONES"/>
    <n v="53051501"/>
    <s v="BANCOS COMISIONES"/>
    <n v="3529"/>
    <s v="NIP-00016714"/>
    <d v="2025-02-14T00:00:00"/>
    <s v="CONTABILIZACIÓN IVA COMISION 4*1000"/>
    <x v="47"/>
    <x v="2"/>
    <m/>
    <s v="    "/>
    <m/>
    <x v="1"/>
  </r>
  <r>
    <m/>
    <m/>
    <s v="5502 - COMISIONES"/>
    <n v="53051501"/>
    <s v="BANCOS COMISIONES"/>
    <n v="3529"/>
    <s v="NIP-00016723"/>
    <d v="2025-02-18T00:00:00"/>
    <s v="CONTABILIZACIÓN IVA COMISON 4*1000"/>
    <x v="48"/>
    <x v="2"/>
    <m/>
    <s v="    "/>
    <m/>
    <x v="1"/>
  </r>
  <r>
    <m/>
    <m/>
    <s v="5502 - COMISIONES"/>
    <n v="53051501"/>
    <s v="BANCOS COMISIONES"/>
    <n v="3529"/>
    <s v="NIP-00016767"/>
    <d v="2025-02-25T00:00:00"/>
    <s v="CONTABILIZACIÓN IVA COMISON 4*1000"/>
    <x v="48"/>
    <x v="2"/>
    <m/>
    <s v="    "/>
    <m/>
    <x v="1"/>
  </r>
  <r>
    <m/>
    <m/>
    <s v="5502 - COMISIONES"/>
    <n v="53051501"/>
    <s v="BANCOS COMISIONES"/>
    <n v="5112511"/>
    <s v="NIP-00016803"/>
    <d v="2025-02-28T00:00:00"/>
    <s v="CLFV21037 - COMISIONES - SERV DE REGISTRO BMN 8600071250 - IVA SRRV REGISTRADO BMC 19%"/>
    <x v="64"/>
    <x v="15"/>
    <m/>
    <s v="    "/>
    <m/>
    <x v="1"/>
  </r>
  <r>
    <m/>
    <m/>
    <s v="5502 - COMISIONES"/>
    <n v="53051501"/>
    <s v="BANCOS COMISIONES"/>
    <n v="17909491"/>
    <s v="NIP-00016804"/>
    <d v="2025-02-28T00:00:00"/>
    <s v="CLFV21038- COMISIONES - SERV DE REGISTRO BMN 8600071250 - IVA SRRV REGISTRADO BMC 19%"/>
    <x v="65"/>
    <x v="15"/>
    <m/>
    <s v="    "/>
    <m/>
    <x v="1"/>
  </r>
  <r>
    <m/>
    <m/>
    <s v="5502 - COMISIONES"/>
    <n v="53051501"/>
    <s v="BANCOS COMISIONES"/>
    <n v="3529"/>
    <s v="NIP-00016805"/>
    <d v="2025-03-04T00:00:00"/>
    <s v="CONTABILIZACIÓN IVA COMISION 4*1000"/>
    <x v="47"/>
    <x v="2"/>
    <m/>
    <s v="    "/>
    <m/>
    <x v="2"/>
  </r>
  <r>
    <m/>
    <m/>
    <s v="5502 - COMISIONES"/>
    <n v="53051501"/>
    <s v="BANCOS COMISIONES"/>
    <n v="3529"/>
    <s v="NIP-00016806"/>
    <d v="2025-03-04T00:00:00"/>
    <s v="CONTABILIZACION IVA COMISION 4*1000"/>
    <x v="66"/>
    <x v="2"/>
    <m/>
    <s v="    "/>
    <m/>
    <x v="2"/>
  </r>
  <r>
    <m/>
    <m/>
    <s v="5502 - COMISIONES"/>
    <n v="53051501"/>
    <s v="BANCOS COMISIONES"/>
    <n v="3529"/>
    <s v="NIP-00016808"/>
    <d v="2025-03-05T00:00:00"/>
    <s v="CONTABILIZACIÓN IVA COMISION 4*1000"/>
    <x v="47"/>
    <x v="2"/>
    <m/>
    <s v="    "/>
    <m/>
    <x v="2"/>
  </r>
  <r>
    <m/>
    <m/>
    <s v="5502 - COMISIONES"/>
    <n v="53051501"/>
    <s v="BANCOS COMISIONES"/>
    <n v="3529"/>
    <s v="NIP-00016816"/>
    <d v="2025-03-05T00:00:00"/>
    <s v="contabilización iva comision 4*1000"/>
    <x v="47"/>
    <x v="2"/>
    <m/>
    <s v="    "/>
    <m/>
    <x v="2"/>
  </r>
  <r>
    <m/>
    <m/>
    <s v="5502 - COMISIONES"/>
    <n v="53051501"/>
    <s v="BANCOS COMISIONES"/>
    <n v="3529"/>
    <s v="NIP-00016829"/>
    <d v="2025-03-11T00:00:00"/>
    <s v="CONTABILIZACIÓN IVA COMOSION 4*1000"/>
    <x v="67"/>
    <x v="2"/>
    <m/>
    <s v="    "/>
    <m/>
    <x v="2"/>
  </r>
  <r>
    <m/>
    <m/>
    <s v="5502 - COMISIONES"/>
    <n v="53051501"/>
    <s v="BANCOS COMISIONES"/>
    <n v="3529"/>
    <s v="NIP-00016830"/>
    <d v="2025-03-11T00:00:00"/>
    <s v="CONTABILIZACIÓN IVA COMISION 4*1000"/>
    <x v="47"/>
    <x v="2"/>
    <m/>
    <s v="    "/>
    <m/>
    <x v="2"/>
  </r>
  <r>
    <m/>
    <m/>
    <s v="5502 - COMISIONES"/>
    <n v="53051501"/>
    <s v="BANCOS COMISIONES"/>
    <n v="3529"/>
    <s v="NIP-00016882"/>
    <d v="2025-03-21T00:00:00"/>
    <s v="contabilizacion iva comison 4*1000"/>
    <x v="49"/>
    <x v="2"/>
    <m/>
    <s v="    "/>
    <m/>
    <x v="2"/>
  </r>
  <r>
    <m/>
    <m/>
    <s v="5502 - COMISIONES"/>
    <n v="53051501"/>
    <s v="BANCOS COMISIONES"/>
    <n v="3529"/>
    <s v="NIP-00016905"/>
    <d v="2025-03-26T00:00:00"/>
    <s v="CONTABILIZACION IVA COMISION 4*1000"/>
    <x v="66"/>
    <x v="2"/>
    <m/>
    <s v="    "/>
    <m/>
    <x v="2"/>
  </r>
  <r>
    <m/>
    <m/>
    <s v="5502 - COMISIONES"/>
    <n v="53051501"/>
    <s v="BANCOS COMISIONES"/>
    <n v="3529"/>
    <s v="NIP-00016906"/>
    <d v="2025-03-26T00:00:00"/>
    <s v="CONTABILIZACIÓN IVA COMISION 4*1000"/>
    <x v="47"/>
    <x v="2"/>
    <m/>
    <s v="    "/>
    <m/>
    <x v="2"/>
  </r>
  <r>
    <m/>
    <m/>
    <s v="5502 - COMISIONES"/>
    <n v="53051501"/>
    <s v="BANCOS COMISIONES"/>
    <n v="15186483"/>
    <s v="NIP-00016934"/>
    <d v="2025-03-31T00:00:00"/>
    <s v="CLFV21377 - SERV REGISTRADO BMC 8600071250"/>
    <x v="68"/>
    <x v="15"/>
    <m/>
    <s v="    "/>
    <m/>
    <x v="2"/>
  </r>
  <r>
    <m/>
    <m/>
    <s v="5502 - COMISIONES"/>
    <n v="53051501"/>
    <s v="BANCOS COMISIONES"/>
    <n v="4782185"/>
    <s v="NIP-00016935"/>
    <d v="2025-03-31T00:00:00"/>
    <s v="CLFV21376 - SERV REGISTRADO BMC 8600071250"/>
    <x v="69"/>
    <x v="15"/>
    <m/>
    <s v="    "/>
    <m/>
    <x v="2"/>
  </r>
  <r>
    <s v="Gran total"/>
    <m/>
    <m/>
    <m/>
    <m/>
    <n v="322155624.35000002"/>
    <m/>
    <m/>
    <m/>
    <x v="70"/>
    <x v="16"/>
    <m/>
    <m/>
    <m/>
    <x v="0"/>
  </r>
  <r>
    <m/>
    <m/>
    <m/>
    <m/>
    <m/>
    <m/>
    <m/>
    <m/>
    <m/>
    <x v="70"/>
    <x v="16"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m/>
    <m/>
    <x v="0"/>
    <x v="0"/>
    <x v="0"/>
    <n v="2190"/>
    <s v="NIB-00005736"/>
    <d v="2025-01-07T00:00:00"/>
    <s v="PAGO DE DEPOSITOS JUDICIALES - COMPROBANTE DE PAGO: 1491465 - ARCHIVO: 30030 - INGENIO CARMELITA - ARCHIVO: GD20250107018919001961"/>
    <x v="0"/>
    <x v="0"/>
    <m/>
    <s v="DSF "/>
    <m/>
    <x v="0"/>
    <s v="Enero"/>
  </r>
  <r>
    <m/>
    <m/>
    <x v="0"/>
    <x v="0"/>
    <x v="0"/>
    <n v="3529"/>
    <s v="NIP-00016497"/>
    <d v="2025-01-08T00:00:00"/>
    <s v="CONTABILIZACIÓN IVA COMISON 4*1000"/>
    <x v="1"/>
    <x v="1"/>
    <m/>
    <s v="DSF "/>
    <m/>
    <x v="0"/>
    <s v="Enero"/>
  </r>
  <r>
    <m/>
    <m/>
    <x v="0"/>
    <x v="0"/>
    <x v="0"/>
    <n v="7058"/>
    <s v="NIP-00016498"/>
    <d v="2025-01-08T00:00:00"/>
    <s v="CONTABILIZACIÓN IVA COMISON 4*1000"/>
    <x v="1"/>
    <x v="1"/>
    <m/>
    <s v="DSF "/>
    <m/>
    <x v="0"/>
    <s v="Enero"/>
  </r>
  <r>
    <m/>
    <m/>
    <x v="0"/>
    <x v="0"/>
    <x v="0"/>
    <n v="3529"/>
    <s v="NIP-00016519"/>
    <d v="2025-01-14T00:00:00"/>
    <s v="CONTABILIZACIÓN IVA COMISION 4*1000"/>
    <x v="2"/>
    <x v="1"/>
    <m/>
    <s v="DSF "/>
    <m/>
    <x v="0"/>
    <s v="Enero"/>
  </r>
  <r>
    <m/>
    <m/>
    <x v="0"/>
    <x v="0"/>
    <x v="0"/>
    <n v="2650"/>
    <s v="NIB-00005915"/>
    <d v="2025-01-17T00:00:00"/>
    <s v="GASTOS BANCARIOS POPULAR 2276 MES DE ENERO 2025"/>
    <x v="3"/>
    <x v="2"/>
    <m/>
    <s v="DSF "/>
    <m/>
    <x v="0"/>
    <s v="Enero"/>
  </r>
  <r>
    <m/>
    <m/>
    <x v="0"/>
    <x v="0"/>
    <x v="0"/>
    <n v="3529"/>
    <s v="NIP-00016556"/>
    <d v="2025-01-21T00:00:00"/>
    <s v="CONTAN¿BILIZACIÓN IVA 4*1000 COMISION"/>
    <x v="4"/>
    <x v="1"/>
    <m/>
    <s v="DSF "/>
    <m/>
    <x v="0"/>
    <s v="Enero"/>
  </r>
  <r>
    <m/>
    <m/>
    <x v="0"/>
    <x v="0"/>
    <x v="0"/>
    <n v="3529"/>
    <s v="NIP-00016562"/>
    <d v="2025-01-22T00:00:00"/>
    <s v="CONTABILIZACIÓN IVA COMISION 4*1000"/>
    <x v="2"/>
    <x v="1"/>
    <m/>
    <s v="DSF "/>
    <m/>
    <x v="0"/>
    <s v="Enero"/>
  </r>
  <r>
    <m/>
    <m/>
    <x v="0"/>
    <x v="0"/>
    <x v="0"/>
    <n v="3529"/>
    <s v="NIP-00016588"/>
    <d v="2025-01-27T00:00:00"/>
    <s v="CONTABILIZACIÓN IVA COMISION 4*1000"/>
    <x v="2"/>
    <x v="1"/>
    <m/>
    <s v="DSF "/>
    <m/>
    <x v="0"/>
    <s v="Enero"/>
  </r>
  <r>
    <m/>
    <m/>
    <x v="0"/>
    <x v="0"/>
    <x v="0"/>
    <n v="38140"/>
    <s v="DSF-00001059"/>
    <d v="2025-01-29T00:00:00"/>
    <s v="GASTOS BANCARIOS 27 AL 31 DICIEMBRE 2024 -BGTA CALI"/>
    <x v="5"/>
    <x v="3"/>
    <m/>
    <s v="DSF "/>
    <m/>
    <x v="0"/>
    <s v="Enero"/>
  </r>
  <r>
    <m/>
    <m/>
    <x v="0"/>
    <x v="0"/>
    <x v="0"/>
    <n v="78520"/>
    <s v="DSF-00001059"/>
    <d v="2025-01-29T00:00:00"/>
    <s v="GASTOS BANCARIOS 27 AL 31 DICIEMBRE 2024 -BGTA TULUA"/>
    <x v="5"/>
    <x v="3"/>
    <m/>
    <s v="DSF "/>
    <m/>
    <x v="0"/>
    <s v="Enero"/>
  </r>
  <r>
    <m/>
    <m/>
    <x v="0"/>
    <x v="0"/>
    <x v="0"/>
    <n v="2500"/>
    <s v="DSF-00001060"/>
    <d v="2025-01-29T00:00:00"/>
    <s v="GASTOS BANCARIOS 27 AL 31 DICIEMBRE 2024 -POPULAR 2276"/>
    <x v="6"/>
    <x v="2"/>
    <m/>
    <s v="DSF "/>
    <m/>
    <x v="0"/>
    <s v="Enero"/>
  </r>
  <r>
    <m/>
    <m/>
    <x v="0"/>
    <x v="0"/>
    <x v="0"/>
    <n v="125906.09"/>
    <s v="DSF-00001061"/>
    <d v="2025-01-29T00:00:00"/>
    <s v="GASTOS BANCARIOS 27 AL 31 DICIEMBRE 2024 -BANCOLOMBIA 801"/>
    <x v="7"/>
    <x v="1"/>
    <m/>
    <s v="DSF "/>
    <m/>
    <x v="0"/>
    <s v="Enero"/>
  </r>
  <r>
    <m/>
    <m/>
    <x v="0"/>
    <x v="0"/>
    <x v="0"/>
    <n v="16560"/>
    <s v="DSF-00001061"/>
    <d v="2025-01-29T00:00:00"/>
    <s v="GASTOS BANCARIOS 27 AL 31 DICIEMBRE 2024 -BANCOLOMBIA ESPECIAL"/>
    <x v="7"/>
    <x v="1"/>
    <m/>
    <s v="DSF "/>
    <m/>
    <x v="0"/>
    <s v="Enero"/>
  </r>
  <r>
    <m/>
    <m/>
    <x v="0"/>
    <x v="0"/>
    <x v="0"/>
    <n v="-125906.09"/>
    <s v="NIC-00035976"/>
    <d v="2025-01-29T00:00:00"/>
    <s v="GASTOS BANCARIOS 27 AL 31 DICIEMBRE 2024 -BANCOLOMBIA 801"/>
    <x v="8"/>
    <x v="1"/>
    <m/>
    <s v="DSF "/>
    <m/>
    <x v="0"/>
    <s v="Enero"/>
  </r>
  <r>
    <m/>
    <m/>
    <x v="0"/>
    <x v="0"/>
    <x v="0"/>
    <n v="-16560"/>
    <s v="NIC-00035976"/>
    <d v="2025-01-29T00:00:00"/>
    <s v="GASTOS BANCARIOS 27 AL 31 DICIEMBRE 2024 -BANCOLOMBIA ESPECIAL"/>
    <x v="8"/>
    <x v="1"/>
    <m/>
    <s v="DSF "/>
    <m/>
    <x v="0"/>
    <s v="Enero"/>
  </r>
  <r>
    <m/>
    <m/>
    <x v="0"/>
    <x v="0"/>
    <x v="0"/>
    <n v="-38140"/>
    <s v="NIC-00035976"/>
    <d v="2025-01-29T00:00:00"/>
    <s v="GASTOS BANCARIOS 27 AL 31 DICIEMBRE 2024 -BGTA CALI"/>
    <x v="8"/>
    <x v="3"/>
    <m/>
    <s v="DSF "/>
    <m/>
    <x v="0"/>
    <s v="Enero"/>
  </r>
  <r>
    <m/>
    <m/>
    <x v="0"/>
    <x v="0"/>
    <x v="0"/>
    <n v="-78520"/>
    <s v="NIC-00035976"/>
    <d v="2025-01-29T00:00:00"/>
    <s v="GASTOS BANCARIOS 27 AL 31 DICIEMBRE 2024 -BGTA TULUA"/>
    <x v="8"/>
    <x v="3"/>
    <m/>
    <s v="DSF "/>
    <m/>
    <x v="0"/>
    <s v="Enero"/>
  </r>
  <r>
    <m/>
    <m/>
    <x v="0"/>
    <x v="0"/>
    <x v="0"/>
    <n v="-2500"/>
    <s v="NIC-00035976"/>
    <d v="2025-01-29T00:00:00"/>
    <s v="GASTOS BANCARIOS 27 AL 31 DICIEMBRE 2024 -POPULAR 2276"/>
    <x v="8"/>
    <x v="2"/>
    <m/>
    <s v="DSF "/>
    <m/>
    <x v="0"/>
    <s v="Enero"/>
  </r>
  <r>
    <m/>
    <m/>
    <x v="0"/>
    <x v="0"/>
    <x v="0"/>
    <n v="3529"/>
    <s v="NIP-00016610"/>
    <d v="2025-01-29T00:00:00"/>
    <s v="contabilización de iva comision 4*1000"/>
    <x v="9"/>
    <x v="1"/>
    <m/>
    <s v="DSF "/>
    <m/>
    <x v="0"/>
    <s v="Enero"/>
  </r>
  <r>
    <m/>
    <m/>
    <x v="0"/>
    <x v="0"/>
    <x v="0"/>
    <n v="3558750"/>
    <s v="FAC-00045087"/>
    <d v="2025-01-31T00:00:00"/>
    <s v="FAC132801 - COMISION FIDUCIARIA MES DE ENERO 2025- COMISION FIJA 2.5 SMMLV"/>
    <x v="10"/>
    <x v="4"/>
    <m/>
    <s v="DSF "/>
    <m/>
    <x v="0"/>
    <s v="Enero"/>
  </r>
  <r>
    <m/>
    <m/>
    <x v="0"/>
    <x v="0"/>
    <x v="0"/>
    <n v="3558750"/>
    <s v="FAC-00045088"/>
    <d v="2025-01-31T00:00:00"/>
    <s v="SOC81109 -  COMISION POR ADMINISTRACION MES DE ENERO 2025 - EA"/>
    <x v="11"/>
    <x v="5"/>
    <m/>
    <s v="DSF "/>
    <m/>
    <x v="0"/>
    <s v="Enero"/>
  </r>
  <r>
    <m/>
    <m/>
    <x v="0"/>
    <x v="0"/>
    <x v="0"/>
    <n v="9600.49"/>
    <s v="NIB-00005875"/>
    <d v="2025-01-31T00:00:00"/>
    <s v="COSTO DE TRANSACCION -PAGO DE FACTURAS A NOMBRE DE INGENIERIA Y EQUIPOS PARA LA INGENIERIA"/>
    <x v="12"/>
    <x v="1"/>
    <m/>
    <s v="DSF "/>
    <m/>
    <x v="0"/>
    <s v="Enero"/>
  </r>
  <r>
    <m/>
    <m/>
    <x v="0"/>
    <x v="0"/>
    <x v="0"/>
    <n v="1824"/>
    <s v="NIB-00005875"/>
    <d v="2025-01-31T00:00:00"/>
    <s v="IVA DE TRANSACCION  -PAGO DE FACTURAS A NOMBRE DE INGENIERIA Y EQUIPOS PARA LA INGENIERIA"/>
    <x v="12"/>
    <x v="1"/>
    <m/>
    <s v="    "/>
    <m/>
    <x v="0"/>
    <s v="Enero"/>
  </r>
  <r>
    <m/>
    <m/>
    <x v="0"/>
    <x v="0"/>
    <x v="0"/>
    <n v="3867500"/>
    <s v="NIB-00005899"/>
    <d v="2025-01-31T00:00:00"/>
    <s v="COMISION FIJA MES DE ENERO 2025"/>
    <x v="13"/>
    <x v="5"/>
    <m/>
    <s v="    "/>
    <m/>
    <x v="0"/>
    <s v="Enero"/>
  </r>
  <r>
    <m/>
    <m/>
    <x v="0"/>
    <x v="0"/>
    <x v="0"/>
    <n v="514829.43"/>
    <s v="NIB-00005902"/>
    <d v="2025-01-31T00:00:00"/>
    <s v="GASTOS BANCARIOS MES DE ENERO 2025- BANCOLOMBIA PANAMA"/>
    <x v="14"/>
    <x v="6"/>
    <m/>
    <s v="    "/>
    <m/>
    <x v="0"/>
    <s v="Enero"/>
  </r>
  <r>
    <m/>
    <m/>
    <x v="0"/>
    <x v="0"/>
    <x v="0"/>
    <n v="4280613"/>
    <s v="NIB-00005906"/>
    <d v="2025-01-31T00:00:00"/>
    <s v="GASTOS BANCARIOS BOGOTA TULUA 612036319- MES DE ENERO 2025"/>
    <x v="15"/>
    <x v="3"/>
    <m/>
    <s v="    "/>
    <m/>
    <x v="0"/>
    <s v="Enero"/>
  </r>
  <r>
    <m/>
    <m/>
    <x v="0"/>
    <x v="0"/>
    <x v="0"/>
    <n v="4700320.55"/>
    <s v="NIB-00005911"/>
    <d v="2025-01-31T00:00:00"/>
    <s v="GASTOS BANCARIOS BANCOLOMBIA CTA CTE 80104152201 - MES DE ENERO 2025"/>
    <x v="16"/>
    <x v="1"/>
    <m/>
    <s v="    "/>
    <m/>
    <x v="0"/>
    <s v="Enero"/>
  </r>
  <r>
    <m/>
    <m/>
    <x v="0"/>
    <x v="0"/>
    <x v="0"/>
    <n v="9801719"/>
    <s v="NIB-00005919"/>
    <d v="2025-01-31T00:00:00"/>
    <s v="GASTOS BANCARIOS DAVIVIENDA 7678 MES DE ENERO 2025"/>
    <x v="17"/>
    <x v="7"/>
    <m/>
    <s v="    "/>
    <m/>
    <x v="0"/>
    <s v="Enero"/>
  </r>
  <r>
    <m/>
    <m/>
    <x v="0"/>
    <x v="0"/>
    <x v="0"/>
    <n v="22436"/>
    <s v="NIB-00005936"/>
    <d v="2025-01-31T00:00:00"/>
    <s v="GASTOS BANCARIOS BGTA CALI 256096355 MES DE ENERO 2025"/>
    <x v="18"/>
    <x v="3"/>
    <m/>
    <s v="    "/>
    <m/>
    <x v="0"/>
    <s v="Enero"/>
  </r>
  <r>
    <m/>
    <m/>
    <x v="0"/>
    <x v="1"/>
    <x v="1"/>
    <n v="7087724.7999999998"/>
    <s v="NIC-00036152"/>
    <d v="2025-01-31T00:00:00"/>
    <s v="COMISIONES FACTORIGN TRULULU FAN-28253-255  SUPER ALIMENTOS  28207-225-261-262"/>
    <x v="19"/>
    <x v="8"/>
    <m/>
    <s v="    "/>
    <m/>
    <x v="0"/>
    <s v="Enero"/>
  </r>
  <r>
    <m/>
    <m/>
    <x v="0"/>
    <x v="1"/>
    <x v="1"/>
    <n v="36839957.280000001"/>
    <s v="NIC-00036152"/>
    <d v="2025-01-31T00:00:00"/>
    <s v="REGISTRO COMISION FACTORING BBVA FAN-27806-848-849-850-862-863-864"/>
    <x v="19"/>
    <x v="8"/>
    <m/>
    <s v="    "/>
    <m/>
    <x v="0"/>
    <s v="Enero"/>
  </r>
  <r>
    <m/>
    <m/>
    <x v="0"/>
    <x v="0"/>
    <x v="0"/>
    <n v="3529"/>
    <s v="NIC-00036050"/>
    <d v="2025-02-04T00:00:00"/>
    <s v="CONTABILIZACIÓN IVA COMISION 4*1000"/>
    <x v="2"/>
    <x v="1"/>
    <m/>
    <s v="    "/>
    <m/>
    <x v="1"/>
    <s v="Febrero"/>
  </r>
  <r>
    <m/>
    <m/>
    <x v="0"/>
    <x v="0"/>
    <x v="0"/>
    <n v="3529"/>
    <s v="NIC-00036051"/>
    <d v="2025-02-04T00:00:00"/>
    <s v="CONTABILIZACIÓN IVA COMISION 4*1000"/>
    <x v="1"/>
    <x v="1"/>
    <m/>
    <s v="    "/>
    <m/>
    <x v="1"/>
    <s v="Febrero"/>
  </r>
  <r>
    <m/>
    <m/>
    <x v="0"/>
    <x v="0"/>
    <x v="0"/>
    <n v="3529"/>
    <s v="NIC-00036053"/>
    <d v="2025-02-04T00:00:00"/>
    <s v="CONTABILIZACIÓN IVA COMISION 4*1000"/>
    <x v="20"/>
    <x v="1"/>
    <m/>
    <s v="    "/>
    <m/>
    <x v="1"/>
    <s v="Febrero"/>
  </r>
  <r>
    <m/>
    <m/>
    <x v="0"/>
    <x v="0"/>
    <x v="0"/>
    <n v="11004"/>
    <s v="NIB-00005978"/>
    <d v="2025-02-07T00:00:00"/>
    <s v="PAGO DE DEPOSITOS JUCIALES ICSA - 1499295 - SECUENCIAL DEL ARCHIVO: GD202502070891001961_01.TXT"/>
    <x v="21"/>
    <x v="0"/>
    <m/>
    <s v="    "/>
    <m/>
    <x v="1"/>
    <s v="Febrero"/>
  </r>
  <r>
    <m/>
    <m/>
    <x v="0"/>
    <x v="0"/>
    <x v="0"/>
    <n v="9600"/>
    <s v="NIB-00005995"/>
    <d v="2025-02-14T00:00:00"/>
    <s v="PAGO DE DEPOSITOS JUDICIALES - INGENIERIA Y EQUIPOS PARA LA INDUSTRIA - CODIGO DEL JUZGADO 760012031004 - NUMEOR DE PROCESO 7600131030042023000800"/>
    <x v="22"/>
    <x v="0"/>
    <m/>
    <s v="    "/>
    <m/>
    <x v="1"/>
    <s v="Febrero"/>
  </r>
  <r>
    <m/>
    <m/>
    <x v="0"/>
    <x v="0"/>
    <x v="0"/>
    <n v="3529"/>
    <s v="NIP-00016714"/>
    <d v="2025-02-14T00:00:00"/>
    <s v="CONTABILIZACIÓN IVA COMISION 4*1000"/>
    <x v="2"/>
    <x v="1"/>
    <m/>
    <s v="    "/>
    <m/>
    <x v="1"/>
    <s v="Febrero"/>
  </r>
  <r>
    <m/>
    <m/>
    <x v="0"/>
    <x v="0"/>
    <x v="0"/>
    <n v="3529"/>
    <s v="NIP-00016723"/>
    <d v="2025-02-18T00:00:00"/>
    <s v="CONTABILIZACIÓN IVA COMISON 4*1000"/>
    <x v="1"/>
    <x v="1"/>
    <m/>
    <s v="    "/>
    <m/>
    <x v="1"/>
    <s v="Febrero"/>
  </r>
  <r>
    <m/>
    <m/>
    <x v="0"/>
    <x v="0"/>
    <x v="0"/>
    <n v="4303049"/>
    <s v="DSF-00001074"/>
    <d v="2025-02-19T00:00:00"/>
    <s v="GASTOS BANCARIOS CORRESPONDIENTES AL MES DE ENERO 2025"/>
    <x v="23"/>
    <x v="3"/>
    <m/>
    <s v="    "/>
    <m/>
    <x v="1"/>
    <s v="Febrero"/>
  </r>
  <r>
    <m/>
    <m/>
    <x v="0"/>
    <x v="0"/>
    <x v="0"/>
    <n v="4739977.04"/>
    <s v="DSF-00001076"/>
    <d v="2025-02-19T00:00:00"/>
    <s v="GASTOS BANCARIOS CORRESPONDIENTES AL MES DE ENERO 2025"/>
    <x v="23"/>
    <x v="1"/>
    <m/>
    <s v="    "/>
    <m/>
    <x v="1"/>
    <s v="Febrero"/>
  </r>
  <r>
    <m/>
    <m/>
    <x v="0"/>
    <x v="0"/>
    <x v="0"/>
    <n v="9801719"/>
    <s v="DSF-00001077"/>
    <d v="2025-02-19T00:00:00"/>
    <s v="GASTOS BANCARIOS CORRESPONDIENTES AL MES DE ENERO 2025"/>
    <x v="23"/>
    <x v="7"/>
    <m/>
    <s v="    "/>
    <m/>
    <x v="1"/>
    <s v="Febrero"/>
  </r>
  <r>
    <m/>
    <m/>
    <x v="0"/>
    <x v="0"/>
    <x v="0"/>
    <n v="2190"/>
    <s v="DSF-00001078"/>
    <d v="2025-02-19T00:00:00"/>
    <s v="GASTOS BANCARIOS CORRESPONDIENTES AL MES DE ENERO 2025"/>
    <x v="23"/>
    <x v="0"/>
    <m/>
    <s v="    "/>
    <m/>
    <x v="1"/>
    <s v="Febrero"/>
  </r>
  <r>
    <m/>
    <m/>
    <x v="0"/>
    <x v="0"/>
    <x v="0"/>
    <n v="2650"/>
    <s v="DSF-00001079"/>
    <d v="2025-02-19T00:00:00"/>
    <s v="GASTOS BANCARIOS CORRESPONDIENTES AL MES DE ENERO 2025"/>
    <x v="23"/>
    <x v="2"/>
    <m/>
    <s v="    "/>
    <m/>
    <x v="1"/>
    <s v="Febrero"/>
  </r>
  <r>
    <m/>
    <m/>
    <x v="0"/>
    <x v="0"/>
    <x v="0"/>
    <n v="43927682.079999998"/>
    <s v="DSF-00001081"/>
    <d v="2025-02-19T00:00:00"/>
    <s v="GASTOS BANCARIOS CORRESPONDIENTES AL MES DE ENERO 2025"/>
    <x v="23"/>
    <x v="8"/>
    <m/>
    <s v="    "/>
    <m/>
    <x v="1"/>
    <s v="Febrero"/>
  </r>
  <r>
    <m/>
    <m/>
    <x v="0"/>
    <x v="0"/>
    <x v="0"/>
    <n v="3558750"/>
    <s v="DSF-00001082"/>
    <d v="2025-02-19T00:00:00"/>
    <s v="GASTOS BANCARIOS CORRESPONDIENTES AL MES DE ENERO 2025"/>
    <x v="23"/>
    <x v="4"/>
    <m/>
    <s v="    "/>
    <m/>
    <x v="1"/>
    <s v="Febrero"/>
  </r>
  <r>
    <m/>
    <m/>
    <x v="0"/>
    <x v="0"/>
    <x v="0"/>
    <n v="7426250"/>
    <s v="DSF-00001083"/>
    <d v="2025-02-19T00:00:00"/>
    <s v="GASTOS BANCARIOS CORRESPONDIENTES AL MES DE ENERO 2025"/>
    <x v="23"/>
    <x v="5"/>
    <m/>
    <s v="    "/>
    <m/>
    <x v="1"/>
    <s v="Febrero"/>
  </r>
  <r>
    <m/>
    <m/>
    <x v="0"/>
    <x v="0"/>
    <x v="0"/>
    <n v="514829.43"/>
    <s v="DSF-00001084"/>
    <d v="2025-02-19T00:00:00"/>
    <s v="GASTOS BANCARIOS CORRESPONDIENTES AL MES DE ENERO 2025"/>
    <x v="23"/>
    <x v="6"/>
    <m/>
    <s v="    "/>
    <m/>
    <x v="1"/>
    <s v="Febrero"/>
  </r>
  <r>
    <m/>
    <m/>
    <x v="0"/>
    <x v="0"/>
    <x v="0"/>
    <n v="-2190"/>
    <s v="NIC-00036228"/>
    <d v="2025-02-19T00:00:00"/>
    <s v="DEVOLUCION DE DSF - GASTOS BANCARIOS MES DE ENERO 2025"/>
    <x v="24"/>
    <x v="0"/>
    <m/>
    <s v="    "/>
    <m/>
    <x v="1"/>
    <s v="Febrero"/>
  </r>
  <r>
    <m/>
    <m/>
    <x v="0"/>
    <x v="0"/>
    <x v="0"/>
    <n v="-3558750"/>
    <s v="NIC-00036228"/>
    <d v="2025-02-19T00:00:00"/>
    <s v="DEVOLUCION DE DSF - GASTOS BANCARIOS MES DE ENERO 2025"/>
    <x v="24"/>
    <x v="4"/>
    <m/>
    <s v="    "/>
    <m/>
    <x v="1"/>
    <s v="Febrero"/>
  </r>
  <r>
    <m/>
    <m/>
    <x v="0"/>
    <x v="0"/>
    <x v="0"/>
    <n v="-7426250"/>
    <s v="NIC-00036228"/>
    <d v="2025-02-19T00:00:00"/>
    <s v="DEVOLUCION DE DSF - GASTOS BANCARIOS MES DE ENERO 2025"/>
    <x v="24"/>
    <x v="5"/>
    <m/>
    <s v="    "/>
    <m/>
    <x v="1"/>
    <s v="Febrero"/>
  </r>
  <r>
    <m/>
    <m/>
    <x v="0"/>
    <x v="0"/>
    <x v="0"/>
    <n v="-4303049"/>
    <s v="NIC-00036228"/>
    <d v="2025-02-19T00:00:00"/>
    <s v="DEVOLUCION DE DSF - GASTOS BANCARIOS MES DE ENERO 2025"/>
    <x v="24"/>
    <x v="3"/>
    <m/>
    <s v="    "/>
    <m/>
    <x v="1"/>
    <s v="Febrero"/>
  </r>
  <r>
    <m/>
    <m/>
    <x v="0"/>
    <x v="0"/>
    <x v="0"/>
    <n v="-43927682.079999998"/>
    <s v="NIC-00036228"/>
    <d v="2025-02-19T00:00:00"/>
    <s v="DEVOLUCION DE DSF - GASTOS BANCARIOS MES DE ENERO 2025"/>
    <x v="24"/>
    <x v="8"/>
    <m/>
    <s v="    "/>
    <m/>
    <x v="1"/>
    <s v="Febrero"/>
  </r>
  <r>
    <m/>
    <m/>
    <x v="0"/>
    <x v="0"/>
    <x v="0"/>
    <n v="-2650"/>
    <s v="NIC-00036228"/>
    <d v="2025-02-19T00:00:00"/>
    <s v="DEVOLUCION DE DSF - GASTOS BANCARIOS MES DE ENERO 2025"/>
    <x v="24"/>
    <x v="2"/>
    <m/>
    <s v="    "/>
    <m/>
    <x v="1"/>
    <s v="Febrero"/>
  </r>
  <r>
    <m/>
    <m/>
    <x v="0"/>
    <x v="0"/>
    <x v="0"/>
    <n v="-9801719"/>
    <s v="NIC-00036228"/>
    <d v="2025-02-19T00:00:00"/>
    <s v="DEVOLUCION DE DSF - GASTOS BANCARIOS MES DE ENERO 2025"/>
    <x v="24"/>
    <x v="7"/>
    <m/>
    <s v="    "/>
    <m/>
    <x v="1"/>
    <s v="Febrero"/>
  </r>
  <r>
    <m/>
    <m/>
    <x v="0"/>
    <x v="0"/>
    <x v="0"/>
    <n v="-4739977.04"/>
    <s v="NIC-00036228"/>
    <d v="2025-02-19T00:00:00"/>
    <s v="DEVOLUCION DE DSF - GASTOS BANCARIOS MES DE ENERO 2025"/>
    <x v="24"/>
    <x v="1"/>
    <m/>
    <s v="    "/>
    <m/>
    <x v="1"/>
    <s v="Febrero"/>
  </r>
  <r>
    <m/>
    <m/>
    <x v="0"/>
    <x v="0"/>
    <x v="0"/>
    <n v="-514829.43"/>
    <s v="NIC-00036228"/>
    <d v="2025-02-19T00:00:00"/>
    <s v="DEVOLUCION DE DSF - GASTOS BANCARIOS MES DE ENERO 2025"/>
    <x v="24"/>
    <x v="6"/>
    <m/>
    <s v="    "/>
    <m/>
    <x v="1"/>
    <s v="Febrero"/>
  </r>
  <r>
    <m/>
    <m/>
    <x v="0"/>
    <x v="1"/>
    <x v="1"/>
    <n v="1792877.05"/>
    <s v="NIB-00006062"/>
    <d v="2025-02-25T00:00:00"/>
    <s v="FACTORING BBVA FAN-29239 COMISIONES"/>
    <x v="25"/>
    <x v="8"/>
    <m/>
    <s v="    "/>
    <m/>
    <x v="1"/>
    <s v="Febrero"/>
  </r>
  <r>
    <m/>
    <m/>
    <x v="0"/>
    <x v="0"/>
    <x v="0"/>
    <n v="3529"/>
    <s v="NIP-00016767"/>
    <d v="2025-02-25T00:00:00"/>
    <s v="CONTABILIZACIÓN IVA COMISON 4*1000"/>
    <x v="1"/>
    <x v="1"/>
    <m/>
    <s v="    "/>
    <m/>
    <x v="1"/>
    <s v="Febrero"/>
  </r>
  <r>
    <m/>
    <m/>
    <x v="0"/>
    <x v="1"/>
    <x v="1"/>
    <n v="9251104.7599999998"/>
    <s v="NIB-00006091"/>
    <d v="2025-02-27T00:00:00"/>
    <s v="FACTORING BBVA-COMISIONES FAN-29218-251-256-288-309-324"/>
    <x v="26"/>
    <x v="8"/>
    <m/>
    <s v="    "/>
    <m/>
    <x v="1"/>
    <s v="Febrero"/>
  </r>
  <r>
    <m/>
    <m/>
    <x v="0"/>
    <x v="1"/>
    <x v="1"/>
    <n v="1162707.26"/>
    <s v="NIB-00006098"/>
    <d v="2025-02-27T00:00:00"/>
    <s v="FACTORING BBVA FAN-29038 REGISTRO COMISION"/>
    <x v="27"/>
    <x v="8"/>
    <m/>
    <s v="    "/>
    <m/>
    <x v="1"/>
    <s v="Febrero"/>
  </r>
  <r>
    <m/>
    <m/>
    <x v="0"/>
    <x v="0"/>
    <x v="0"/>
    <n v="11424.49"/>
    <s v="NIC-00036273"/>
    <d v="2025-02-27T00:00:00"/>
    <s v="Ajuste de tercero en NIB5875 - Pago de facturas a nombre de INGENIERIA Y EQUIPOS PARA LA INDUSTRIA - INGEPIN"/>
    <x v="28"/>
    <x v="0"/>
    <m/>
    <s v="    "/>
    <m/>
    <x v="1"/>
    <s v="Febrero"/>
  </r>
  <r>
    <m/>
    <m/>
    <x v="0"/>
    <x v="0"/>
    <x v="0"/>
    <n v="-11424.49"/>
    <s v="NIC-00036273"/>
    <d v="2025-02-27T00:00:00"/>
    <s v="Ajuste de tercero en NIB5875 - Pago de facturas a nombre de INGENIERIA Y EQUIPOS PARA LA INDUSTRIA - INGEPIN"/>
    <x v="28"/>
    <x v="1"/>
    <m/>
    <s v="    "/>
    <m/>
    <x v="1"/>
    <s v="Febrero"/>
  </r>
  <r>
    <m/>
    <m/>
    <x v="0"/>
    <x v="0"/>
    <x v="0"/>
    <n v="239997.6"/>
    <s v="NIC-00036277"/>
    <d v="2025-02-27T00:00:00"/>
    <s v="GASTO COMISION MES DE ENERO 2025 BANCO ITAU"/>
    <x v="29"/>
    <x v="9"/>
    <m/>
    <s v="    "/>
    <m/>
    <x v="1"/>
    <s v="Febrero"/>
  </r>
  <r>
    <m/>
    <m/>
    <x v="0"/>
    <x v="0"/>
    <x v="0"/>
    <n v="3558750"/>
    <s v="FAC-00045545"/>
    <d v="2025-02-28T00:00:00"/>
    <s v="SOC82093 - D1- COMISION POR ADMINISTRACION, PERIODO DE FACTRUACION: FEBRERO 2025"/>
    <x v="30"/>
    <x v="5"/>
    <m/>
    <s v="    "/>
    <m/>
    <x v="1"/>
    <s v="Febrero"/>
  </r>
  <r>
    <m/>
    <m/>
    <x v="0"/>
    <x v="0"/>
    <x v="0"/>
    <n v="3558750"/>
    <s v="FAC-00045546"/>
    <d v="2025-02-28T00:00:00"/>
    <s v="FAC133255 - COMISION FIDUCIARIA MES DE FEBRERO 2025- COMISION FIJA 2.5 SMMLV"/>
    <x v="31"/>
    <x v="4"/>
    <m/>
    <s v="    "/>
    <m/>
    <x v="1"/>
    <s v="Febrero"/>
  </r>
  <r>
    <m/>
    <m/>
    <x v="0"/>
    <x v="0"/>
    <x v="0"/>
    <n v="16300"/>
    <s v="NIB-00006094"/>
    <d v="2025-02-28T00:00:00"/>
    <s v="GASTOS BANCARIOS - BANCO BOGOTA CALI CTE 256096355 - MES DE ENERO 2025"/>
    <x v="32"/>
    <x v="3"/>
    <m/>
    <s v="    "/>
    <m/>
    <x v="1"/>
    <s v="Febrero"/>
  </r>
  <r>
    <m/>
    <m/>
    <x v="0"/>
    <x v="0"/>
    <x v="0"/>
    <n v="284369.99"/>
    <s v="NIB-00006100"/>
    <d v="2025-02-28T00:00:00"/>
    <s v="GATOS BANCARIOS Y RENIDMIENTOS FINANCIEROS, MES DE FEBRERO 2025 - BANCOLOMBIA PANAMA"/>
    <x v="33"/>
    <x v="6"/>
    <m/>
    <s v="    "/>
    <m/>
    <x v="1"/>
    <s v="Febrero"/>
  </r>
  <r>
    <m/>
    <m/>
    <x v="0"/>
    <x v="0"/>
    <x v="0"/>
    <n v="4199416.6399999997"/>
    <s v="NIB-00006131"/>
    <d v="2025-02-28T00:00:00"/>
    <s v="GASTOS BANCARIOS MES DE FEBRERO 2025 - BANCOLOMBIA CTE 80104152201"/>
    <x v="34"/>
    <x v="1"/>
    <m/>
    <s v="    "/>
    <m/>
    <x v="1"/>
    <s v="Febrero"/>
  </r>
  <r>
    <m/>
    <m/>
    <x v="0"/>
    <x v="0"/>
    <x v="0"/>
    <n v="1604625"/>
    <s v="NIB-00006159"/>
    <d v="2025-02-28T00:00:00"/>
    <s v="GASTOS BANCARIOS MES DE FEBRERO 2025 - BANCO DE BOGOTA TULUA CTE 612036319"/>
    <x v="35"/>
    <x v="3"/>
    <m/>
    <s v="    "/>
    <m/>
    <x v="1"/>
    <s v="Febrero"/>
  </r>
  <r>
    <m/>
    <m/>
    <x v="0"/>
    <x v="0"/>
    <x v="0"/>
    <n v="54140"/>
    <s v="NIB-00006160"/>
    <d v="2025-02-28T00:00:00"/>
    <s v="Comision por generacion de extractos bancarios , Interes ´por sobregiro en extracto Febero 2025"/>
    <x v="36"/>
    <x v="3"/>
    <m/>
    <s v="    "/>
    <m/>
    <x v="1"/>
    <s v="Febrero"/>
  </r>
  <r>
    <m/>
    <m/>
    <x v="0"/>
    <x v="0"/>
    <x v="0"/>
    <n v="8162148"/>
    <s v="NIB-00006164"/>
    <d v="2025-02-28T00:00:00"/>
    <s v="GASTOS BANCARIOS MES DE FEBRERO 2025 - BANCO DAVIVIENDA CTE 379469997678"/>
    <x v="37"/>
    <x v="7"/>
    <m/>
    <s v="    "/>
    <m/>
    <x v="1"/>
    <s v="Febrero"/>
  </r>
  <r>
    <m/>
    <m/>
    <x v="0"/>
    <x v="1"/>
    <x v="1"/>
    <n v="-639375"/>
    <s v="NIC-00036462"/>
    <d v="2025-02-28T00:00:00"/>
    <s v="RECLASIFICACION FAN-27800 A FAN - 27746"/>
    <x v="38"/>
    <x v="8"/>
    <m/>
    <s v="    "/>
    <m/>
    <x v="1"/>
    <s v="Febrero"/>
  </r>
  <r>
    <m/>
    <m/>
    <x v="0"/>
    <x v="1"/>
    <x v="1"/>
    <n v="37562145.5"/>
    <s v="NIC-00036474"/>
    <d v="2025-02-28T00:00:00"/>
    <s v="RECLASIFICACION 529505 A 530515 COMISIONES BBVA - KLYM FEB 2025"/>
    <x v="39"/>
    <x v="8"/>
    <m/>
    <s v="    "/>
    <m/>
    <x v="1"/>
    <s v="Febrero"/>
  </r>
  <r>
    <m/>
    <m/>
    <x v="0"/>
    <x v="1"/>
    <x v="1"/>
    <n v="3496088"/>
    <s v="NIC-00036474"/>
    <d v="2025-02-28T00:00:00"/>
    <s v="RECLASIFICACION 529505 A 530515 COMISIONES BBVA - KLYM FEB 2025"/>
    <x v="39"/>
    <x v="10"/>
    <m/>
    <s v="    "/>
    <m/>
    <x v="1"/>
    <s v="Febrero"/>
  </r>
  <r>
    <m/>
    <m/>
    <x v="0"/>
    <x v="1"/>
    <x v="1"/>
    <n v="2230352.23"/>
    <s v="NIC-00036475"/>
    <d v="2025-02-28T00:00:00"/>
    <s v="RECLASIFICION COMISIONES TRULULU FEB 2025 5295 A 5305"/>
    <x v="40"/>
    <x v="8"/>
    <m/>
    <s v="    "/>
    <m/>
    <x v="1"/>
    <s v="Febrero"/>
  </r>
  <r>
    <m/>
    <m/>
    <x v="0"/>
    <x v="0"/>
    <x v="2"/>
    <n v="5112511"/>
    <s v="NIP-00016803"/>
    <d v="2025-02-28T00:00:00"/>
    <s v="CLFV21037 - COMISIONES - SERV DE REGISTRO BMN 8600071250 - IVA SRRV REGISTRADO BMC 19%"/>
    <x v="41"/>
    <x v="11"/>
    <m/>
    <s v="    "/>
    <m/>
    <x v="1"/>
    <s v="Febrero"/>
  </r>
  <r>
    <m/>
    <m/>
    <x v="0"/>
    <x v="0"/>
    <x v="2"/>
    <n v="17909491"/>
    <s v="NIP-00016804"/>
    <d v="2025-02-28T00:00:00"/>
    <s v="CLFV21038- COMISIONES - SERV DE REGISTRO BMN 8600071250 - IVA SRRV REGISTRADO BMC 19%"/>
    <x v="42"/>
    <x v="11"/>
    <m/>
    <s v="    "/>
    <m/>
    <x v="1"/>
    <s v="Febrero"/>
  </r>
  <r>
    <m/>
    <m/>
    <x v="0"/>
    <x v="0"/>
    <x v="0"/>
    <n v="3529"/>
    <s v="NIP-00016805"/>
    <d v="2025-03-04T00:00:00"/>
    <s v="CONTABILIZACIÓN IVA COMISION 4*1000"/>
    <x v="2"/>
    <x v="1"/>
    <m/>
    <s v="    "/>
    <m/>
    <x v="2"/>
    <s v="Marzo"/>
  </r>
  <r>
    <m/>
    <m/>
    <x v="0"/>
    <x v="0"/>
    <x v="0"/>
    <n v="3529"/>
    <s v="NIP-00016806"/>
    <d v="2025-03-04T00:00:00"/>
    <s v="CONTABILIZACION IVA COMISION 4*1000"/>
    <x v="43"/>
    <x v="1"/>
    <m/>
    <s v="    "/>
    <m/>
    <x v="2"/>
    <s v="Marzo"/>
  </r>
  <r>
    <m/>
    <m/>
    <x v="0"/>
    <x v="0"/>
    <x v="0"/>
    <n v="3529"/>
    <s v="NIP-00016808"/>
    <d v="2025-03-05T00:00:00"/>
    <s v="CONTABILIZACIÓN IVA COMISION 4*1000"/>
    <x v="2"/>
    <x v="1"/>
    <m/>
    <s v="    "/>
    <m/>
    <x v="2"/>
    <s v="Marzo"/>
  </r>
  <r>
    <m/>
    <m/>
    <x v="0"/>
    <x v="0"/>
    <x v="0"/>
    <n v="3529"/>
    <s v="NIP-00016816"/>
    <d v="2025-03-05T00:00:00"/>
    <s v="contabilización iva comision 4*1000"/>
    <x v="2"/>
    <x v="1"/>
    <m/>
    <s v="    "/>
    <m/>
    <x v="2"/>
    <s v="Marzo"/>
  </r>
  <r>
    <m/>
    <m/>
    <x v="0"/>
    <x v="0"/>
    <x v="0"/>
    <n v="12052"/>
    <s v="NIB-00006178"/>
    <d v="2025-03-06T00:00:00"/>
    <s v="PAGO DE DEPOSITOS JUDICIALES ICSA - 1505496 - GD2025030608919001961_02. TXT - 30030"/>
    <x v="44"/>
    <x v="0"/>
    <m/>
    <s v="    "/>
    <m/>
    <x v="2"/>
    <s v="Marzo"/>
  </r>
  <r>
    <m/>
    <m/>
    <x v="0"/>
    <x v="1"/>
    <x v="1"/>
    <n v="1069455.6299999999"/>
    <s v="NIC-00036478"/>
    <d v="2025-03-06T00:00:00"/>
    <s v="REGISTRO COMISION FACTORING BBVA"/>
    <x v="45"/>
    <x v="8"/>
    <m/>
    <s v="    "/>
    <m/>
    <x v="2"/>
    <s v="Marzo"/>
  </r>
  <r>
    <m/>
    <m/>
    <x v="0"/>
    <x v="1"/>
    <x v="1"/>
    <n v="59241903.100000001"/>
    <s v="NIC-00036516"/>
    <d v="2025-03-08T00:00:00"/>
    <s v="COMISIONES FACTORING BBVA  BAVARIA-GOLOSINAS TRULULU-SUPER DE ALIMENTOS"/>
    <x v="46"/>
    <x v="8"/>
    <m/>
    <s v="    "/>
    <m/>
    <x v="2"/>
    <s v="Marzo"/>
  </r>
  <r>
    <m/>
    <m/>
    <x v="0"/>
    <x v="0"/>
    <x v="0"/>
    <n v="3529"/>
    <s v="NIP-00016829"/>
    <d v="2025-03-11T00:00:00"/>
    <s v="CONTABILIZACIÓN IVA COMOSION 4*1000"/>
    <x v="47"/>
    <x v="1"/>
    <m/>
    <s v="    "/>
    <m/>
    <x v="2"/>
    <s v="Marzo"/>
  </r>
  <r>
    <m/>
    <m/>
    <x v="0"/>
    <x v="0"/>
    <x v="0"/>
    <n v="3529"/>
    <s v="NIP-00016830"/>
    <d v="2025-03-11T00:00:00"/>
    <s v="CONTABILIZACIÓN IVA COMISION 4*1000"/>
    <x v="2"/>
    <x v="1"/>
    <m/>
    <s v="    "/>
    <m/>
    <x v="2"/>
    <s v="Marzo"/>
  </r>
  <r>
    <m/>
    <m/>
    <x v="0"/>
    <x v="0"/>
    <x v="0"/>
    <n v="711750"/>
    <s v="FAC-00045697"/>
    <d v="2025-03-17T00:00:00"/>
    <s v="FAC133431 - COMISION FIDUCIARIA POR EXPEDICION DE CERTIFICADO DE GARANTIA 20"/>
    <x v="48"/>
    <x v="4"/>
    <m/>
    <s v="    "/>
    <m/>
    <x v="2"/>
    <s v="Marzo"/>
  </r>
  <r>
    <m/>
    <m/>
    <x v="0"/>
    <x v="0"/>
    <x v="0"/>
    <n v="3558750"/>
    <s v="FAC-00045698"/>
    <d v="2025-03-17T00:00:00"/>
    <s v="FAC133535 - COMISION FIDUCIARIA MES DE MARZO 2025 - COMISION FIJA  2.5 SMMLV"/>
    <x v="49"/>
    <x v="4"/>
    <m/>
    <s v="    "/>
    <m/>
    <x v="2"/>
    <s v="Marzo"/>
  </r>
  <r>
    <m/>
    <m/>
    <x v="0"/>
    <x v="0"/>
    <x v="0"/>
    <n v="3558750"/>
    <s v="FAC-00045701"/>
    <d v="2025-03-17T00:00:00"/>
    <s v="SOC83617 - COMISION POR ADMINISTRACION - PERIODO DE FACTURACION MARZO 2025"/>
    <x v="50"/>
    <x v="5"/>
    <m/>
    <s v="    "/>
    <m/>
    <x v="2"/>
    <s v="Marzo"/>
  </r>
  <r>
    <m/>
    <m/>
    <x v="0"/>
    <x v="0"/>
    <x v="0"/>
    <n v="1423500"/>
    <s v="FAC-00045724"/>
    <d v="2025-03-20T00:00:00"/>
    <s v="FAC992663 - COMISION FIJA DE ADMINISTRACION CORRESPONDIENTE AL MES DE MARZO 2025"/>
    <x v="51"/>
    <x v="12"/>
    <m/>
    <s v="    "/>
    <m/>
    <x v="2"/>
    <s v="Marzo"/>
  </r>
  <r>
    <m/>
    <m/>
    <x v="0"/>
    <x v="0"/>
    <x v="0"/>
    <n v="1675065"/>
    <s v="DSF-00001104"/>
    <d v="2025-03-21T00:00:00"/>
    <s v="GASTOS BANCARIOS CORRESPONDIENTES AL MES DE FEBRERO 2025"/>
    <x v="52"/>
    <x v="3"/>
    <m/>
    <s v="    "/>
    <m/>
    <x v="2"/>
    <s v="Marzo"/>
  </r>
  <r>
    <m/>
    <m/>
    <x v="0"/>
    <x v="0"/>
    <x v="0"/>
    <n v="4209166.1500000004"/>
    <s v="DSF-00001106"/>
    <d v="2025-03-21T00:00:00"/>
    <s v="GASTOS BANCARIOS CORRESPONDIENTES AL MES DE FEBRERO 2025"/>
    <x v="52"/>
    <x v="1"/>
    <m/>
    <s v="    "/>
    <m/>
    <x v="2"/>
    <s v="Marzo"/>
  </r>
  <r>
    <m/>
    <m/>
    <x v="0"/>
    <x v="0"/>
    <x v="0"/>
    <n v="8162148"/>
    <s v="DSF-00001107"/>
    <d v="2025-03-21T00:00:00"/>
    <s v="GASTOS BANCARIOS CORRESPONDIENTES AL MES DE FEBRERO 2025 - INCLUYE INT. COGENERACION"/>
    <x v="53"/>
    <x v="7"/>
    <m/>
    <s v="    "/>
    <m/>
    <x v="2"/>
    <s v="Marzo"/>
  </r>
  <r>
    <m/>
    <m/>
    <x v="0"/>
    <x v="0"/>
    <x v="0"/>
    <n v="32028.49"/>
    <s v="DSF-00001108"/>
    <d v="2025-03-21T00:00:00"/>
    <s v="GASTOS BANCARIOS CORRESPONDIENTES AL MES DE FEBRERO 2025"/>
    <x v="52"/>
    <x v="0"/>
    <m/>
    <s v="    "/>
    <m/>
    <x v="2"/>
    <s v="Marzo"/>
  </r>
  <r>
    <m/>
    <m/>
    <x v="0"/>
    <x v="0"/>
    <x v="0"/>
    <n v="51359811.799999997"/>
    <s v="DSF-00001111"/>
    <d v="2025-03-21T00:00:00"/>
    <s v="GASTOS BANCARIOS CORRESPONDIENTES AL MES DE FEBRERO 2025"/>
    <x v="52"/>
    <x v="8"/>
    <m/>
    <s v="    "/>
    <m/>
    <x v="2"/>
    <s v="Marzo"/>
  </r>
  <r>
    <m/>
    <m/>
    <x v="0"/>
    <x v="0"/>
    <x v="0"/>
    <n v="3558750"/>
    <s v="DSF-00001112"/>
    <d v="2025-03-21T00:00:00"/>
    <s v="GASTOS BANCARIOS CORRESPONDIENTES AL MES DE FEBRERO 2025"/>
    <x v="52"/>
    <x v="4"/>
    <m/>
    <s v="    "/>
    <m/>
    <x v="2"/>
    <s v="Marzo"/>
  </r>
  <r>
    <m/>
    <m/>
    <x v="0"/>
    <x v="0"/>
    <x v="0"/>
    <n v="3558750"/>
    <s v="DSF-00001113"/>
    <d v="2025-03-21T00:00:00"/>
    <s v="GASTOS BANCARIOS CORRESPONDIENTES AL MES DE FEBRERO 2025"/>
    <x v="52"/>
    <x v="5"/>
    <m/>
    <s v="    "/>
    <m/>
    <x v="2"/>
    <s v="Marzo"/>
  </r>
  <r>
    <m/>
    <m/>
    <x v="0"/>
    <x v="0"/>
    <x v="0"/>
    <n v="284369.99"/>
    <s v="DSF-00001114"/>
    <d v="2025-03-21T00:00:00"/>
    <s v="GASTOS BANCARIOS CORRESPONDIENTES AL MES DE FEBRERO 2025"/>
    <x v="52"/>
    <x v="6"/>
    <m/>
    <s v="    "/>
    <m/>
    <x v="2"/>
    <s v="Marzo"/>
  </r>
  <r>
    <m/>
    <m/>
    <x v="0"/>
    <x v="1"/>
    <x v="1"/>
    <n v="1809003.04"/>
    <s v="NIB-00006305"/>
    <d v="2025-03-21T00:00:00"/>
    <s v="FACTORING BBVA FAN-29561 COMISION"/>
    <x v="54"/>
    <x v="8"/>
    <m/>
    <s v="    "/>
    <m/>
    <x v="2"/>
    <s v="Marzo"/>
  </r>
  <r>
    <m/>
    <m/>
    <x v="0"/>
    <x v="1"/>
    <x v="1"/>
    <n v="12271969.91"/>
    <s v="NIB-00006382"/>
    <d v="2025-03-21T00:00:00"/>
    <s v="FACTORIN BBVA-29557-584-589-599-600-612-634-650 COMISION"/>
    <x v="55"/>
    <x v="8"/>
    <m/>
    <s v="    "/>
    <m/>
    <x v="2"/>
    <s v="Marzo"/>
  </r>
  <r>
    <m/>
    <m/>
    <x v="0"/>
    <x v="0"/>
    <x v="0"/>
    <n v="153140"/>
    <s v="NIC-00036581"/>
    <d v="2025-03-21T00:00:00"/>
    <s v="Cobro comision por Generacion de extracto bancario- 256096355 BGTA CALI"/>
    <x v="56"/>
    <x v="3"/>
    <m/>
    <s v="    "/>
    <m/>
    <x v="2"/>
    <s v="Marzo"/>
  </r>
  <r>
    <m/>
    <m/>
    <x v="0"/>
    <x v="0"/>
    <x v="0"/>
    <n v="239997.6"/>
    <s v="NIC-00036581"/>
    <d v="2025-03-21T00:00:00"/>
    <s v="COMISION BANCARIA CTA CTE 301-44051-7 BACO ITAU"/>
    <x v="56"/>
    <x v="9"/>
    <m/>
    <s v="    "/>
    <m/>
    <x v="2"/>
    <s v="Marzo"/>
  </r>
  <r>
    <m/>
    <m/>
    <x v="0"/>
    <x v="0"/>
    <x v="0"/>
    <n v="9020.32"/>
    <s v="NIC-00036581"/>
    <d v="2025-03-21T00:00:00"/>
    <s v="DEBITO POR RECHAZOS- BANCOLOMBIA CTA CTE 80104152201"/>
    <x v="56"/>
    <x v="1"/>
    <m/>
    <s v="    "/>
    <m/>
    <x v="2"/>
    <s v="Marzo"/>
  </r>
  <r>
    <m/>
    <m/>
    <x v="0"/>
    <x v="0"/>
    <x v="0"/>
    <n v="-32028.49"/>
    <s v="NIC-00036582"/>
    <d v="2025-03-21T00:00:00"/>
    <s v="DEVOLUCION DE DSF - GASTOS BANCARIOS MES DE FEBRERO 2025 (DSF1104 AL 1114)"/>
    <x v="57"/>
    <x v="0"/>
    <m/>
    <s v="    "/>
    <m/>
    <x v="2"/>
    <s v="Marzo"/>
  </r>
  <r>
    <m/>
    <m/>
    <x v="0"/>
    <x v="0"/>
    <x v="0"/>
    <n v="-3558750"/>
    <s v="NIC-00036582"/>
    <d v="2025-03-21T00:00:00"/>
    <s v="DEVOLUCION DE DSF - GASTOS BANCARIOS MES DE FEBRERO 2025 (DSF1104 AL 1114)"/>
    <x v="57"/>
    <x v="4"/>
    <m/>
    <s v="    "/>
    <m/>
    <x v="2"/>
    <s v="Marzo"/>
  </r>
  <r>
    <m/>
    <m/>
    <x v="0"/>
    <x v="0"/>
    <x v="0"/>
    <n v="-3558750"/>
    <s v="NIC-00036582"/>
    <d v="2025-03-21T00:00:00"/>
    <s v="DEVOLUCION DE DSF - GASTOS BANCARIOS MES DE FEBRERO 2025 (DSF1104 AL 1114)"/>
    <x v="57"/>
    <x v="5"/>
    <m/>
    <s v="    "/>
    <m/>
    <x v="2"/>
    <s v="Marzo"/>
  </r>
  <r>
    <m/>
    <m/>
    <x v="0"/>
    <x v="0"/>
    <x v="0"/>
    <n v="-1675065"/>
    <s v="NIC-00036582"/>
    <d v="2025-03-21T00:00:00"/>
    <s v="DEVOLUCION DE DSF - GASTOS BANCARIOS MES DE FEBRERO 2025 (DSF1104 AL 1114)"/>
    <x v="57"/>
    <x v="3"/>
    <m/>
    <s v="    "/>
    <m/>
    <x v="2"/>
    <s v="Marzo"/>
  </r>
  <r>
    <m/>
    <m/>
    <x v="0"/>
    <x v="0"/>
    <x v="0"/>
    <n v="-51359811.799999997"/>
    <s v="NIC-00036582"/>
    <d v="2025-03-21T00:00:00"/>
    <s v="DEVOLUCION DE DSF - GASTOS BANCARIOS MES DE FEBRERO 2025 (DSF1104 AL 1114)"/>
    <x v="57"/>
    <x v="8"/>
    <m/>
    <s v="    "/>
    <m/>
    <x v="2"/>
    <s v="Marzo"/>
  </r>
  <r>
    <m/>
    <m/>
    <x v="0"/>
    <x v="0"/>
    <x v="0"/>
    <n v="-8162148"/>
    <s v="NIC-00036582"/>
    <d v="2025-03-21T00:00:00"/>
    <s v="DEVOLUCION DE DSF - GASTOS BANCARIOS MES DE FEBRERO 2025 (DSF1104 AL 1114)"/>
    <x v="57"/>
    <x v="7"/>
    <m/>
    <s v="    "/>
    <m/>
    <x v="2"/>
    <s v="Marzo"/>
  </r>
  <r>
    <m/>
    <m/>
    <x v="0"/>
    <x v="0"/>
    <x v="0"/>
    <n v="-4209166.1500000004"/>
    <s v="NIC-00036582"/>
    <d v="2025-03-21T00:00:00"/>
    <s v="DEVOLUCION DE DSF - GASTOS BANCARIOS MES DE FEBRERO 2025 (DSF1104 AL 1114)"/>
    <x v="57"/>
    <x v="1"/>
    <m/>
    <s v="    "/>
    <m/>
    <x v="2"/>
    <s v="Marzo"/>
  </r>
  <r>
    <m/>
    <m/>
    <x v="0"/>
    <x v="0"/>
    <x v="0"/>
    <n v="-284369.99"/>
    <s v="NIC-00036582"/>
    <d v="2025-03-21T00:00:00"/>
    <s v="DEVOLUCION DE DSF - GASTOS BANCARIOS MES DE FEBRERO 2025 (DSF1104 AL 1114)"/>
    <x v="57"/>
    <x v="6"/>
    <m/>
    <s v="    "/>
    <m/>
    <x v="2"/>
    <s v="Marzo"/>
  </r>
  <r>
    <m/>
    <m/>
    <x v="0"/>
    <x v="0"/>
    <x v="0"/>
    <n v="3529"/>
    <s v="NIP-00016882"/>
    <d v="2025-03-21T00:00:00"/>
    <s v="contabilizacion iva comison 4*1000"/>
    <x v="20"/>
    <x v="1"/>
    <m/>
    <s v="    "/>
    <m/>
    <x v="2"/>
    <s v="Marzo"/>
  </r>
  <r>
    <m/>
    <m/>
    <x v="0"/>
    <x v="1"/>
    <x v="1"/>
    <n v="1755101"/>
    <s v="NIB-00006323"/>
    <d v="2025-03-26T00:00:00"/>
    <s v="FACTORIN KLYM FAN-29555-29567-29582-29594"/>
    <x v="58"/>
    <x v="13"/>
    <m/>
    <s v="    "/>
    <m/>
    <x v="2"/>
    <s v="Marzo"/>
  </r>
  <r>
    <m/>
    <m/>
    <x v="0"/>
    <x v="0"/>
    <x v="0"/>
    <n v="3529"/>
    <s v="NIP-00016905"/>
    <d v="2025-03-26T00:00:00"/>
    <s v="CONTABILIZACION IVA COMISION 4*1000"/>
    <x v="43"/>
    <x v="1"/>
    <m/>
    <s v="    "/>
    <m/>
    <x v="2"/>
    <s v="Marzo"/>
  </r>
  <r>
    <m/>
    <m/>
    <x v="0"/>
    <x v="0"/>
    <x v="0"/>
    <n v="3529"/>
    <s v="NIP-00016906"/>
    <d v="2025-03-26T00:00:00"/>
    <s v="CONTABILIZACIÓN IVA COMISION 4*1000"/>
    <x v="2"/>
    <x v="1"/>
    <m/>
    <s v="    "/>
    <m/>
    <x v="2"/>
    <s v="Marzo"/>
  </r>
  <r>
    <m/>
    <m/>
    <x v="0"/>
    <x v="0"/>
    <x v="0"/>
    <n v="846982.5"/>
    <s v="NIB-00006367"/>
    <d v="2025-03-27T00:00:00"/>
    <s v="PAGO DE INTERESES OBLIGACION N°119000028444 - (ESTUDIO SOPORTE GARANTIA)"/>
    <x v="59"/>
    <x v="14"/>
    <m/>
    <s v="    "/>
    <m/>
    <x v="2"/>
    <s v="Marzo"/>
  </r>
  <r>
    <m/>
    <m/>
    <x v="0"/>
    <x v="1"/>
    <x v="1"/>
    <n v="14754923.09"/>
    <s v="NIB-00006380"/>
    <d v="2025-03-28T00:00:00"/>
    <s v="FACTORING BBVA FAN-29562-574-592-607-617-621-623-635-644-663-676 COMISIONES"/>
    <x v="60"/>
    <x v="8"/>
    <m/>
    <s v="    "/>
    <m/>
    <x v="2"/>
    <s v="Marzo"/>
  </r>
  <r>
    <m/>
    <m/>
    <x v="0"/>
    <x v="0"/>
    <x v="0"/>
    <n v="475395.51"/>
    <s v="NIB-00006349"/>
    <d v="2025-03-31T00:00:00"/>
    <s v="RENDIMIENTOS FINANCIEROS Y COMISIONES BANCOLOMBIA PANAMA MES DE MARZO 2025"/>
    <x v="61"/>
    <x v="6"/>
    <m/>
    <s v="    "/>
    <m/>
    <x v="2"/>
    <s v="Marzo"/>
  </r>
  <r>
    <m/>
    <m/>
    <x v="0"/>
    <x v="0"/>
    <x v="0"/>
    <n v="8069844"/>
    <s v="NIB-00006357"/>
    <d v="2025-03-31T00:00:00"/>
    <s v="GASTOS BANCARIOS DAVIVIENDA 7678 MES DE MARZO 2025"/>
    <x v="62"/>
    <x v="7"/>
    <m/>
    <s v="    "/>
    <m/>
    <x v="2"/>
    <s v="Marzo"/>
  </r>
  <r>
    <m/>
    <m/>
    <x v="0"/>
    <x v="0"/>
    <x v="0"/>
    <n v="73668"/>
    <s v="NIB-00006361"/>
    <d v="2025-03-31T00:00:00"/>
    <s v="GASTOS BANCARIOS BGTA CALI MES DE MARZO 2025"/>
    <x v="63"/>
    <x v="3"/>
    <m/>
    <s v="    "/>
    <m/>
    <x v="2"/>
    <s v="Marzo"/>
  </r>
  <r>
    <m/>
    <m/>
    <x v="0"/>
    <x v="0"/>
    <x v="0"/>
    <n v="1575534"/>
    <s v="NIB-00006362"/>
    <d v="2025-03-31T00:00:00"/>
    <s v="GASTOS BANCARIOS BANCO DE BOGOTA TULUA CTE 612036319  MES DE MARZO 2025"/>
    <x v="64"/>
    <x v="3"/>
    <m/>
    <s v="    "/>
    <m/>
    <x v="2"/>
    <s v="Marzo"/>
  </r>
  <r>
    <m/>
    <m/>
    <x v="0"/>
    <x v="0"/>
    <x v="0"/>
    <n v="15900"/>
    <s v="NIB-00006387"/>
    <d v="2025-03-31T00:00:00"/>
    <s v="GASTOS BANCARIOS BANCO POPULAR CTA CTE 110560212276 MES DE MARZO 2025"/>
    <x v="65"/>
    <x v="2"/>
    <m/>
    <s v="    "/>
    <m/>
    <x v="2"/>
    <s v="Marzo"/>
  </r>
  <r>
    <m/>
    <m/>
    <x v="0"/>
    <x v="0"/>
    <x v="0"/>
    <n v="0.5"/>
    <s v="NIB-00006401"/>
    <d v="2025-03-31T00:00:00"/>
    <s v="GASTOS BANCARIOS FONDO INVERSION RENTA L 482800029407 DAV- MES DE MARZO 2025"/>
    <x v="66"/>
    <x v="5"/>
    <m/>
    <s v="    "/>
    <m/>
    <x v="2"/>
    <s v="Marzo"/>
  </r>
  <r>
    <m/>
    <m/>
    <x v="0"/>
    <x v="1"/>
    <x v="1"/>
    <n v="16653281.57"/>
    <s v="NIC-00036745"/>
    <d v="2025-03-31T00:00:00"/>
    <s v="RECLASIFICACION COMISIONES FACTORING BBVA NIC-36470"/>
    <x v="67"/>
    <x v="8"/>
    <m/>
    <s v="    "/>
    <m/>
    <x v="2"/>
    <s v="Marzo"/>
  </r>
  <r>
    <m/>
    <m/>
    <x v="0"/>
    <x v="1"/>
    <x v="1"/>
    <n v="-25012459.350000001"/>
    <s v="NIC-00036810"/>
    <d v="2025-03-31T00:00:00"/>
    <s v="RECLASIFICACION COMISIONES FACTORING VENCIMIENTOS ABRIL 2025"/>
    <x v="68"/>
    <x v="8"/>
    <m/>
    <s v="    "/>
    <m/>
    <x v="2"/>
    <s v="Marzo"/>
  </r>
  <r>
    <m/>
    <m/>
    <x v="0"/>
    <x v="1"/>
    <x v="1"/>
    <n v="-16510024.09"/>
    <s v="NIC-00036810"/>
    <d v="2025-03-31T00:00:00"/>
    <s v="RECLASIFICACION COMISIONES FACTORING VENCIMIENTOS ABRIL 2025"/>
    <x v="68"/>
    <x v="13"/>
    <m/>
    <s v="    "/>
    <m/>
    <x v="2"/>
    <s v="Marzo"/>
  </r>
  <r>
    <m/>
    <m/>
    <x v="0"/>
    <x v="1"/>
    <x v="1"/>
    <n v="-14754923.09"/>
    <s v="NIC-00036815"/>
    <d v="2025-03-31T00:00:00"/>
    <s v="RECLASIFICACION NIT 530515 NIC 36812"/>
    <x v="69"/>
    <x v="8"/>
    <m/>
    <s v="    "/>
    <m/>
    <x v="2"/>
    <s v="Marzo"/>
  </r>
  <r>
    <m/>
    <m/>
    <x v="0"/>
    <x v="1"/>
    <x v="1"/>
    <n v="14754923.09"/>
    <s v="NIC-00036815"/>
    <d v="2025-03-31T00:00:00"/>
    <s v="RECLASIFICACION NIT 530515 NIC 36812"/>
    <x v="69"/>
    <x v="13"/>
    <m/>
    <s v="    "/>
    <m/>
    <x v="2"/>
    <s v="Marzo"/>
  </r>
  <r>
    <m/>
    <m/>
    <x v="0"/>
    <x v="0"/>
    <x v="0"/>
    <n v="3949585.86"/>
    <s v="NIC-00036824"/>
    <d v="2025-03-31T00:00:00"/>
    <s v="reclasificacion de cuentas en gastos bancarios bancolombia cta cte 2201 mes de marzo e2025"/>
    <x v="70"/>
    <x v="1"/>
    <m/>
    <s v="    "/>
    <m/>
    <x v="2"/>
    <s v="Marzo"/>
  </r>
  <r>
    <m/>
    <m/>
    <x v="0"/>
    <x v="0"/>
    <x v="2"/>
    <n v="15186483"/>
    <s v="NIP-00016934"/>
    <d v="2025-03-31T00:00:00"/>
    <s v="CLFV21377 - SERV REGISTRADO BMC 8600071250"/>
    <x v="71"/>
    <x v="11"/>
    <m/>
    <s v="    "/>
    <m/>
    <x v="2"/>
    <s v="Marzo"/>
  </r>
  <r>
    <m/>
    <m/>
    <x v="0"/>
    <x v="0"/>
    <x v="2"/>
    <n v="4782185"/>
    <s v="NIP-00016935"/>
    <d v="2025-03-31T00:00:00"/>
    <s v="CLFV21376 - SERV REGISTRADO BMC 8600071250"/>
    <x v="72"/>
    <x v="11"/>
    <m/>
    <s v="    "/>
    <m/>
    <x v="2"/>
    <s v="Marzo"/>
  </r>
  <r>
    <m/>
    <m/>
    <x v="0"/>
    <x v="0"/>
    <x v="0"/>
    <n v="3529"/>
    <s v="NIP-00016938"/>
    <d v="2025-04-02T00:00:00"/>
    <s v="CONTABILIZACIÓN IVA COMISION 4*1000"/>
    <x v="2"/>
    <x v="1"/>
    <m/>
    <s v="DSF "/>
    <m/>
    <x v="3"/>
    <s v="Abril"/>
  </r>
  <r>
    <m/>
    <m/>
    <x v="0"/>
    <x v="0"/>
    <x v="0"/>
    <n v="3529"/>
    <s v="NIP-00016939"/>
    <d v="2025-04-02T00:00:00"/>
    <s v="CONTABILIZACIÓN IVA COMISION 4*1000"/>
    <x v="2"/>
    <x v="1"/>
    <m/>
    <s v="DSF "/>
    <m/>
    <x v="3"/>
    <s v="Abril"/>
  </r>
  <r>
    <m/>
    <m/>
    <x v="0"/>
    <x v="0"/>
    <x v="0"/>
    <n v="3529"/>
    <s v="NIP-00016940"/>
    <d v="2025-04-02T00:00:00"/>
    <s v="CONTABILIZACIÓN IVA COMISION 4*1000"/>
    <x v="2"/>
    <x v="1"/>
    <m/>
    <s v="DSF "/>
    <m/>
    <x v="3"/>
    <s v="Abril"/>
  </r>
  <r>
    <m/>
    <m/>
    <x v="0"/>
    <x v="0"/>
    <x v="0"/>
    <n v="13140"/>
    <s v="NIB-00006418"/>
    <d v="2025-04-07T00:00:00"/>
    <s v="PAGO DE DEPOSITOS JUDICIALES ICSA - SECUENCIAL ARCHIVO: 1513049 - GD2025040708891900196  - 30030"/>
    <x v="73"/>
    <x v="0"/>
    <m/>
    <s v="DSF "/>
    <m/>
    <x v="3"/>
    <s v="Abril"/>
  </r>
  <r>
    <m/>
    <m/>
    <x v="0"/>
    <x v="1"/>
    <x v="1"/>
    <n v="23550215.649999999"/>
    <s v="NIB-00006420"/>
    <d v="2025-04-08T00:00:00"/>
    <s v="REGISTRO COMISION FACTOING BBVA FAN 29557-29561-29584-29589-29599-29600-29612-29634-29650-29656-29667-29674-29695-29719-29734"/>
    <x v="74"/>
    <x v="8"/>
    <m/>
    <s v="DSF "/>
    <m/>
    <x v="3"/>
    <s v="Abril"/>
  </r>
  <r>
    <m/>
    <m/>
    <x v="0"/>
    <x v="1"/>
    <x v="1"/>
    <n v="629958.5"/>
    <s v="NIB-00006577"/>
    <d v="2025-04-08T00:00:00"/>
    <s v="FACTORING KLYM - COMISIONES FAN-29726"/>
    <x v="75"/>
    <x v="10"/>
    <m/>
    <s v="DSF "/>
    <m/>
    <x v="3"/>
    <s v="Abril"/>
  </r>
  <r>
    <m/>
    <m/>
    <x v="0"/>
    <x v="0"/>
    <x v="0"/>
    <n v="3529"/>
    <s v="NIP-00016959"/>
    <d v="2025-04-09T00:00:00"/>
    <s v="CONTABILIZACIÓN IVA COMISION 4*1000"/>
    <x v="2"/>
    <x v="1"/>
    <m/>
    <s v="DSF "/>
    <m/>
    <x v="3"/>
    <s v="Abril"/>
  </r>
  <r>
    <m/>
    <m/>
    <x v="0"/>
    <x v="1"/>
    <x v="1"/>
    <n v="10931486.4"/>
    <s v="NIC-00037061"/>
    <d v="2025-04-10T00:00:00"/>
    <s v="COMISION FACTORING BBVA"/>
    <x v="76"/>
    <x v="8"/>
    <m/>
    <s v="DSF "/>
    <m/>
    <x v="3"/>
    <s v="Abril"/>
  </r>
  <r>
    <m/>
    <m/>
    <x v="0"/>
    <x v="1"/>
    <x v="1"/>
    <n v="26254603.52"/>
    <s v="NIC-00037064"/>
    <d v="2025-04-10T00:00:00"/>
    <s v="REGISTRO COMISION FACTORING BBVA ABRIL"/>
    <x v="45"/>
    <x v="8"/>
    <m/>
    <s v="DSF "/>
    <m/>
    <x v="3"/>
    <s v="Abril"/>
  </r>
  <r>
    <m/>
    <m/>
    <x v="0"/>
    <x v="0"/>
    <x v="2"/>
    <n v="-271584"/>
    <s v="NCS-00000127"/>
    <d v="2025-04-14T00:00:00"/>
    <s v="CRUCE DE NOTA CREDITO ENCL139 - DE LAS FACTURA FZ21377"/>
    <x v="77"/>
    <x v="11"/>
    <m/>
    <s v="DSF "/>
    <m/>
    <x v="3"/>
    <s v="Abril"/>
  </r>
  <r>
    <m/>
    <m/>
    <x v="0"/>
    <x v="0"/>
    <x v="2"/>
    <n v="-87576"/>
    <s v="NCS-00000128"/>
    <d v="2025-04-14T00:00:00"/>
    <s v="CRUCE DE NOTA CREDITO ENCL138 - DE LAS FACTURA CLFV21376"/>
    <x v="78"/>
    <x v="11"/>
    <m/>
    <s v="DSF "/>
    <m/>
    <x v="3"/>
    <s v="Abril"/>
  </r>
  <r>
    <m/>
    <m/>
    <x v="0"/>
    <x v="0"/>
    <x v="2"/>
    <n v="-266910"/>
    <s v="NCS-00000129"/>
    <d v="2025-04-14T00:00:00"/>
    <s v="CRUCE DE NOTA CREDITO ENCL137 - DE LAS FACTURA CLFV21377"/>
    <x v="79"/>
    <x v="11"/>
    <m/>
    <s v="DSF "/>
    <m/>
    <x v="3"/>
    <s v="Abril"/>
  </r>
  <r>
    <m/>
    <m/>
    <x v="0"/>
    <x v="0"/>
    <x v="0"/>
    <n v="3529"/>
    <s v="NIP-00016978"/>
    <d v="2025-04-14T00:00:00"/>
    <s v="CONTABILIZACION IVA COMISION 4*1000"/>
    <x v="43"/>
    <x v="1"/>
    <m/>
    <s v="    "/>
    <m/>
    <x v="3"/>
    <s v="Abril"/>
  </r>
  <r>
    <m/>
    <m/>
    <x v="0"/>
    <x v="0"/>
    <x v="0"/>
    <n v="1802342"/>
    <s v="DSF-00001149"/>
    <d v="2025-04-15T00:00:00"/>
    <s v="GASTOS BANCARIOS CORRESPONDIENTES AL MES DE MARZO 2025"/>
    <x v="80"/>
    <x v="3"/>
    <m/>
    <s v="    "/>
    <m/>
    <x v="3"/>
    <s v="Abril"/>
  </r>
  <r>
    <m/>
    <m/>
    <x v="0"/>
    <x v="0"/>
    <x v="0"/>
    <n v="3990367.18"/>
    <s v="DSF-00001151"/>
    <d v="2025-04-15T00:00:00"/>
    <s v="GASTOS BANCARIOS CORRESPONDIENTES AL MES DE MARZO 2025"/>
    <x v="80"/>
    <x v="1"/>
    <m/>
    <s v="    "/>
    <m/>
    <x v="3"/>
    <s v="Abril"/>
  </r>
  <r>
    <m/>
    <m/>
    <x v="0"/>
    <x v="0"/>
    <x v="0"/>
    <n v="8069844"/>
    <s v="DSF-00001152"/>
    <d v="2025-04-15T00:00:00"/>
    <s v="GASTOS BANCARIOS CORRESPONDIENTES AL MES DE MARZO 2025"/>
    <x v="80"/>
    <x v="7"/>
    <m/>
    <s v="    "/>
    <m/>
    <x v="3"/>
    <s v="Abril"/>
  </r>
  <r>
    <m/>
    <m/>
    <x v="0"/>
    <x v="0"/>
    <x v="0"/>
    <n v="12052"/>
    <s v="DSF-00001153"/>
    <d v="2025-04-15T00:00:00"/>
    <s v="GASTOS BANCARIOS CORRESPONDIENTES AL MES DE MARZO 2025"/>
    <x v="80"/>
    <x v="0"/>
    <m/>
    <s v="    "/>
    <m/>
    <x v="3"/>
    <s v="Abril"/>
  </r>
  <r>
    <m/>
    <m/>
    <x v="0"/>
    <x v="0"/>
    <x v="0"/>
    <n v="15900"/>
    <s v="DSF-00001154"/>
    <d v="2025-04-15T00:00:00"/>
    <s v="GASTOS BANCARIOS CORRESPONDIENTES AL MES DE MARZO 2025"/>
    <x v="80"/>
    <x v="2"/>
    <m/>
    <s v="    "/>
    <m/>
    <x v="3"/>
    <s v="Abril"/>
  </r>
  <r>
    <m/>
    <m/>
    <x v="0"/>
    <x v="0"/>
    <x v="0"/>
    <n v="1423500"/>
    <s v="DSF-00001156"/>
    <d v="2025-04-15T00:00:00"/>
    <s v="GASTOS BANCARIOS CORRESPONDIENTES AL MES DE MARZO 2025"/>
    <x v="80"/>
    <x v="12"/>
    <m/>
    <s v="    "/>
    <m/>
    <x v="3"/>
    <s v="Abril"/>
  </r>
  <r>
    <m/>
    <m/>
    <x v="0"/>
    <x v="0"/>
    <x v="0"/>
    <n v="846982.5"/>
    <s v="DSF-00001157"/>
    <d v="2025-04-15T00:00:00"/>
    <s v="GASTOS BANCARIOS CORRESPONDIENTES AL MES DE MARZO 2025"/>
    <x v="80"/>
    <x v="14"/>
    <m/>
    <s v="    "/>
    <m/>
    <x v="3"/>
    <s v="Abril"/>
  </r>
  <r>
    <m/>
    <m/>
    <x v="0"/>
    <x v="0"/>
    <x v="0"/>
    <n v="66033153.899999999"/>
    <s v="DSF-00001158"/>
    <d v="2025-04-15T00:00:00"/>
    <s v="GASTOS BANCARIOS CORRESPONDIENTE AL MES DE MARZO 2025"/>
    <x v="81"/>
    <x v="8"/>
    <m/>
    <s v="    "/>
    <m/>
    <x v="3"/>
    <s v="Abril"/>
  </r>
  <r>
    <m/>
    <m/>
    <x v="0"/>
    <x v="0"/>
    <x v="0"/>
    <n v="4270500"/>
    <s v="DSF-00001159"/>
    <d v="2025-04-15T00:00:00"/>
    <s v="GASTOS BANCARIOS CORRESPONDIENTES AL MES DE MARZO 2025"/>
    <x v="80"/>
    <x v="4"/>
    <m/>
    <s v="    "/>
    <m/>
    <x v="3"/>
    <s v="Abril"/>
  </r>
  <r>
    <m/>
    <m/>
    <x v="0"/>
    <x v="0"/>
    <x v="0"/>
    <n v="3558750.5"/>
    <s v="DSF-00001160"/>
    <d v="2025-04-15T00:00:00"/>
    <s v="GASTOS BANCARIOS CORRESPONDIENTES AL MES DE MARZO 2025"/>
    <x v="80"/>
    <x v="5"/>
    <m/>
    <s v="    "/>
    <m/>
    <x v="3"/>
    <s v="Abril"/>
  </r>
  <r>
    <m/>
    <m/>
    <x v="0"/>
    <x v="0"/>
    <x v="0"/>
    <n v="475395.51"/>
    <s v="DSF-00001161"/>
    <d v="2025-04-15T00:00:00"/>
    <s v="GASTOS BANCARIOS CORRESPONDIENTES AL MES DE MARZO 2025"/>
    <x v="80"/>
    <x v="6"/>
    <m/>
    <s v="    "/>
    <m/>
    <x v="3"/>
    <s v="Abril"/>
  </r>
  <r>
    <m/>
    <m/>
    <x v="0"/>
    <x v="0"/>
    <x v="0"/>
    <n v="239997.6"/>
    <s v="DSF-00001162"/>
    <d v="2025-04-15T00:00:00"/>
    <s v="GASTOS BANCARIOS CORRESPONDIENTES AL MES DE MARZO 2025"/>
    <x v="80"/>
    <x v="9"/>
    <m/>
    <s v="    "/>
    <m/>
    <x v="3"/>
    <s v="Abril"/>
  </r>
  <r>
    <m/>
    <m/>
    <x v="0"/>
    <x v="0"/>
    <x v="0"/>
    <n v="-12052"/>
    <s v="NIC-00036854"/>
    <d v="2025-04-15T00:00:00"/>
    <s v="DEVOLUCION DE DSF GASTOS BANCARIOS CORRESPONDIENTES AL MES DE MARZO 2025- (1149 AL 1162)"/>
    <x v="82"/>
    <x v="0"/>
    <m/>
    <s v="    "/>
    <m/>
    <x v="3"/>
    <s v="Abril"/>
  </r>
  <r>
    <m/>
    <m/>
    <x v="0"/>
    <x v="0"/>
    <x v="0"/>
    <n v="-4270500"/>
    <s v="NIC-00036854"/>
    <d v="2025-04-15T00:00:00"/>
    <s v="DEVOLUCION DE DSF GASTOS BANCARIOS CORRESPONDIENTES AL MES DE MARZO 2025- (1149 AL 1162)"/>
    <x v="82"/>
    <x v="4"/>
    <m/>
    <s v="    "/>
    <m/>
    <x v="3"/>
    <s v="Abril"/>
  </r>
  <r>
    <m/>
    <m/>
    <x v="0"/>
    <x v="0"/>
    <x v="0"/>
    <n v="-3558750.5"/>
    <s v="NIC-00036854"/>
    <d v="2025-04-15T00:00:00"/>
    <s v="DEVOLUCION DE DSF GASTOS BANCARIOS CORRESPONDIENTES AL MES DE MARZO 2025- (1149 AL 1162)"/>
    <x v="82"/>
    <x v="5"/>
    <m/>
    <s v="    "/>
    <m/>
    <x v="3"/>
    <s v="Abril"/>
  </r>
  <r>
    <m/>
    <m/>
    <x v="0"/>
    <x v="0"/>
    <x v="0"/>
    <n v="-1802342"/>
    <s v="NIC-00036854"/>
    <d v="2025-04-15T00:00:00"/>
    <s v="DEVOLUCION DE DSF GASTOS BANCARIOS CORRESPONDIENTES AL MES DE MARZO 2025- (1149 AL 1162)"/>
    <x v="82"/>
    <x v="3"/>
    <m/>
    <s v="    "/>
    <m/>
    <x v="3"/>
    <s v="Abril"/>
  </r>
  <r>
    <m/>
    <m/>
    <x v="0"/>
    <x v="0"/>
    <x v="0"/>
    <n v="-66033153.899999999"/>
    <s v="NIC-00036854"/>
    <d v="2025-04-15T00:00:00"/>
    <s v="DEVOLUCION DE DSF GASTOS BANCARIOS CORRESPONDIENTES AL MES DE MARZO 2025- (1149 AL 1162)"/>
    <x v="82"/>
    <x v="8"/>
    <m/>
    <s v="    "/>
    <m/>
    <x v="3"/>
    <s v="Abril"/>
  </r>
  <r>
    <m/>
    <m/>
    <x v="0"/>
    <x v="0"/>
    <x v="0"/>
    <n v="-15900"/>
    <s v="NIC-00036854"/>
    <d v="2025-04-15T00:00:00"/>
    <s v="DEVOLUCION DE DSF GASTOS BANCARIOS CORRESPONDIENTES AL MES DE MARZO 2025- (1149 AL 1162)"/>
    <x v="82"/>
    <x v="2"/>
    <m/>
    <s v="    "/>
    <m/>
    <x v="3"/>
    <s v="Abril"/>
  </r>
  <r>
    <m/>
    <m/>
    <x v="0"/>
    <x v="0"/>
    <x v="0"/>
    <n v="-8069844"/>
    <s v="NIC-00036854"/>
    <d v="2025-04-15T00:00:00"/>
    <s v="DEVOLUCION DE DSF GASTOS BANCARIOS CORRESPONDIENTES AL MES DE MARZO 2025- (1149 AL 1162)"/>
    <x v="82"/>
    <x v="7"/>
    <m/>
    <s v="    "/>
    <m/>
    <x v="3"/>
    <s v="Abril"/>
  </r>
  <r>
    <m/>
    <m/>
    <x v="0"/>
    <x v="0"/>
    <x v="0"/>
    <n v="-846982.5"/>
    <s v="NIC-00036854"/>
    <d v="2025-04-15T00:00:00"/>
    <s v="DEVOLUCION DE DSF GASTOS BANCARIOS CORRESPONDIENTES AL MES DE MARZO 2025- (1149 AL 1162)"/>
    <x v="82"/>
    <x v="14"/>
    <m/>
    <s v="    "/>
    <m/>
    <x v="3"/>
    <s v="Abril"/>
  </r>
  <r>
    <m/>
    <m/>
    <x v="0"/>
    <x v="0"/>
    <x v="0"/>
    <n v="-1423500"/>
    <s v="NIC-00036854"/>
    <d v="2025-04-15T00:00:00"/>
    <s v="DEVOLUCION DE DSF GASTOS BANCARIOS CORRESPONDIENTES AL MES DE MARZO 2025- (1149 AL 1162)"/>
    <x v="82"/>
    <x v="12"/>
    <m/>
    <s v="    "/>
    <m/>
    <x v="3"/>
    <s v="Abril"/>
  </r>
  <r>
    <m/>
    <m/>
    <x v="0"/>
    <x v="0"/>
    <x v="0"/>
    <n v="-239997.6"/>
    <s v="NIC-00036854"/>
    <d v="2025-04-15T00:00:00"/>
    <s v="DEVOLUCION DE DSF GASTOS BANCARIOS CORRESPONDIENTES AL MES DE MARZO 2025- (1149 AL 1162)"/>
    <x v="82"/>
    <x v="9"/>
    <m/>
    <s v="    "/>
    <m/>
    <x v="3"/>
    <s v="Abril"/>
  </r>
  <r>
    <m/>
    <m/>
    <x v="0"/>
    <x v="0"/>
    <x v="0"/>
    <n v="-3990367.18"/>
    <s v="NIC-00036854"/>
    <d v="2025-04-15T00:00:00"/>
    <s v="DEVOLUCION DE DSF GASTOS BANCARIOS CORRESPONDIENTES AL MES DE MARZO 2025- (1149 AL 1162)"/>
    <x v="82"/>
    <x v="1"/>
    <m/>
    <s v="    "/>
    <m/>
    <x v="3"/>
    <s v="Abril"/>
  </r>
  <r>
    <m/>
    <m/>
    <x v="0"/>
    <x v="0"/>
    <x v="0"/>
    <n v="-475395.51"/>
    <s v="NIC-00036854"/>
    <d v="2025-04-15T00:00:00"/>
    <s v="DEVOLUCION DE DSF GASTOS BANCARIOS CORRESPONDIENTES AL MES DE MARZO 2025- (1149 AL 1162)"/>
    <x v="82"/>
    <x v="6"/>
    <m/>
    <s v="    "/>
    <m/>
    <x v="3"/>
    <s v="Abril"/>
  </r>
  <r>
    <m/>
    <m/>
    <x v="0"/>
    <x v="0"/>
    <x v="0"/>
    <n v="3529"/>
    <s v="NIP-00016995"/>
    <d v="2025-04-16T00:00:00"/>
    <s v="CONTABILIZACION IVA COMISON 4*1000"/>
    <x v="20"/>
    <x v="1"/>
    <m/>
    <s v="    "/>
    <m/>
    <x v="3"/>
    <s v="Abril"/>
  </r>
  <r>
    <m/>
    <m/>
    <x v="0"/>
    <x v="0"/>
    <x v="0"/>
    <n v="3529"/>
    <s v="NIP-00017036"/>
    <d v="2025-04-23T00:00:00"/>
    <s v="CONTABILIZACIÓN IVA COMISON Y 4*1000"/>
    <x v="83"/>
    <x v="1"/>
    <m/>
    <s v="    "/>
    <m/>
    <x v="3"/>
    <s v="Abril"/>
  </r>
  <r>
    <m/>
    <m/>
    <x v="0"/>
    <x v="0"/>
    <x v="0"/>
    <n v="3529"/>
    <s v="NIB-00006518"/>
    <d v="2025-04-24T00:00:00"/>
    <s v="PAGO ANTICIPO PAGO IMPUESTO VEHICULOS"/>
    <x v="84"/>
    <x v="1"/>
    <m/>
    <s v="    "/>
    <m/>
    <x v="3"/>
    <s v="Abril"/>
  </r>
  <r>
    <m/>
    <m/>
    <x v="0"/>
    <x v="0"/>
    <x v="0"/>
    <n v="12852055"/>
    <s v="NIB-00006567"/>
    <d v="2025-04-28T00:00:00"/>
    <s v="DEB. AUTOMATICO OBLIGACION LEASING FINANCIERO LP #3-1034698700 - CUOTA 10/60"/>
    <x v="85"/>
    <x v="1"/>
    <m/>
    <s v="    "/>
    <m/>
    <x v="3"/>
    <s v="Abril"/>
  </r>
  <r>
    <m/>
    <m/>
    <x v="0"/>
    <x v="0"/>
    <x v="0"/>
    <n v="3529"/>
    <s v="NIP-00017038"/>
    <d v="2025-04-28T00:00:00"/>
    <s v="REGISTRO COMISION PAGO ANTICIPO PARA IMPUESTOS VEHICULOS"/>
    <x v="86"/>
    <x v="1"/>
    <m/>
    <s v="    "/>
    <m/>
    <x v="3"/>
    <s v="Abril"/>
  </r>
  <r>
    <m/>
    <m/>
    <x v="0"/>
    <x v="1"/>
    <x v="1"/>
    <n v="2445246"/>
    <s v="NIB-00006508"/>
    <d v="2025-04-29T00:00:00"/>
    <s v="FACTORING KLYM FAN-29918 PAGO Y COMISIONES"/>
    <x v="87"/>
    <x v="10"/>
    <m/>
    <s v="    "/>
    <m/>
    <x v="3"/>
    <s v="Abril"/>
  </r>
  <r>
    <m/>
    <m/>
    <x v="0"/>
    <x v="0"/>
    <x v="0"/>
    <n v="3558750"/>
    <s v="FAC-00046325"/>
    <d v="2025-04-30T00:00:00"/>
    <s v="SOC84695- COMISION POR ADMINISTRACION"/>
    <x v="88"/>
    <x v="5"/>
    <m/>
    <s v="    "/>
    <m/>
    <x v="3"/>
    <s v="Abril"/>
  </r>
  <r>
    <m/>
    <m/>
    <x v="0"/>
    <x v="0"/>
    <x v="0"/>
    <n v="1339481"/>
    <s v="NIB-00006558"/>
    <d v="2025-04-30T00:00:00"/>
    <s v="GASTOS BANCARIOS BGTA TULUA 612036319 MES DE ABRIL 2025"/>
    <x v="89"/>
    <x v="3"/>
    <m/>
    <s v="    "/>
    <m/>
    <x v="3"/>
    <s v="Abril"/>
  </r>
  <r>
    <m/>
    <m/>
    <x v="0"/>
    <x v="0"/>
    <x v="0"/>
    <n v="73668"/>
    <s v="NIB-00006559"/>
    <d v="2025-04-30T00:00:00"/>
    <s v="GASTOS BANCARIOS BGTA CALI 256096355 MES DE ABRIL 2025"/>
    <x v="90"/>
    <x v="3"/>
    <m/>
    <s v="    "/>
    <m/>
    <x v="3"/>
    <s v="Abril"/>
  </r>
  <r>
    <m/>
    <m/>
    <x v="0"/>
    <x v="0"/>
    <x v="0"/>
    <n v="1029094.16"/>
    <s v="NIB-00006562"/>
    <d v="2025-04-30T00:00:00"/>
    <s v="GASTOS BANCARIOS BANCOLOMBIA CTA AHORROS 306-315139-79 MES DE ABRIL 2025"/>
    <x v="91"/>
    <x v="1"/>
    <m/>
    <s v="    "/>
    <m/>
    <x v="3"/>
    <s v="Abril"/>
  </r>
  <r>
    <m/>
    <m/>
    <x v="0"/>
    <x v="0"/>
    <x v="0"/>
    <n v="8003222"/>
    <s v="NIB-00006564"/>
    <d v="2025-04-30T00:00:00"/>
    <s v="GASTROS BANCARIOS DAVIVIENDA CAT CTE 7678 MES DE ABRIL 2025"/>
    <x v="92"/>
    <x v="7"/>
    <m/>
    <s v="    "/>
    <m/>
    <x v="3"/>
    <s v="Abril"/>
  </r>
  <r>
    <m/>
    <m/>
    <x v="0"/>
    <x v="0"/>
    <x v="0"/>
    <n v="3650"/>
    <s v="NIB-00006565"/>
    <d v="2025-04-30T00:00:00"/>
    <s v="GASTOS BANCARIOS BANCO POPULAR 2276 CTA CTE MES DE ABRIL 2025"/>
    <x v="93"/>
    <x v="2"/>
    <m/>
    <s v="    "/>
    <m/>
    <x v="3"/>
    <s v="Abril"/>
  </r>
  <r>
    <m/>
    <m/>
    <x v="0"/>
    <x v="0"/>
    <x v="0"/>
    <n v="269103.01"/>
    <s v="NIB-00006574"/>
    <d v="2025-04-30T00:00:00"/>
    <s v="GASTOS BANCARIOS BANCOLOMBIA PANAMA TCA CTE 10400455 MES DE ABRIL 2025"/>
    <x v="94"/>
    <x v="6"/>
    <m/>
    <s v="    "/>
    <m/>
    <x v="3"/>
    <s v="Abril"/>
  </r>
  <r>
    <m/>
    <m/>
    <x v="0"/>
    <x v="0"/>
    <x v="0"/>
    <n v="2883447.6"/>
    <s v="NIB-00006647"/>
    <d v="2025-04-30T00:00:00"/>
    <s v="GASTOS BANCARIOS BANCOLOMBIA CTE 801-041522-01 MES DE ABRIL 2025"/>
    <x v="95"/>
    <x v="1"/>
    <m/>
    <s v="    "/>
    <m/>
    <x v="3"/>
    <s v="Abril"/>
  </r>
  <r>
    <m/>
    <m/>
    <x v="0"/>
    <x v="1"/>
    <x v="1"/>
    <n v="6867236"/>
    <s v="NIC-00037062"/>
    <d v="2025-04-30T00:00:00"/>
    <s v="REGISTRO COMISIONES FACTORIGN"/>
    <x v="96"/>
    <x v="8"/>
    <m/>
    <s v="    "/>
    <m/>
    <x v="3"/>
    <s v="Abril"/>
  </r>
  <r>
    <m/>
    <m/>
    <x v="0"/>
    <x v="1"/>
    <x v="1"/>
    <n v="2936269.65"/>
    <s v="NIC-00037062"/>
    <d v="2025-04-30T00:00:00"/>
    <s v="REGISTRO COMISIONES FACTORIGN"/>
    <x v="96"/>
    <x v="7"/>
    <m/>
    <s v="    "/>
    <m/>
    <x v="3"/>
    <s v="Abril"/>
  </r>
  <r>
    <m/>
    <m/>
    <x v="0"/>
    <x v="1"/>
    <x v="1"/>
    <n v="20734350.5"/>
    <s v="NIC-00037062"/>
    <d v="2025-04-30T00:00:00"/>
    <s v="REGISTRO COMISIONES FACTORIGN"/>
    <x v="96"/>
    <x v="10"/>
    <m/>
    <s v="    "/>
    <m/>
    <x v="3"/>
    <s v="Abril"/>
  </r>
  <r>
    <m/>
    <m/>
    <x v="0"/>
    <x v="0"/>
    <x v="0"/>
    <n v="-12852055"/>
    <s v="NIC-00037065"/>
    <d v="2025-04-30T00:00:00"/>
    <s v="AJUSTE DE CUENTA EN NIB6567 -DEB. AUTOMATICO OBLIGACION LEASING FINANCIERO LP #3-1034698700 - CUOTA 10/60"/>
    <x v="97"/>
    <x v="1"/>
    <m/>
    <s v="    "/>
    <m/>
    <x v="3"/>
    <s v="Abril"/>
  </r>
  <r>
    <m/>
    <m/>
    <x v="0"/>
    <x v="0"/>
    <x v="0"/>
    <n v="3529"/>
    <s v="NIP-00017034"/>
    <d v="2025-04-30T00:00:00"/>
    <s v="CONTABILIZACIÓN IVA COMISON 4*1000"/>
    <x v="1"/>
    <x v="1"/>
    <m/>
    <s v="    "/>
    <m/>
    <x v="3"/>
    <s v="Abril"/>
  </r>
  <r>
    <m/>
    <m/>
    <x v="0"/>
    <x v="0"/>
    <x v="0"/>
    <n v="3529"/>
    <s v="NIP-00017035"/>
    <d v="2025-04-30T00:00:00"/>
    <s v="CONTABILIZACIÓN IVA 4*1000"/>
    <x v="98"/>
    <x v="1"/>
    <m/>
    <s v="    "/>
    <m/>
    <x v="3"/>
    <s v="Abril"/>
  </r>
  <r>
    <m/>
    <m/>
    <x v="0"/>
    <x v="0"/>
    <x v="0"/>
    <n v="3529"/>
    <s v="NIP-00017037"/>
    <d v="2025-04-30T00:00:00"/>
    <s v="ANTICIPO CARGUE TARJETA TESORERA COMPRA USD 500 PARA GERENCIA AUT. DIREC.FINANCIERA"/>
    <x v="99"/>
    <x v="1"/>
    <m/>
    <s v="    "/>
    <m/>
    <x v="3"/>
    <s v="Abril"/>
  </r>
  <r>
    <m/>
    <m/>
    <x v="0"/>
    <x v="1"/>
    <x v="1"/>
    <n v="8941687.1799999997"/>
    <s v="NIC-00037073"/>
    <d v="2025-05-05T00:00:00"/>
    <s v="COMISION FACTORING"/>
    <x v="100"/>
    <x v="8"/>
    <m/>
    <m/>
    <m/>
    <x v="4"/>
    <s v="Mayo"/>
  </r>
  <r>
    <m/>
    <m/>
    <x v="0"/>
    <x v="1"/>
    <x v="1"/>
    <n v="21179929.489999998"/>
    <s v="NIC-00037073"/>
    <d v="2025-05-05T00:00:00"/>
    <s v="COMISION FACTORING"/>
    <x v="100"/>
    <x v="7"/>
    <m/>
    <m/>
    <m/>
    <x v="4"/>
    <s v="Mayo"/>
  </r>
  <r>
    <m/>
    <m/>
    <x v="0"/>
    <x v="1"/>
    <x v="1"/>
    <n v="636813"/>
    <s v="NIC-00037073"/>
    <d v="2025-05-05T00:00:00"/>
    <s v="COMISION FACTORING"/>
    <x v="100"/>
    <x v="10"/>
    <m/>
    <m/>
    <m/>
    <x v="4"/>
    <s v="Mayo"/>
  </r>
  <r>
    <m/>
    <m/>
    <x v="0"/>
    <x v="0"/>
    <x v="0"/>
    <n v="3529"/>
    <s v="NIP-00017058"/>
    <d v="2025-05-06T00:00:00"/>
    <s v="CONTABILIZACIÓN IVA COMISION 4*1000"/>
    <x v="2"/>
    <x v="1"/>
    <m/>
    <m/>
    <m/>
    <x v="4"/>
    <s v="Mayo"/>
  </r>
  <r>
    <m/>
    <m/>
    <x v="0"/>
    <x v="0"/>
    <x v="0"/>
    <n v="3529"/>
    <s v="NIP-00017059"/>
    <d v="2025-05-06T00:00:00"/>
    <s v="CONTABILIZACIÓN IVA COMISON 4*1000"/>
    <x v="1"/>
    <x v="1"/>
    <m/>
    <m/>
    <m/>
    <x v="4"/>
    <s v="Mayo"/>
  </r>
  <r>
    <m/>
    <m/>
    <x v="0"/>
    <x v="0"/>
    <x v="0"/>
    <n v="11004"/>
    <s v="NIB-00006642"/>
    <d v="2025-05-07T00:00:00"/>
    <s v="PAGO DE EMBARGOS JUDICIALES INGENIO CARMELITA - ARCHIVO: 1519692 - ARCHIVO: GD2025050708919001961_04.TXT - CODIGO: 30030 - REGISTRO CARGADOS 21"/>
    <x v="101"/>
    <x v="0"/>
    <m/>
    <m/>
    <m/>
    <x v="4"/>
    <s v="Mayo"/>
  </r>
  <r>
    <m/>
    <m/>
    <x v="0"/>
    <x v="1"/>
    <x v="1"/>
    <n v="2003350.25"/>
    <s v="NIB-00006648"/>
    <d v="2025-05-07T00:00:00"/>
    <s v="FACTORING KLYM -COMISIONES FAN-30080 - 30110"/>
    <x v="102"/>
    <x v="10"/>
    <m/>
    <m/>
    <m/>
    <x v="4"/>
    <s v="Mayo"/>
  </r>
  <r>
    <m/>
    <m/>
    <x v="0"/>
    <x v="1"/>
    <x v="1"/>
    <n v="3235934.23"/>
    <s v="NIB-00006649"/>
    <d v="2025-05-08T00:00:00"/>
    <s v="FACTORING BBVA -COMISIONES FAN-29985-30103-30106"/>
    <x v="103"/>
    <x v="8"/>
    <m/>
    <m/>
    <m/>
    <x v="4"/>
    <s v="Mayo"/>
  </r>
  <r>
    <m/>
    <m/>
    <x v="0"/>
    <x v="0"/>
    <x v="2"/>
    <n v="14477789"/>
    <s v="NIP-00017083"/>
    <d v="2025-05-13T00:00:00"/>
    <s v="CLFV21747 : COMISION CORRESAGRO - SERV DE REGRISTRO BMC 860071250"/>
    <x v="104"/>
    <x v="11"/>
    <m/>
    <m/>
    <m/>
    <x v="4"/>
    <s v="Mayo"/>
  </r>
  <r>
    <m/>
    <m/>
    <x v="0"/>
    <x v="0"/>
    <x v="2"/>
    <n v="5459528"/>
    <s v="NIP-00017084"/>
    <d v="2025-05-13T00:00:00"/>
    <s v="CLFV21746 : COMISION CORRESAGRO - SERV DE REGRISTRO BMC 860071250"/>
    <x v="105"/>
    <x v="11"/>
    <m/>
    <m/>
    <m/>
    <x v="4"/>
    <s v="Mayo"/>
  </r>
  <r>
    <m/>
    <m/>
    <x v="0"/>
    <x v="0"/>
    <x v="2"/>
    <n v="1980"/>
    <s v="NIP-00017085"/>
    <d v="2025-05-13T00:00:00"/>
    <s v="CLFV21721 : serv modificacion BMC 860071250"/>
    <x v="106"/>
    <x v="11"/>
    <m/>
    <m/>
    <m/>
    <x v="4"/>
    <s v="Mayo"/>
  </r>
  <r>
    <m/>
    <m/>
    <x v="0"/>
    <x v="0"/>
    <x v="0"/>
    <n v="3529"/>
    <s v="NIP-00017086"/>
    <d v="2025-05-13T00:00:00"/>
    <s v="CONTABILIZACION IVA COMISON 4*1000"/>
    <x v="20"/>
    <x v="1"/>
    <m/>
    <m/>
    <m/>
    <x v="4"/>
    <s v="Mayo"/>
  </r>
  <r>
    <m/>
    <m/>
    <x v="0"/>
    <x v="0"/>
    <x v="2"/>
    <n v="324200"/>
    <s v="NIP-00017099"/>
    <d v="2025-05-15T00:00:00"/>
    <s v="CLFV20653 : COMISION CORREAGRO 1.00 82,382.00 82,382.00 SERBMC SERV DE REGISTRO BMC 860071250 1.00 203,208.00 203,208.00 IVABMC IVA SERV DE REGISTRO BMC 19% - MES DE ENERO 2025"/>
    <x v="107"/>
    <x v="11"/>
    <m/>
    <m/>
    <m/>
    <x v="4"/>
    <s v="Mayo"/>
  </r>
  <r>
    <m/>
    <m/>
    <x v="0"/>
    <x v="0"/>
    <x v="2"/>
    <n v="1490708"/>
    <s v="NIP-00017100"/>
    <d v="2025-05-15T00:00:00"/>
    <s v="CLFV20652 - COMISION CORREAGRO 1.00 300,142.00 300,142.00 SERBMC SERV DE REGISTRO BMC 860071250 1.00 1,000,476.00 1,000,476.00 IVABMC IVA SERV DE REGISTRO BMC 19% - MS DE ENERO"/>
    <x v="108"/>
    <x v="11"/>
    <m/>
    <m/>
    <m/>
    <x v="4"/>
    <s v="Mayo"/>
  </r>
  <r>
    <m/>
    <m/>
    <x v="0"/>
    <x v="0"/>
    <x v="0"/>
    <n v="3558750"/>
    <s v="FAC-00046484"/>
    <d v="2025-05-19T00:00:00"/>
    <s v="SOC86094 - COMISION FIJA POR ADMINISTRACION: PERIODO DE FACTURACION MES DE MAYO 2025"/>
    <x v="109"/>
    <x v="5"/>
    <m/>
    <m/>
    <m/>
    <x v="4"/>
    <s v="Mayo"/>
  </r>
  <r>
    <m/>
    <m/>
    <x v="0"/>
    <x v="0"/>
    <x v="0"/>
    <n v="419428"/>
    <s v="NIB-00006713"/>
    <d v="2025-05-19T00:00:00"/>
    <s v="COMISIONES BANCARIAS MES DE MARZO 2025- ITAU PANAMA"/>
    <x v="110"/>
    <x v="9"/>
    <m/>
    <m/>
    <m/>
    <x v="4"/>
    <s v="Mayo"/>
  </r>
  <r>
    <m/>
    <m/>
    <x v="0"/>
    <x v="0"/>
    <x v="0"/>
    <n v="3529"/>
    <s v="NIP-00017120"/>
    <d v="2025-05-19T00:00:00"/>
    <s v="CONTABILIZACION IVA COMISION 4*1000"/>
    <x v="43"/>
    <x v="1"/>
    <m/>
    <m/>
    <m/>
    <x v="4"/>
    <s v="Mayo"/>
  </r>
  <r>
    <m/>
    <m/>
    <x v="0"/>
    <x v="0"/>
    <x v="0"/>
    <n v="1035340.4"/>
    <s v="NIB-00006717"/>
    <d v="2025-05-22T00:00:00"/>
    <s v="FACTRING DAVIVIENDA-RED CAPITAL FAN-30318"/>
    <x v="111"/>
    <x v="7"/>
    <m/>
    <m/>
    <m/>
    <x v="4"/>
    <s v="Mayo"/>
  </r>
  <r>
    <m/>
    <m/>
    <x v="0"/>
    <x v="1"/>
    <x v="1"/>
    <n v="10114043"/>
    <s v="NIB-00006720"/>
    <d v="2025-05-22T00:00:00"/>
    <s v="FACTORING DAVIVIENDA RED CAPITAL - FAN-30261-30259-30275-30270-30274-30279-30282-3029630306-30319"/>
    <x v="112"/>
    <x v="7"/>
    <m/>
    <m/>
    <m/>
    <x v="4"/>
    <s v="Mayo"/>
  </r>
  <r>
    <m/>
    <m/>
    <x v="0"/>
    <x v="0"/>
    <x v="0"/>
    <n v="239997.6"/>
    <s v="NIP-00017137"/>
    <d v="2025-05-22T00:00:00"/>
    <s v="GASTOS BANCARIOS MES DE MARZO 2025-"/>
    <x v="113"/>
    <x v="9"/>
    <m/>
    <m/>
    <m/>
    <x v="4"/>
    <s v="Mayo"/>
  </r>
  <r>
    <m/>
    <m/>
    <x v="0"/>
    <x v="1"/>
    <x v="1"/>
    <n v="2280115.27"/>
    <s v="NIB-00006722"/>
    <d v="2025-05-23T00:00:00"/>
    <s v="FACTORING BBVA FAC-30278"/>
    <x v="114"/>
    <x v="8"/>
    <m/>
    <m/>
    <m/>
    <x v="4"/>
    <s v="Mayo"/>
  </r>
  <r>
    <m/>
    <m/>
    <x v="0"/>
    <x v="1"/>
    <x v="1"/>
    <n v="12781016.65"/>
    <s v="NIB-00006724"/>
    <d v="2025-05-23T00:00:00"/>
    <s v="FACTRORING BBVA FAN-30262-30299-30307-30342-30358-30361"/>
    <x v="115"/>
    <x v="8"/>
    <m/>
    <m/>
    <m/>
    <x v="4"/>
    <s v="Mayo"/>
  </r>
  <r>
    <m/>
    <m/>
    <x v="0"/>
    <x v="0"/>
    <x v="0"/>
    <n v="3529"/>
    <s v="NIP-00017146"/>
    <d v="2025-05-26T00:00:00"/>
    <s v="CONTABILIZACION IVA COMISION 4*1000"/>
    <x v="43"/>
    <x v="1"/>
    <m/>
    <m/>
    <m/>
    <x v="4"/>
    <s v="Mayo"/>
  </r>
  <r>
    <m/>
    <m/>
    <x v="0"/>
    <x v="0"/>
    <x v="0"/>
    <n v="3529"/>
    <s v="NIP-00017147"/>
    <d v="2025-05-26T00:00:00"/>
    <s v="CONTABILIZACÓN IVA COMISION 4*1000"/>
    <x v="116"/>
    <x v="1"/>
    <m/>
    <m/>
    <m/>
    <x v="4"/>
    <s v="Mayo"/>
  </r>
  <r>
    <m/>
    <m/>
    <x v="0"/>
    <x v="0"/>
    <x v="0"/>
    <n v="1413149"/>
    <s v="DSF-00001221"/>
    <d v="2025-05-28T00:00:00"/>
    <s v="GASTOS BANCARIOS CORRESPONDIENTES AL MES DE ABRIL 2025"/>
    <x v="117"/>
    <x v="3"/>
    <m/>
    <m/>
    <m/>
    <x v="4"/>
    <s v="Mayo"/>
  </r>
  <r>
    <m/>
    <m/>
    <x v="0"/>
    <x v="0"/>
    <x v="0"/>
    <n v="3954889.76"/>
    <s v="DSF-00001223"/>
    <d v="2025-05-28T00:00:00"/>
    <s v="GASTOS BANCARIOS CORRESPONDIENTES AL MES DE ABRIL 2025"/>
    <x v="117"/>
    <x v="1"/>
    <m/>
    <m/>
    <m/>
    <x v="4"/>
    <s v="Mayo"/>
  </r>
  <r>
    <m/>
    <m/>
    <x v="0"/>
    <x v="0"/>
    <x v="0"/>
    <n v="10939491.65"/>
    <s v="DSF-00001224"/>
    <d v="2025-05-28T00:00:00"/>
    <s v="GASTOS BANCARIOS CORRESPONDIENTES AL MES DE ABRIL 2025"/>
    <x v="117"/>
    <x v="7"/>
    <m/>
    <m/>
    <m/>
    <x v="4"/>
    <s v="Mayo"/>
  </r>
  <r>
    <m/>
    <m/>
    <x v="0"/>
    <x v="0"/>
    <x v="0"/>
    <n v="13140"/>
    <s v="DSF-00001226"/>
    <d v="2025-05-28T00:00:00"/>
    <s v="GASTOS BANCARIOS CORRESPONDIENTES AL MES DE ABRIL 2025"/>
    <x v="117"/>
    <x v="0"/>
    <m/>
    <m/>
    <m/>
    <x v="4"/>
    <s v="Mayo"/>
  </r>
  <r>
    <m/>
    <m/>
    <x v="0"/>
    <x v="0"/>
    <x v="0"/>
    <n v="3650"/>
    <s v="DSF-00001227"/>
    <d v="2025-05-28T00:00:00"/>
    <s v="GASTOS BANCARIOS CORRESPONDIENTE AL MES DE ABRIL 2025"/>
    <x v="118"/>
    <x v="2"/>
    <m/>
    <m/>
    <m/>
    <x v="4"/>
    <s v="Mayo"/>
  </r>
  <r>
    <m/>
    <m/>
    <x v="0"/>
    <x v="0"/>
    <x v="0"/>
    <n v="67603541.569999993"/>
    <s v="DSF-00001229"/>
    <d v="2025-05-28T00:00:00"/>
    <s v="GASTOS BANCARIOS CORRESPONDIENTES AL MES DE ABRIL 2025"/>
    <x v="117"/>
    <x v="8"/>
    <m/>
    <m/>
    <m/>
    <x v="4"/>
    <s v="Mayo"/>
  </r>
  <r>
    <m/>
    <m/>
    <x v="0"/>
    <x v="0"/>
    <x v="0"/>
    <n v="3558750"/>
    <s v="DSF-00001230"/>
    <d v="2025-05-28T00:00:00"/>
    <s v="GASTOS BANCARIOS CORRESPONDIENTES AL MES DE ABRIL 2025"/>
    <x v="117"/>
    <x v="5"/>
    <m/>
    <m/>
    <m/>
    <x v="4"/>
    <s v="Mayo"/>
  </r>
  <r>
    <m/>
    <m/>
    <x v="0"/>
    <x v="0"/>
    <x v="0"/>
    <n v="269103.01"/>
    <s v="DSF-00001231"/>
    <d v="2025-05-28T00:00:00"/>
    <s v="GASTOS BANCARIOS CORRESPONDIENTES AL MES DE ABRIL 2025"/>
    <x v="117"/>
    <x v="6"/>
    <m/>
    <m/>
    <m/>
    <x v="4"/>
    <s v="Mayo"/>
  </r>
  <r>
    <m/>
    <m/>
    <x v="0"/>
    <x v="0"/>
    <x v="0"/>
    <n v="-13140"/>
    <s v="NIC-00037188"/>
    <d v="2025-05-28T00:00:00"/>
    <s v="DEVOLUCION DE DSF - GASTOS BANCARIOS CORRESPONDIENTES AL MES DE ABRIL 2025- (DESDE DSF1221 AL DSF1229)"/>
    <x v="119"/>
    <x v="0"/>
    <m/>
    <m/>
    <m/>
    <x v="4"/>
    <s v="Mayo"/>
  </r>
  <r>
    <m/>
    <m/>
    <x v="0"/>
    <x v="0"/>
    <x v="0"/>
    <n v="-3558750"/>
    <s v="NIC-00037188"/>
    <d v="2025-05-28T00:00:00"/>
    <s v="DEVOLUCION DE DSF - GASTOS BANCARIOS CORRESPONDIENTES AL MES DE ABRIL 2025- (DESDE DSF1221 AL DSF1229)"/>
    <x v="119"/>
    <x v="5"/>
    <m/>
    <m/>
    <m/>
    <x v="4"/>
    <s v="Mayo"/>
  </r>
  <r>
    <m/>
    <m/>
    <x v="0"/>
    <x v="0"/>
    <x v="0"/>
    <n v="-1413149"/>
    <s v="NIC-00037188"/>
    <d v="2025-05-28T00:00:00"/>
    <s v="DEVOLUCION DE DSF - GASTOS BANCARIOS CORRESPONDIENTES AL MES DE ABRIL 2025- (DESDE DSF1221 AL DSF1229)"/>
    <x v="119"/>
    <x v="3"/>
    <m/>
    <m/>
    <m/>
    <x v="4"/>
    <s v="Mayo"/>
  </r>
  <r>
    <m/>
    <m/>
    <x v="0"/>
    <x v="0"/>
    <x v="0"/>
    <n v="-67603541.569999993"/>
    <s v="NIC-00037188"/>
    <d v="2025-05-28T00:00:00"/>
    <s v="DEVOLUCION DE DSF - GASTOS BANCARIOS CORRESPONDIENTES AL MES DE ABRIL 2025- (DESDE DSF1221 AL DSF1229)"/>
    <x v="119"/>
    <x v="8"/>
    <m/>
    <m/>
    <m/>
    <x v="4"/>
    <s v="Mayo"/>
  </r>
  <r>
    <m/>
    <m/>
    <x v="0"/>
    <x v="0"/>
    <x v="0"/>
    <n v="-3650"/>
    <s v="NIC-00037188"/>
    <d v="2025-05-28T00:00:00"/>
    <s v="DEVOLUCION DE DSF - GASTOS BANCARIOS CORRESPONDIENTES AL MES DE ABRIL 2025- (DESDE DSF1221 AL DSF1229)"/>
    <x v="119"/>
    <x v="2"/>
    <m/>
    <m/>
    <m/>
    <x v="4"/>
    <s v="Mayo"/>
  </r>
  <r>
    <m/>
    <m/>
    <x v="0"/>
    <x v="0"/>
    <x v="0"/>
    <n v="-10939491.65"/>
    <s v="NIC-00037188"/>
    <d v="2025-05-28T00:00:00"/>
    <s v="DEVOLUCION DE DSF - GASTOS BANCARIOS CORRESPONDIENTES AL MES DE ABRIL 2025- (DESDE DSF1221 AL DSF1229)"/>
    <x v="119"/>
    <x v="7"/>
    <m/>
    <m/>
    <m/>
    <x v="4"/>
    <s v="Mayo"/>
  </r>
  <r>
    <m/>
    <m/>
    <x v="0"/>
    <x v="0"/>
    <x v="0"/>
    <n v="-3954889.76"/>
    <s v="NIC-00037188"/>
    <d v="2025-05-28T00:00:00"/>
    <s v="DEVOLUCION DE DSF - GASTOS BANCARIOS CORRESPONDIENTES AL MES DE ABRIL 2025- (DESDE DSF1221 AL DSF1229)"/>
    <x v="119"/>
    <x v="1"/>
    <m/>
    <m/>
    <m/>
    <x v="4"/>
    <s v="Mayo"/>
  </r>
  <r>
    <m/>
    <m/>
    <x v="0"/>
    <x v="0"/>
    <x v="0"/>
    <n v="-269103.01"/>
    <s v="NIC-00037188"/>
    <d v="2025-05-28T00:00:00"/>
    <s v="DEVOLUCION DE DSF - GASTOS BANCARIOS CORRESPONDIENTES AL MES DE ABRIL 2025- (DESDE DSF1221 AL DSF1229)"/>
    <x v="119"/>
    <x v="6"/>
    <m/>
    <m/>
    <m/>
    <x v="4"/>
    <s v="Mayo"/>
  </r>
  <r>
    <m/>
    <m/>
    <x v="0"/>
    <x v="0"/>
    <x v="2"/>
    <n v="-83641"/>
    <s v="NIC-00037218"/>
    <d v="2025-05-30T00:00:00"/>
    <s v="CRUCE DE NOTA CREDITO ENCL146 - DE LA FACTURA AFECTADA: FZ22104"/>
    <x v="120"/>
    <x v="11"/>
    <m/>
    <m/>
    <m/>
    <x v="4"/>
    <s v="Mayo"/>
  </r>
  <r>
    <m/>
    <m/>
    <x v="0"/>
    <x v="1"/>
    <x v="1"/>
    <n v="857500"/>
    <s v="NIC-00037431"/>
    <d v="2025-05-30T00:00:00"/>
    <s v="COMISION FACTORING KLYM FAN -29976"/>
    <x v="121"/>
    <x v="10"/>
    <m/>
    <m/>
    <m/>
    <x v="4"/>
    <s v="Mayo"/>
  </r>
  <r>
    <m/>
    <m/>
    <x v="0"/>
    <x v="1"/>
    <x v="1"/>
    <n v="1754226.75"/>
    <s v="NIC-00037433"/>
    <d v="2025-05-30T00:00:00"/>
    <s v="COMISION FACTORING KLYM FAN-298"/>
    <x v="122"/>
    <x v="10"/>
    <m/>
    <m/>
    <m/>
    <x v="4"/>
    <s v="Mayo"/>
  </r>
  <r>
    <m/>
    <m/>
    <x v="0"/>
    <x v="0"/>
    <x v="2"/>
    <n v="12233000"/>
    <s v="NIP-00017180"/>
    <d v="2025-05-30T00:00:00"/>
    <s v="CLFV22104 - COMSIION CORREAGRO - SERRV DE REGRISTRO BMC 860071250"/>
    <x v="123"/>
    <x v="11"/>
    <m/>
    <m/>
    <m/>
    <x v="4"/>
    <s v="Mayo"/>
  </r>
  <r>
    <m/>
    <m/>
    <x v="0"/>
    <x v="0"/>
    <x v="2"/>
    <n v="5563434"/>
    <s v="NIP-00017182"/>
    <d v="2025-05-30T00:00:00"/>
    <s v="CLFV22103 - COMISION CORREAGRO - SERV DE REGISTRO BMC 860071250 - IVA"/>
    <x v="124"/>
    <x v="11"/>
    <m/>
    <m/>
    <m/>
    <x v="4"/>
    <s v="Mayo"/>
  </r>
  <r>
    <m/>
    <m/>
    <x v="0"/>
    <x v="0"/>
    <x v="2"/>
    <n v="32387"/>
    <s v="NIP-00017183"/>
    <d v="2025-05-30T00:00:00"/>
    <s v="CLFV22088 - SERV MODIFICACION BMC 86071250 - IVA"/>
    <x v="125"/>
    <x v="11"/>
    <m/>
    <m/>
    <m/>
    <x v="4"/>
    <s v="Mayo"/>
  </r>
  <r>
    <m/>
    <m/>
    <x v="0"/>
    <x v="0"/>
    <x v="0"/>
    <n v="3558750"/>
    <s v="FAC-00046704"/>
    <d v="2025-04-15T00:00:00"/>
    <s v="FAC133899 - COMISION FIJA MES DE ABRIL 2025"/>
    <x v="126"/>
    <x v="4"/>
    <m/>
    <m/>
    <m/>
    <x v="3"/>
    <s v="Abril"/>
  </r>
  <r>
    <m/>
    <m/>
    <x v="0"/>
    <x v="0"/>
    <x v="0"/>
    <n v="3558750"/>
    <s v="FAC-00046705"/>
    <d v="2025-05-31T00:00:00"/>
    <s v="FAC134280 - COMISION FIJA MES DE MAYO 2025"/>
    <x v="127"/>
    <x v="4"/>
    <m/>
    <m/>
    <m/>
    <x v="4"/>
    <s v="Mayo"/>
  </r>
  <r>
    <m/>
    <m/>
    <x v="0"/>
    <x v="0"/>
    <x v="0"/>
    <n v="245438.28"/>
    <s v="NIB-00006759"/>
    <d v="2025-05-31T00:00:00"/>
    <s v="REGISTRO DE COMISION Y RENDIMIENTOS FINANCIEROS BANCOLOMBIA PANAMA MES DE MAYO 2025"/>
    <x v="128"/>
    <x v="6"/>
    <m/>
    <m/>
    <m/>
    <x v="4"/>
    <s v="Mayo"/>
  </r>
  <r>
    <m/>
    <m/>
    <x v="0"/>
    <x v="0"/>
    <x v="0"/>
    <n v="1348334"/>
    <s v="NIB-00006760"/>
    <d v="2025-05-31T00:00:00"/>
    <s v="COMISIONES BANCARIAS BANCTO ITAU PANAMA - CTA COMPENSACION 102068322 MES DE MAYO 2025"/>
    <x v="129"/>
    <x v="9"/>
    <m/>
    <m/>
    <m/>
    <x v="4"/>
    <s v="Mayo"/>
  </r>
  <r>
    <m/>
    <m/>
    <x v="0"/>
    <x v="0"/>
    <x v="0"/>
    <n v="962213.76"/>
    <s v="NIB-00006775"/>
    <d v="2025-05-31T00:00:00"/>
    <s v="GASTOS BANCARIOS BANCOLOMBIA CTA AHORRO 30631513979 - MES DE MAYO 2025"/>
    <x v="130"/>
    <x v="1"/>
    <m/>
    <m/>
    <m/>
    <x v="4"/>
    <s v="Mayo"/>
  </r>
  <r>
    <m/>
    <m/>
    <x v="0"/>
    <x v="0"/>
    <x v="0"/>
    <n v="2617723.42"/>
    <s v="NIB-00006776"/>
    <d v="2025-05-31T00:00:00"/>
    <s v="GASTOS BANCARIOS BANCOLOMBIA CTA CTE 80104152201 - MES DE MAYO 2025"/>
    <x v="131"/>
    <x v="1"/>
    <m/>
    <m/>
    <m/>
    <x v="4"/>
    <s v="Mayo"/>
  </r>
  <r>
    <m/>
    <m/>
    <x v="0"/>
    <x v="0"/>
    <x v="0"/>
    <n v="80124"/>
    <s v="NIB-00006781"/>
    <d v="2025-05-31T00:00:00"/>
    <s v="GASTOS BANCARIOS BANCO DE BOGOTA CALI CTA CTE 256096355 - MES DE MAYO 2025"/>
    <x v="132"/>
    <x v="3"/>
    <m/>
    <m/>
    <m/>
    <x v="4"/>
    <s v="Mayo"/>
  </r>
  <r>
    <m/>
    <m/>
    <x v="0"/>
    <x v="0"/>
    <x v="0"/>
    <n v="1621301"/>
    <s v="NIB-00006782"/>
    <d v="2025-05-31T00:00:00"/>
    <s v="GASTOS BANCARIOS BANCO DE BOGOTA CTA CTE  612036319 - MES DE MAYO 2025"/>
    <x v="133"/>
    <x v="3"/>
    <m/>
    <m/>
    <m/>
    <x v="4"/>
    <s v="Mayo"/>
  </r>
  <r>
    <m/>
    <m/>
    <x v="0"/>
    <x v="0"/>
    <x v="0"/>
    <n v="719992.8"/>
    <s v="NIB-00006826"/>
    <d v="2025-05-31T00:00:00"/>
    <s v="GASTOS BANCARIOS BANCO ITAU CTA CTE 301-44051-7  MES DE MARZO 2025"/>
    <x v="134"/>
    <x v="9"/>
    <m/>
    <m/>
    <m/>
    <x v="4"/>
    <s v="Mayo"/>
  </r>
  <r>
    <m/>
    <m/>
    <x v="0"/>
    <x v="0"/>
    <x v="0"/>
    <n v="24284"/>
    <s v="NIB-00006835"/>
    <d v="2025-05-31T00:00:00"/>
    <s v="COMISION (DEBITO POR RECHAZOS PAGOS) MAYO 2025 BANCOLOMBIA CTA CTE 80104152201"/>
    <x v="135"/>
    <x v="1"/>
    <m/>
    <m/>
    <m/>
    <x v="4"/>
    <s v="Mayo"/>
  </r>
  <r>
    <m/>
    <m/>
    <x v="0"/>
    <x v="0"/>
    <x v="0"/>
    <n v="7221723"/>
    <s v="NIB-00006839"/>
    <d v="2025-05-31T00:00:00"/>
    <s v="GASTOS BANCARIOS DAVIVIENDA 379469997678 - MES DE MAYO 2025"/>
    <x v="136"/>
    <x v="7"/>
    <m/>
    <m/>
    <m/>
    <x v="4"/>
    <s v="Mayo"/>
  </r>
  <r>
    <m/>
    <m/>
    <x v="0"/>
    <x v="0"/>
    <x v="0"/>
    <n v="14116"/>
    <s v="NIP-00017192"/>
    <d v="2025-06-04T00:00:00"/>
    <s v="CONTABILIZACION IVA COMISON 4*1000"/>
    <x v="20"/>
    <x v="1"/>
    <m/>
    <m/>
    <m/>
    <x v="5"/>
    <s v="Junio"/>
  </r>
  <r>
    <m/>
    <m/>
    <x v="0"/>
    <x v="1"/>
    <x v="1"/>
    <n v="3036689.66"/>
    <s v="NIB-00006864"/>
    <d v="2025-06-05T00:00:00"/>
    <s v="FACTORING KLYM FAN-30359 COMISION PAGO"/>
    <x v="137"/>
    <x v="10"/>
    <m/>
    <m/>
    <m/>
    <x v="5"/>
    <s v="Junio"/>
  </r>
  <r>
    <m/>
    <m/>
    <x v="0"/>
    <x v="1"/>
    <x v="1"/>
    <n v="13264360.640000001"/>
    <s v="NIB-00006871"/>
    <d v="2025-06-05T00:00:00"/>
    <s v="FACTORING QBCO FAN-30511-30518 PROD.LACTEOS AURORA -FAN 30578"/>
    <x v="138"/>
    <x v="10"/>
    <m/>
    <m/>
    <m/>
    <x v="5"/>
    <s v="Junio"/>
  </r>
  <r>
    <m/>
    <m/>
    <x v="0"/>
    <x v="0"/>
    <x v="0"/>
    <n v="3529"/>
    <s v="NIP-00017200"/>
    <d v="2025-06-05T00:00:00"/>
    <s v="CONTABILIZACION IVA COMION 4*1000"/>
    <x v="139"/>
    <x v="1"/>
    <m/>
    <m/>
    <m/>
    <x v="5"/>
    <s v="Junio"/>
  </r>
  <r>
    <m/>
    <m/>
    <x v="0"/>
    <x v="0"/>
    <x v="0"/>
    <n v="11004"/>
    <s v="NIB-00006842"/>
    <d v="2025-06-06T00:00:00"/>
    <s v="PAGO DE EMBARGOS JUDICIALES DE ICSA - COMPROBANTE D EPAGO: 1526776 - ARCHIVO: GD2025060608919001961_05.TXT - ARCHIVO: 30030"/>
    <x v="140"/>
    <x v="0"/>
    <m/>
    <m/>
    <m/>
    <x v="5"/>
    <s v="Junio"/>
  </r>
  <r>
    <m/>
    <m/>
    <x v="0"/>
    <x v="0"/>
    <x v="0"/>
    <n v="3529"/>
    <s v="NIP-00017218"/>
    <d v="2025-06-10T00:00:00"/>
    <s v="contabilizacion iva comison 4*1000"/>
    <x v="20"/>
    <x v="1"/>
    <m/>
    <m/>
    <m/>
    <x v="5"/>
    <s v="Junio"/>
  </r>
  <r>
    <m/>
    <m/>
    <x v="0"/>
    <x v="1"/>
    <x v="1"/>
    <n v="3947317.23"/>
    <s v="NIB-00006873"/>
    <d v="2025-06-11T00:00:00"/>
    <s v="FACTORING KLYM  FAN-30397  PAGO-COMISIONES"/>
    <x v="141"/>
    <x v="10"/>
    <m/>
    <m/>
    <m/>
    <x v="5"/>
    <s v="Junio"/>
  </r>
  <r>
    <m/>
    <m/>
    <x v="0"/>
    <x v="1"/>
    <x v="1"/>
    <n v="5644630.7800000003"/>
    <s v="NIB-00006874"/>
    <d v="2025-06-11T00:00:00"/>
    <s v="FACTORING BBVA FAN-30369-30378-30502-30516-30517-30719 PAGO-COMISIONES"/>
    <x v="142"/>
    <x v="8"/>
    <m/>
    <m/>
    <m/>
    <x v="5"/>
    <s v="Junio"/>
  </r>
  <r>
    <m/>
    <m/>
    <x v="0"/>
    <x v="0"/>
    <x v="0"/>
    <n v="3529"/>
    <s v="NIP-00017230"/>
    <d v="2025-06-12T00:00:00"/>
    <s v="CONTABILIZAICON IVA COMIOSN 4*1000"/>
    <x v="143"/>
    <x v="1"/>
    <m/>
    <m/>
    <m/>
    <x v="5"/>
    <s v="Junio"/>
  </r>
  <r>
    <m/>
    <m/>
    <x v="0"/>
    <x v="0"/>
    <x v="0"/>
    <n v="3529"/>
    <s v="NIP-00017241"/>
    <d v="2025-06-16T00:00:00"/>
    <s v="CONTABILIZACION IVA COMISION 4*1000"/>
    <x v="43"/>
    <x v="1"/>
    <m/>
    <m/>
    <m/>
    <x v="5"/>
    <s v="Junio"/>
  </r>
  <r>
    <m/>
    <m/>
    <x v="0"/>
    <x v="0"/>
    <x v="0"/>
    <n v="153000"/>
    <s v="NIB-00006911"/>
    <d v="2025-06-20T00:00:00"/>
    <s v="Gasto por cuota manejo Feb 2025 -- 28/02/2025 - BANCO DE OCCIDENTE CTE 001526318"/>
    <x v="144"/>
    <x v="15"/>
    <m/>
    <m/>
    <m/>
    <x v="5"/>
    <s v="Junio"/>
  </r>
  <r>
    <m/>
    <m/>
    <x v="0"/>
    <x v="0"/>
    <x v="0"/>
    <n v="3558225.52"/>
    <s v="NIB-00006911"/>
    <d v="2025-06-20T00:00:00"/>
    <s v="RETENCION Mayo 31 de 2025 - PATRIMONIOS AUTONOMOS FIDUCIARIA POPULAR"/>
    <x v="144"/>
    <x v="4"/>
    <m/>
    <m/>
    <m/>
    <x v="5"/>
    <s v="Junio"/>
  </r>
  <r>
    <m/>
    <m/>
    <x v="0"/>
    <x v="1"/>
    <x v="1"/>
    <n v="5470090.8600000003"/>
    <s v="NIB-00006924"/>
    <d v="2025-06-20T00:00:00"/>
    <s v="FACTORING BBVA FAN-30889-30892-30893-30911 COMISION PAGO"/>
    <x v="145"/>
    <x v="8"/>
    <m/>
    <m/>
    <m/>
    <x v="5"/>
    <s v="Junio"/>
  </r>
  <r>
    <m/>
    <m/>
    <x v="0"/>
    <x v="1"/>
    <x v="1"/>
    <n v="8639349"/>
    <s v="NIB-00006925"/>
    <d v="2025-06-20T00:00:00"/>
    <s v="FACTORING DAVIVIENDA RED CAPITAL FAN-30786-792-822-825-844-846-849-859-864-872 COMISION PAGO"/>
    <x v="146"/>
    <x v="7"/>
    <m/>
    <m/>
    <m/>
    <x v="5"/>
    <s v="Junio"/>
  </r>
  <r>
    <m/>
    <m/>
    <x v="0"/>
    <x v="0"/>
    <x v="0"/>
    <n v="1423500"/>
    <s v="FAC-00046892"/>
    <d v="2025-06-24T00:00:00"/>
    <s v="FAC1017089 - COMISION FIJA DE ADMINISTRACION (MES DE JUNIO 2025)"/>
    <x v="147"/>
    <x v="12"/>
    <m/>
    <m/>
    <m/>
    <x v="5"/>
    <s v="Junio"/>
  </r>
  <r>
    <m/>
    <m/>
    <x v="0"/>
    <x v="0"/>
    <x v="0"/>
    <n v="3558750"/>
    <s v="FAC-00046906"/>
    <d v="2025-07-14T00:00:00"/>
    <s v="FAC134675- COMISION FIDUCIARIA MES DE JUNIO 2025"/>
    <x v="148"/>
    <x v="4"/>
    <m/>
    <m/>
    <m/>
    <x v="6"/>
    <s v="Julio"/>
  </r>
  <r>
    <m/>
    <m/>
    <x v="0"/>
    <x v="0"/>
    <x v="0"/>
    <n v="3558750"/>
    <s v="FAC-00046938"/>
    <d v="2025-06-24T00:00:00"/>
    <s v="SOC87183- COMISION POR ADMINISTRACION MES DE JUNIO 2025"/>
    <x v="149"/>
    <x v="5"/>
    <m/>
    <m/>
    <m/>
    <x v="5"/>
    <s v="Junio"/>
  </r>
  <r>
    <m/>
    <m/>
    <x v="0"/>
    <x v="1"/>
    <x v="1"/>
    <n v="4191294.29"/>
    <s v="NIB-00006923"/>
    <d v="2025-06-24T00:00:00"/>
    <s v="FACTORING BBVA FAN-30865-30876-30877"/>
    <x v="150"/>
    <x v="8"/>
    <m/>
    <m/>
    <m/>
    <x v="5"/>
    <s v="Junio"/>
  </r>
  <r>
    <m/>
    <m/>
    <x v="0"/>
    <x v="0"/>
    <x v="0"/>
    <n v="3529"/>
    <s v="NIP-00017266"/>
    <d v="2025-06-24T00:00:00"/>
    <s v="cotabilizacion iva comision y 4*1000"/>
    <x v="151"/>
    <x v="1"/>
    <m/>
    <m/>
    <m/>
    <x v="5"/>
    <s v="Junio"/>
  </r>
  <r>
    <m/>
    <m/>
    <x v="0"/>
    <x v="0"/>
    <x v="0"/>
    <n v="3529"/>
    <s v="NIP-00017268"/>
    <d v="2025-06-24T00:00:00"/>
    <s v="cotabilizaicon iva comision y 4*1000"/>
    <x v="152"/>
    <x v="1"/>
    <m/>
    <m/>
    <m/>
    <x v="5"/>
    <s v="Junio"/>
  </r>
  <r>
    <m/>
    <m/>
    <x v="0"/>
    <x v="1"/>
    <x v="1"/>
    <n v="7825648"/>
    <s v="NIB-00006952"/>
    <d v="2025-06-26T00:00:00"/>
    <s v="FACTORING BBVA FAN-30903-30912-30925-30942 COMISION Y PAGO"/>
    <x v="153"/>
    <x v="8"/>
    <m/>
    <m/>
    <m/>
    <x v="5"/>
    <s v="Junio"/>
  </r>
  <r>
    <m/>
    <m/>
    <x v="0"/>
    <x v="1"/>
    <x v="1"/>
    <n v="10389977.4"/>
    <s v="NIB-00006961"/>
    <d v="2025-06-27T00:00:00"/>
    <s v="FACTORING BBVA FAN-30908-30930-30936-30937-30943-30944-30955-30972 COMISIONES - PAGO"/>
    <x v="154"/>
    <x v="8"/>
    <m/>
    <m/>
    <m/>
    <x v="5"/>
    <s v="Junio"/>
  </r>
  <r>
    <m/>
    <m/>
    <x v="0"/>
    <x v="1"/>
    <x v="1"/>
    <n v="1537079"/>
    <s v="NIB-00006963"/>
    <d v="2025-06-27T00:00:00"/>
    <s v="FACTORING RED CAPITAL - DAVIVIENDA FAN-30852-30874 COMISION PAGO"/>
    <x v="155"/>
    <x v="7"/>
    <m/>
    <m/>
    <m/>
    <x v="5"/>
    <s v="Junio"/>
  </r>
  <r>
    <m/>
    <m/>
    <x v="0"/>
    <x v="0"/>
    <x v="2"/>
    <n v="14536875"/>
    <s v="NIP-00017324"/>
    <d v="2025-06-27T00:00:00"/>
    <s v="COMISION OPERACIONES DE REGISTRO 5% - SERVICIO DE REGRISTRO BMC"/>
    <x v="156"/>
    <x v="16"/>
    <m/>
    <m/>
    <m/>
    <x v="5"/>
    <s v="Junio"/>
  </r>
  <r>
    <m/>
    <m/>
    <x v="0"/>
    <x v="0"/>
    <x v="0"/>
    <n v="912318.64"/>
    <s v="NIB-00006978"/>
    <d v="2025-06-30T00:00:00"/>
    <s v="GASTOS BANCARIOS BANCOLOMBIA AHORRO 30631513979 MES DE JUNIO 2025"/>
    <x v="157"/>
    <x v="1"/>
    <m/>
    <m/>
    <m/>
    <x v="5"/>
    <s v="Junio"/>
  </r>
  <r>
    <m/>
    <m/>
    <x v="0"/>
    <x v="0"/>
    <x v="0"/>
    <n v="150166.67000000001"/>
    <s v="NIB-00006981"/>
    <d v="2025-06-30T00:00:00"/>
    <s v="GASTOS BANCARIOS BANCO DE OCCIDENTE CTE 001526318 MES DE JUNIO"/>
    <x v="158"/>
    <x v="15"/>
    <m/>
    <m/>
    <m/>
    <x v="5"/>
    <s v="Junio"/>
  </r>
  <r>
    <m/>
    <m/>
    <x v="0"/>
    <x v="0"/>
    <x v="0"/>
    <n v="341079.03999999998"/>
    <s v="NIB-00006989"/>
    <d v="2025-06-30T00:00:00"/>
    <s v="RENDIMIENTOS FINANCIEROS Y REGISTRO DE COMISIONES BANCOLOMBIA PANAMA JUNIO 2025"/>
    <x v="159"/>
    <x v="6"/>
    <m/>
    <m/>
    <m/>
    <x v="5"/>
    <s v="Junio"/>
  </r>
  <r>
    <m/>
    <m/>
    <x v="0"/>
    <x v="0"/>
    <x v="0"/>
    <n v="712192.25"/>
    <s v="NIB-00006990"/>
    <d v="2025-06-30T00:00:00"/>
    <s v="GASTOS COMISIONES ITAU PANAMA - CTA COMPENSACION 102068322 MES DE JUNIO"/>
    <x v="160"/>
    <x v="9"/>
    <m/>
    <m/>
    <m/>
    <x v="5"/>
    <s v="Junio"/>
  </r>
  <r>
    <m/>
    <m/>
    <x v="0"/>
    <x v="0"/>
    <x v="0"/>
    <n v="1298609"/>
    <s v="NIB-00006993"/>
    <d v="2025-06-30T00:00:00"/>
    <s v="GASTOS BANCARIOS BANCO DE BOGOTA TULUA CTE 612036319 MES DE JUNIO 2025"/>
    <x v="161"/>
    <x v="3"/>
    <m/>
    <m/>
    <m/>
    <x v="5"/>
    <s v="Junio"/>
  </r>
  <r>
    <m/>
    <m/>
    <x v="0"/>
    <x v="0"/>
    <x v="0"/>
    <n v="22756"/>
    <s v="NIB-00006994"/>
    <d v="2025-06-30T00:00:00"/>
    <s v="GASTOS BANCARIOS BANCO BOGOTA CALI CTE 256096355 MES DE JUNIO 2025"/>
    <x v="162"/>
    <x v="3"/>
    <m/>
    <m/>
    <m/>
    <x v="5"/>
    <s v="Junio"/>
  </r>
  <r>
    <m/>
    <m/>
    <x v="0"/>
    <x v="0"/>
    <x v="0"/>
    <n v="3601313.7"/>
    <s v="NIB-00006997"/>
    <d v="2025-06-30T00:00:00"/>
    <s v="GASTOS BANCARIOS BANCOLOMBIA CTE 80104152201 MES DE JUNIO 2025"/>
    <x v="163"/>
    <x v="1"/>
    <m/>
    <m/>
    <m/>
    <x v="5"/>
    <s v="Junio"/>
  </r>
  <r>
    <m/>
    <m/>
    <x v="0"/>
    <x v="0"/>
    <x v="0"/>
    <n v="3913055"/>
    <s v="NIB-00007000"/>
    <d v="2025-06-30T00:00:00"/>
    <s v="GASTOS BANCARIOS BANCO DAVIVIENDA CTE 379469997678 MES DE JUNIO"/>
    <x v="164"/>
    <x v="7"/>
    <m/>
    <m/>
    <m/>
    <x v="5"/>
    <s v="Junio"/>
  </r>
  <r>
    <m/>
    <m/>
    <x v="0"/>
    <x v="0"/>
    <x v="0"/>
    <n v="54140"/>
    <s v="NIB-00007028"/>
    <d v="2025-06-30T00:00:00"/>
    <s v="Banco de bogta Cali cta cte 256096355"/>
    <x v="165"/>
    <x v="3"/>
    <m/>
    <m/>
    <m/>
    <x v="5"/>
    <s v="Junio"/>
  </r>
  <r>
    <m/>
    <m/>
    <x v="0"/>
    <x v="0"/>
    <x v="0"/>
    <n v="54140"/>
    <s v="NIB-00007028"/>
    <d v="2025-06-30T00:00:00"/>
    <s v="Banco de bogta tulua cta cte 612036319"/>
    <x v="165"/>
    <x v="3"/>
    <m/>
    <m/>
    <m/>
    <x v="5"/>
    <s v="Junio"/>
  </r>
  <r>
    <m/>
    <m/>
    <x v="0"/>
    <x v="0"/>
    <x v="2"/>
    <n v="-306924"/>
    <s v="NIC-00037592"/>
    <d v="2025-06-30T00:00:00"/>
    <s v="NOTA CREDITO NCC-1 DE LA FACTURA - CLFV22435 - COMISION CORREAGRO  SERV DE REGRISTRO BMC"/>
    <x v="166"/>
    <x v="11"/>
    <m/>
    <m/>
    <m/>
    <x v="5"/>
    <s v="Junio"/>
  </r>
  <r>
    <m/>
    <m/>
    <x v="0"/>
    <x v="0"/>
    <x v="2"/>
    <n v="631610"/>
    <s v="NIP-00017286"/>
    <d v="2025-06-30T00:00:00"/>
    <s v="CLFV22434 - COMISION CORREAGRO  SERV DE REGRISTRO BMC"/>
    <x v="167"/>
    <x v="11"/>
    <m/>
    <m/>
    <m/>
    <x v="5"/>
    <s v="Junio"/>
  </r>
  <r>
    <m/>
    <m/>
    <x v="0"/>
    <x v="0"/>
    <x v="2"/>
    <n v="657086"/>
    <s v="NIP-00017287"/>
    <d v="2025-06-30T00:00:00"/>
    <s v="CLFV22435 - COMISION CORREAGRO  SERV DE REGRISTRO BMC"/>
    <x v="168"/>
    <x v="11"/>
    <m/>
    <m/>
    <m/>
    <x v="5"/>
    <s v="Junio"/>
  </r>
  <r>
    <m/>
    <m/>
    <x v="0"/>
    <x v="0"/>
    <x v="0"/>
    <n v="3529"/>
    <s v="NIP-00017304"/>
    <d v="2025-07-02T00:00:00"/>
    <s v="CONTABILIZACION IVA COMISON 4*1000"/>
    <x v="20"/>
    <x v="1"/>
    <m/>
    <m/>
    <m/>
    <x v="6"/>
    <s v="Julio"/>
  </r>
  <r>
    <m/>
    <m/>
    <x v="0"/>
    <x v="0"/>
    <x v="0"/>
    <n v="3529"/>
    <s v="NIP-00017305"/>
    <d v="2025-07-02T00:00:00"/>
    <s v="CONTABILIZACION IVA COMISION 4*1000"/>
    <x v="43"/>
    <x v="1"/>
    <m/>
    <m/>
    <m/>
    <x v="6"/>
    <s v="Julio"/>
  </r>
  <r>
    <m/>
    <m/>
    <x v="0"/>
    <x v="0"/>
    <x v="0"/>
    <n v="3529"/>
    <s v="NIP-00017314"/>
    <d v="2025-07-03T00:00:00"/>
    <s v="CONTABILIZACION IVA COMISION 4*1000"/>
    <x v="43"/>
    <x v="1"/>
    <m/>
    <m/>
    <m/>
    <x v="6"/>
    <s v="Julio"/>
  </r>
  <r>
    <m/>
    <m/>
    <x v="0"/>
    <x v="1"/>
    <x v="1"/>
    <n v="11955781.1"/>
    <s v="NIB-00007086"/>
    <d v="2025-07-09T00:00:00"/>
    <s v="FACTORNING BBVA FAN-30980-30981-31003-31008-31009-31011-31098-31103-31104-31105 COMISION PAGO"/>
    <x v="169"/>
    <x v="8"/>
    <m/>
    <m/>
    <m/>
    <x v="6"/>
    <s v="Julio"/>
  </r>
  <r>
    <m/>
    <m/>
    <x v="0"/>
    <x v="1"/>
    <x v="1"/>
    <n v="3638657.44"/>
    <s v="NIB-00007087"/>
    <d v="2025-07-09T00:00:00"/>
    <s v="FACTORING BBVA GOLOSINAS TRULULU"/>
    <x v="170"/>
    <x v="8"/>
    <m/>
    <m/>
    <m/>
    <x v="6"/>
    <s v="Julio"/>
  </r>
  <r>
    <m/>
    <m/>
    <x v="0"/>
    <x v="0"/>
    <x v="0"/>
    <n v="1701425"/>
    <s v="DSF-00001257"/>
    <d v="2025-07-14T00:00:00"/>
    <s v="Gastos Bancarios correspondientes al mes de mayo 2025"/>
    <x v="171"/>
    <x v="3"/>
    <m/>
    <m/>
    <m/>
    <x v="6"/>
    <s v="Julio"/>
  </r>
  <r>
    <m/>
    <m/>
    <x v="0"/>
    <x v="0"/>
    <x v="0"/>
    <n v="3625395.18"/>
    <s v="DSF-00001259"/>
    <d v="2025-07-14T00:00:00"/>
    <s v="GASTOS BANCARIOS CORRESPONDIENTE AL MES DE MAYO 2025"/>
    <x v="172"/>
    <x v="1"/>
    <m/>
    <m/>
    <m/>
    <x v="6"/>
    <s v="Julio"/>
  </r>
  <r>
    <m/>
    <m/>
    <x v="0"/>
    <x v="0"/>
    <x v="0"/>
    <n v="39551035.890000001"/>
    <s v="DSF-00001260"/>
    <d v="2025-07-14T00:00:00"/>
    <s v="GASTOS BANCARIOS CORRESPONDIENTE AL MES DE MAYO 2025"/>
    <x v="172"/>
    <x v="7"/>
    <m/>
    <m/>
    <m/>
    <x v="6"/>
    <s v="Julio"/>
  </r>
  <r>
    <m/>
    <m/>
    <x v="0"/>
    <x v="0"/>
    <x v="0"/>
    <n v="11004"/>
    <s v="DSF-00001262"/>
    <d v="2025-07-14T00:00:00"/>
    <s v="GASTOS BANCARIOS CORRESPONDIENTE AL MES DE MAYO 2025"/>
    <x v="172"/>
    <x v="0"/>
    <m/>
    <m/>
    <m/>
    <x v="6"/>
    <s v="Julio"/>
  </r>
  <r>
    <m/>
    <m/>
    <x v="0"/>
    <x v="0"/>
    <x v="0"/>
    <n v="27238753.329999998"/>
    <s v="DSF-00001265"/>
    <d v="2025-07-14T00:00:00"/>
    <s v="GASTOS BANCARIOS CORRESPONDIENTE AL MES DE MAYO 2025"/>
    <x v="172"/>
    <x v="8"/>
    <m/>
    <m/>
    <m/>
    <x v="6"/>
    <s v="Julio"/>
  </r>
  <r>
    <m/>
    <m/>
    <x v="0"/>
    <x v="0"/>
    <x v="0"/>
    <n v="7117500"/>
    <s v="DSF-00001266"/>
    <d v="2025-07-14T00:00:00"/>
    <s v="GASTOS BANCARIOS CORRESPONDIENTE AL MES DE MAYO 2025"/>
    <x v="172"/>
    <x v="4"/>
    <m/>
    <m/>
    <m/>
    <x v="6"/>
    <s v="Julio"/>
  </r>
  <r>
    <m/>
    <m/>
    <x v="0"/>
    <x v="0"/>
    <x v="0"/>
    <n v="3558750"/>
    <s v="DSF-00001267"/>
    <d v="2025-07-14T00:00:00"/>
    <s v="GASTOS BANCARIOS CORRESPONDIENTE AL MES DE MAYO 2025"/>
    <x v="172"/>
    <x v="5"/>
    <m/>
    <m/>
    <m/>
    <x v="6"/>
    <s v="Julio"/>
  </r>
  <r>
    <m/>
    <m/>
    <x v="0"/>
    <x v="0"/>
    <x v="0"/>
    <n v="245438.28"/>
    <s v="DSF-00001268"/>
    <d v="2025-07-14T00:00:00"/>
    <s v="GASTOS BANCARIOS CORRESPONDIENTE AL MES DE MAYO 2025"/>
    <x v="172"/>
    <x v="6"/>
    <m/>
    <m/>
    <m/>
    <x v="6"/>
    <s v="Julio"/>
  </r>
  <r>
    <m/>
    <m/>
    <x v="0"/>
    <x v="0"/>
    <x v="0"/>
    <n v="2727752.4"/>
    <s v="DSF-00001269"/>
    <d v="2025-07-14T00:00:00"/>
    <s v="GASTOS BANCARIOS CORRESPONDIENTE AL MES DE MAYO 2025"/>
    <x v="172"/>
    <x v="9"/>
    <m/>
    <m/>
    <m/>
    <x v="6"/>
    <s v="Julio"/>
  </r>
  <r>
    <m/>
    <m/>
    <x v="0"/>
    <x v="0"/>
    <x v="0"/>
    <n v="1429645"/>
    <s v="DSF-00001270"/>
    <d v="2025-07-14T00:00:00"/>
    <s v="GASTOS BANCARIOS CORRESPONDIENTE AL MES DE JUNIO 2025"/>
    <x v="173"/>
    <x v="3"/>
    <m/>
    <m/>
    <m/>
    <x v="6"/>
    <s v="Julio"/>
  </r>
  <r>
    <m/>
    <m/>
    <x v="0"/>
    <x v="0"/>
    <x v="0"/>
    <n v="303166.67"/>
    <s v="DSF-00001271"/>
    <d v="2025-07-14T00:00:00"/>
    <s v="GASTOS BANCARIOS CORRESPONDIENTE AL MES DE JUNIO 2025"/>
    <x v="173"/>
    <x v="15"/>
    <m/>
    <m/>
    <m/>
    <x v="6"/>
    <s v="Julio"/>
  </r>
  <r>
    <m/>
    <m/>
    <x v="0"/>
    <x v="0"/>
    <x v="0"/>
    <n v="14089483"/>
    <s v="DSF-00001273"/>
    <d v="2025-07-14T00:00:00"/>
    <s v="GASTOS BANCARIOS CORRESPONDIENTE AL MES DE JUNIO 2025"/>
    <x v="173"/>
    <x v="7"/>
    <m/>
    <m/>
    <m/>
    <x v="6"/>
    <s v="Julio"/>
  </r>
  <r>
    <m/>
    <m/>
    <x v="0"/>
    <x v="0"/>
    <x v="0"/>
    <n v="11004"/>
    <s v="DSF-00001275"/>
    <d v="2025-07-14T00:00:00"/>
    <s v="GASTOS BANCARIOS CORRESPONDIENTE AL MES DE JUNIO 2025"/>
    <x v="173"/>
    <x v="0"/>
    <m/>
    <m/>
    <m/>
    <x v="6"/>
    <s v="Julio"/>
  </r>
  <r>
    <m/>
    <m/>
    <x v="0"/>
    <x v="0"/>
    <x v="0"/>
    <n v="7116975.5199999996"/>
    <s v="DSF-00001276"/>
    <d v="2025-07-14T00:00:00"/>
    <s v="GASTOS BANCARIOS CORRESPONDIENTE AL MES DE JUNIO 2025"/>
    <x v="173"/>
    <x v="2"/>
    <m/>
    <m/>
    <m/>
    <x v="6"/>
    <s v="Julio"/>
  </r>
  <r>
    <m/>
    <m/>
    <x v="0"/>
    <x v="0"/>
    <x v="0"/>
    <n v="1423500"/>
    <s v="DSF-00001277"/>
    <d v="2025-07-14T00:00:00"/>
    <s v="GASTOS BANCARIOS CORRESPONDIENTE AL MES DE JUNIO 2025"/>
    <x v="173"/>
    <x v="12"/>
    <m/>
    <m/>
    <m/>
    <x v="6"/>
    <s v="Julio"/>
  </r>
  <r>
    <m/>
    <m/>
    <x v="0"/>
    <x v="0"/>
    <x v="0"/>
    <n v="7116975.5199999996"/>
    <s v="DSF-00001281"/>
    <d v="2025-07-14T00:00:00"/>
    <s v="GASTOS BANCARIOS CORRESPONDIENTES AL MES DE JUNIO 2025"/>
    <x v="174"/>
    <x v="4"/>
    <m/>
    <m/>
    <m/>
    <x v="6"/>
    <s v="Julio"/>
  </r>
  <r>
    <m/>
    <m/>
    <x v="0"/>
    <x v="0"/>
    <x v="0"/>
    <n v="3558750"/>
    <s v="DSF-00001282"/>
    <d v="2025-07-14T00:00:00"/>
    <s v="GASTOS BANCARIOS CORRESPONDIENTES AL MES DE JUNIO 2025"/>
    <x v="174"/>
    <x v="5"/>
    <m/>
    <m/>
    <m/>
    <x v="6"/>
    <s v="Julio"/>
  </r>
  <r>
    <m/>
    <m/>
    <x v="0"/>
    <x v="0"/>
    <x v="0"/>
    <n v="341079.03999999998"/>
    <s v="DSF-00001283"/>
    <d v="2025-07-14T00:00:00"/>
    <s v="GASTOS BANCARIOS CORRESPONDIENTES AL MES DE JUNIO 2025"/>
    <x v="174"/>
    <x v="6"/>
    <m/>
    <m/>
    <m/>
    <x v="6"/>
    <s v="Julio"/>
  </r>
  <r>
    <m/>
    <m/>
    <x v="0"/>
    <x v="0"/>
    <x v="0"/>
    <n v="712192.25"/>
    <s v="DSF-00001284"/>
    <d v="2025-07-14T00:00:00"/>
    <s v="GASTOS BANCARIOS CORRESPONDIENTES AL MES DE JUNIO 2025"/>
    <x v="174"/>
    <x v="9"/>
    <m/>
    <m/>
    <m/>
    <x v="6"/>
    <s v="Julio"/>
  </r>
  <r>
    <m/>
    <m/>
    <x v="0"/>
    <x v="0"/>
    <x v="0"/>
    <n v="-22008"/>
    <s v="NIC-00037857"/>
    <d v="2025-07-14T00:00:00"/>
    <s v="DEVOLUCION DE DSF (1257 AL 12849 GASTOS BANCARIOS MAYO Y JUNIO 2025"/>
    <x v="175"/>
    <x v="0"/>
    <m/>
    <m/>
    <m/>
    <x v="6"/>
    <s v="Julio"/>
  </r>
  <r>
    <m/>
    <m/>
    <x v="0"/>
    <x v="0"/>
    <x v="0"/>
    <n v="-14234475.52"/>
    <s v="NIC-00037857"/>
    <d v="2025-07-14T00:00:00"/>
    <s v="DEVOLUCION DE DSF (1257 AL 12849 GASTOS BANCARIOS MAYO Y JUNIO 2025"/>
    <x v="175"/>
    <x v="4"/>
    <m/>
    <m/>
    <m/>
    <x v="6"/>
    <s v="Julio"/>
  </r>
  <r>
    <m/>
    <m/>
    <x v="0"/>
    <x v="0"/>
    <x v="0"/>
    <n v="-7117500"/>
    <s v="NIC-00037857"/>
    <d v="2025-07-14T00:00:00"/>
    <s v="DEVOLUCION DE DSF (1257 AL 12849 GASTOS BANCARIOS MAYO Y JUNIO 2025"/>
    <x v="175"/>
    <x v="5"/>
    <m/>
    <m/>
    <m/>
    <x v="6"/>
    <s v="Julio"/>
  </r>
  <r>
    <m/>
    <m/>
    <x v="0"/>
    <x v="0"/>
    <x v="0"/>
    <n v="-3131070"/>
    <s v="NIC-00037857"/>
    <d v="2025-07-14T00:00:00"/>
    <s v="DEVOLUCION DE DSF (1257 AL 12849 GASTOS BANCARIOS MAYO Y JUNIO 2025"/>
    <x v="175"/>
    <x v="3"/>
    <m/>
    <m/>
    <m/>
    <x v="6"/>
    <s v="Julio"/>
  </r>
  <r>
    <m/>
    <m/>
    <x v="0"/>
    <x v="0"/>
    <x v="0"/>
    <n v="-27238753.329999998"/>
    <s v="NIC-00037857"/>
    <d v="2025-07-14T00:00:00"/>
    <s v="DEVOLUCION DE DSF (1257 AL 12849 GASTOS BANCARIOS MAYO Y JUNIO 2025"/>
    <x v="175"/>
    <x v="8"/>
    <m/>
    <m/>
    <m/>
    <x v="6"/>
    <s v="Julio"/>
  </r>
  <r>
    <m/>
    <m/>
    <x v="0"/>
    <x v="0"/>
    <x v="0"/>
    <n v="-7116975.5199999996"/>
    <s v="NIC-00037857"/>
    <d v="2025-07-14T00:00:00"/>
    <s v="DEVOLUCION DE DSF (1257 AL 12849 GASTOS BANCARIOS MAYO Y JUNIO 2025"/>
    <x v="175"/>
    <x v="2"/>
    <m/>
    <m/>
    <m/>
    <x v="6"/>
    <s v="Julio"/>
  </r>
  <r>
    <m/>
    <m/>
    <x v="0"/>
    <x v="0"/>
    <x v="0"/>
    <n v="-53640518.890000001"/>
    <s v="NIC-00037857"/>
    <d v="2025-07-14T00:00:00"/>
    <s v="DEVOLUCION DE DSF (1257 AL 12849 GASTOS BANCARIOS MAYO Y JUNIO 2025"/>
    <x v="175"/>
    <x v="7"/>
    <m/>
    <m/>
    <m/>
    <x v="6"/>
    <s v="Julio"/>
  </r>
  <r>
    <m/>
    <m/>
    <x v="0"/>
    <x v="0"/>
    <x v="0"/>
    <n v="-1423500"/>
    <s v="NIC-00037857"/>
    <d v="2025-07-14T00:00:00"/>
    <s v="DEVOLUCION DE DSF (1257 AL 12849 GASTOS BANCARIOS MAYO Y JUNIO 2025"/>
    <x v="175"/>
    <x v="12"/>
    <m/>
    <m/>
    <m/>
    <x v="6"/>
    <s v="Julio"/>
  </r>
  <r>
    <m/>
    <m/>
    <x v="0"/>
    <x v="0"/>
    <x v="0"/>
    <n v="-3439944.65"/>
    <s v="NIC-00037857"/>
    <d v="2025-07-14T00:00:00"/>
    <s v="DEVOLUCION DE DSF (1257 AL 12849 GASTOS BANCARIOS MAYO Y JUNIO 2025"/>
    <x v="175"/>
    <x v="9"/>
    <m/>
    <m/>
    <m/>
    <x v="6"/>
    <s v="Julio"/>
  </r>
  <r>
    <m/>
    <m/>
    <x v="0"/>
    <x v="0"/>
    <x v="0"/>
    <n v="-3625395.18"/>
    <s v="NIC-00037857"/>
    <d v="2025-07-14T00:00:00"/>
    <s v="DEVOLUCION DE DSF (1257 AL 12849 GASTOS BANCARIOS MAYO Y JUNIO 2025"/>
    <x v="175"/>
    <x v="1"/>
    <m/>
    <m/>
    <m/>
    <x v="6"/>
    <s v="Julio"/>
  </r>
  <r>
    <m/>
    <m/>
    <x v="0"/>
    <x v="0"/>
    <x v="0"/>
    <n v="-586517.31999999995"/>
    <s v="NIC-00037857"/>
    <d v="2025-07-14T00:00:00"/>
    <s v="DEVOLUCION DE DSF (1257 AL 12849 GASTOS BANCARIOS MAYO Y JUNIO 2025"/>
    <x v="175"/>
    <x v="6"/>
    <m/>
    <m/>
    <m/>
    <x v="6"/>
    <s v="Julio"/>
  </r>
  <r>
    <m/>
    <m/>
    <x v="0"/>
    <x v="1"/>
    <x v="1"/>
    <n v="2825978.75"/>
    <s v="NIB-00007141"/>
    <d v="2025-07-15T00:00:00"/>
    <s v="FACTORING BANCOLOMBIA FAN-31254"/>
    <x v="176"/>
    <x v="1"/>
    <m/>
    <m/>
    <m/>
    <x v="6"/>
    <s v="Julio"/>
  </r>
  <r>
    <m/>
    <m/>
    <x v="0"/>
    <x v="0"/>
    <x v="0"/>
    <n v="3558750"/>
    <s v="FAC-00047370"/>
    <d v="2025-07-16T00:00:00"/>
    <s v="SOC87914- COMISION POR ADMINISTRACION MES DE JULIO 2025"/>
    <x v="177"/>
    <x v="5"/>
    <m/>
    <m/>
    <m/>
    <x v="6"/>
    <s v="Julio"/>
  </r>
  <r>
    <m/>
    <m/>
    <x v="0"/>
    <x v="1"/>
    <x v="1"/>
    <n v="555024.98"/>
    <s v="NIB-00007194"/>
    <d v="2025-07-16T00:00:00"/>
    <s v="FACTORNG KLYM FAN-30945 COMISION PAGO"/>
    <x v="178"/>
    <x v="10"/>
    <m/>
    <m/>
    <m/>
    <x v="6"/>
    <s v="Julio"/>
  </r>
  <r>
    <m/>
    <m/>
    <x v="0"/>
    <x v="1"/>
    <x v="1"/>
    <n v="16768631.49"/>
    <s v="NIB-00007173"/>
    <d v="2025-07-18T00:00:00"/>
    <s v="FACTORING KLYM FAN-31013-31164-31227-31246-31252-31284-31299"/>
    <x v="179"/>
    <x v="10"/>
    <m/>
    <m/>
    <m/>
    <x v="6"/>
    <s v="Julio"/>
  </r>
  <r>
    <m/>
    <m/>
    <x v="0"/>
    <x v="1"/>
    <x v="1"/>
    <n v="2625673"/>
    <s v="NIB-00007140"/>
    <d v="2025-07-21T00:00:00"/>
    <s v="FACTORING RED CAPITAL - DAVIVIENDA FAN-31250-31247-31208"/>
    <x v="180"/>
    <x v="7"/>
    <m/>
    <m/>
    <m/>
    <x v="6"/>
    <s v="Julio"/>
  </r>
  <r>
    <m/>
    <m/>
    <x v="0"/>
    <x v="0"/>
    <x v="0"/>
    <n v="3529"/>
    <s v="NIP-00017404"/>
    <d v="2025-07-23T00:00:00"/>
    <s v="CONTABILIZACION IVA COMISION 4*1000"/>
    <x v="43"/>
    <x v="1"/>
    <m/>
    <m/>
    <m/>
    <x v="6"/>
    <s v="Julio"/>
  </r>
  <r>
    <m/>
    <m/>
    <x v="0"/>
    <x v="0"/>
    <x v="0"/>
    <n v="42900"/>
    <s v="OF-00000056"/>
    <d v="2025-07-23T00:00:00"/>
    <s v="OBLIGACION #119000029906 -$500M -CUOTAS:24 - INTERES:$28.425.906,67 - PAGOS MENSUALES - (Forma Cálculo Interes : LINEAL/CALENDARIO/VENCIDO - TI:5.37% - FECHA INICIO:23/07/2025- FECHA FIN:23/07/2027)"/>
    <x v="181"/>
    <x v="14"/>
    <m/>
    <m/>
    <m/>
    <x v="6"/>
    <s v="Julio"/>
  </r>
  <r>
    <m/>
    <m/>
    <x v="0"/>
    <x v="1"/>
    <x v="1"/>
    <n v="1714062.01"/>
    <s v="NIB-00007188"/>
    <d v="2025-07-24T00:00:00"/>
    <s v="FACTORIN KLYM - FAN-31206-31236 PAGO COMISION"/>
    <x v="182"/>
    <x v="10"/>
    <m/>
    <m/>
    <m/>
    <x v="6"/>
    <s v="Julio"/>
  </r>
  <r>
    <m/>
    <m/>
    <x v="0"/>
    <x v="1"/>
    <x v="1"/>
    <n v="4860686"/>
    <s v="NIB-00007177"/>
    <d v="2025-07-25T00:00:00"/>
    <s v="FACTORING RED CAPITAL-DAVIVIENDA FAN-31328-31330-31345-31353-31381"/>
    <x v="183"/>
    <x v="7"/>
    <m/>
    <m/>
    <m/>
    <x v="6"/>
    <s v="Julio"/>
  </r>
  <r>
    <m/>
    <m/>
    <x v="0"/>
    <x v="1"/>
    <x v="1"/>
    <n v="3998775.27"/>
    <s v="NIB-00007179"/>
    <d v="2025-07-25T00:00:00"/>
    <s v="FACTORING BBVA FAN-31279-31282-31308 COMISION Y PAGO"/>
    <x v="184"/>
    <x v="8"/>
    <m/>
    <m/>
    <m/>
    <x v="6"/>
    <s v="Julio"/>
  </r>
  <r>
    <m/>
    <m/>
    <x v="0"/>
    <x v="1"/>
    <x v="1"/>
    <n v="3400325"/>
    <s v="NIB-00007183"/>
    <d v="2025-07-25T00:00:00"/>
    <s v="FACTORING RED CAPITAL- DAVIVIENDA FAN-31215-31303-31300-31316 PAGO COMISION"/>
    <x v="185"/>
    <x v="7"/>
    <m/>
    <m/>
    <m/>
    <x v="6"/>
    <s v="Julio"/>
  </r>
  <r>
    <m/>
    <m/>
    <x v="0"/>
    <x v="1"/>
    <x v="1"/>
    <n v="6630248.25"/>
    <s v="NIB-00007185"/>
    <d v="2025-07-25T00:00:00"/>
    <s v="FACTORING KLYM - FAN-31317-31338-31363 PAGO COMISION"/>
    <x v="186"/>
    <x v="10"/>
    <m/>
    <m/>
    <m/>
    <x v="6"/>
    <s v="Julio"/>
  </r>
  <r>
    <m/>
    <m/>
    <x v="0"/>
    <x v="1"/>
    <x v="1"/>
    <n v="3001362"/>
    <s v="NIB-00007196"/>
    <d v="2025-08-14T00:00:00"/>
    <s v="FACTORING BANCOLOMBIA FAN-31400 COMISION PAGO"/>
    <x v="187"/>
    <x v="17"/>
    <m/>
    <m/>
    <m/>
    <x v="7"/>
    <s v="Agosto"/>
  </r>
  <r>
    <m/>
    <m/>
    <x v="0"/>
    <x v="0"/>
    <x v="0"/>
    <n v="3529"/>
    <s v="NIP-00017427"/>
    <d v="2025-07-29T00:00:00"/>
    <s v="CONTABILIZAICON IVA COMISION 4*1000"/>
    <x v="188"/>
    <x v="1"/>
    <m/>
    <m/>
    <m/>
    <x v="6"/>
    <s v="Julio"/>
  </r>
  <r>
    <m/>
    <m/>
    <x v="0"/>
    <x v="0"/>
    <x v="0"/>
    <n v="153000"/>
    <s v="NIP-00017433"/>
    <d v="2025-07-30T00:00:00"/>
    <s v="LEGALIZACIÓN TC BANOCCIDENTE MRESTREPO MONEDA COP CORTE 30 JUNIO 2025 CUOTA MANEJO"/>
    <x v="189"/>
    <x v="15"/>
    <m/>
    <m/>
    <m/>
    <x v="6"/>
    <s v="Julio"/>
  </r>
  <r>
    <m/>
    <m/>
    <x v="0"/>
    <x v="0"/>
    <x v="0"/>
    <n v="6750"/>
    <s v="NIP-00017433"/>
    <d v="2025-07-30T00:00:00"/>
    <s v="LEGALIZACIÓN TC BANOCCIDENTE MRESTREPO MONEDA COP CORTE 30 JUNIO 2025 SEGURO VIDA DEUDOR"/>
    <x v="189"/>
    <x v="15"/>
    <m/>
    <m/>
    <m/>
    <x v="6"/>
    <s v="Julio"/>
  </r>
  <r>
    <m/>
    <m/>
    <x v="0"/>
    <x v="0"/>
    <x v="2"/>
    <n v="-173399"/>
    <s v="NCS-00000167"/>
    <d v="2025-07-31T00:00:00"/>
    <s v="NCE426 - CRUCE DE NOTA CREDITO - COMISION OPERACIONES DE REGISTEO - SERV DE REGRISTRO BMC"/>
    <x v="190"/>
    <x v="16"/>
    <m/>
    <m/>
    <m/>
    <x v="6"/>
    <s v="Julio"/>
  </r>
  <r>
    <m/>
    <m/>
    <x v="0"/>
    <x v="0"/>
    <x v="0"/>
    <n v="9600"/>
    <s v="NIB-00007224"/>
    <d v="2025-07-31T00:00:00"/>
    <s v="PAGO DE EMBARGOS DE LLANO INGENIERIA A FAVOR DE BANC AGRARIO"/>
    <x v="191"/>
    <x v="0"/>
    <m/>
    <m/>
    <m/>
    <x v="6"/>
    <s v="Julio"/>
  </r>
  <r>
    <m/>
    <m/>
    <x v="0"/>
    <x v="0"/>
    <x v="0"/>
    <n v="72800"/>
    <s v="NIB-00007233"/>
    <d v="2025-07-31T00:00:00"/>
    <s v="GASTOS BANCARIOS BANCO BBVA COLOMBIA 0502000100011570 CTE MES DE JULIO 2025"/>
    <x v="192"/>
    <x v="8"/>
    <m/>
    <m/>
    <m/>
    <x v="6"/>
    <s v="Julio"/>
  </r>
  <r>
    <m/>
    <m/>
    <x v="0"/>
    <x v="0"/>
    <x v="0"/>
    <n v="1868949"/>
    <s v="NIB-00007246"/>
    <d v="2025-07-31T00:00:00"/>
    <s v="GASTOS BANCARIOS BANCO DE BOGOTA TULUA CTE 612036319 MES DE JULIO 2025"/>
    <x v="193"/>
    <x v="3"/>
    <m/>
    <m/>
    <m/>
    <x v="6"/>
    <s v="Julio"/>
  </r>
  <r>
    <m/>
    <m/>
    <x v="0"/>
    <x v="0"/>
    <x v="0"/>
    <n v="73668"/>
    <s v="NIB-00007247"/>
    <d v="2025-07-31T00:00:00"/>
    <s v="GASTOS BANCARIOS BANCO BOGOTA CALI CTE 256096355 MES DE JULIO 2025"/>
    <x v="194"/>
    <x v="3"/>
    <m/>
    <m/>
    <m/>
    <x v="6"/>
    <s v="Julio"/>
  </r>
  <r>
    <m/>
    <m/>
    <x v="0"/>
    <x v="0"/>
    <x v="0"/>
    <n v="188536.4"/>
    <s v="NIB-00007249"/>
    <d v="2025-07-31T00:00:00"/>
    <s v="GASTOS BANCARIOS BANCO DAVIVIENDA CTE 379469997678 MES DE JULIO 2025"/>
    <x v="195"/>
    <x v="7"/>
    <m/>
    <m/>
    <m/>
    <x v="6"/>
    <s v="Julio"/>
  </r>
  <r>
    <m/>
    <m/>
    <x v="0"/>
    <x v="0"/>
    <x v="0"/>
    <n v="2987449.3"/>
    <s v="NIB-00007251"/>
    <d v="2025-07-31T00:00:00"/>
    <s v="GASTOS BANCARIOS BANCOLOMBIA CTE 80104152201 MES DE JULIO 2025"/>
    <x v="196"/>
    <x v="1"/>
    <m/>
    <m/>
    <m/>
    <x v="6"/>
    <s v="Julio"/>
  </r>
  <r>
    <m/>
    <m/>
    <x v="0"/>
    <x v="0"/>
    <x v="0"/>
    <n v="1329982.8"/>
    <s v="NIB-00007252"/>
    <d v="2025-07-31T00:00:00"/>
    <s v="GASTOS BANCARIOS BANCOLOMBIA AHORRO 30631513979 MES DE JULIO 2025"/>
    <x v="197"/>
    <x v="1"/>
    <m/>
    <m/>
    <m/>
    <x v="6"/>
    <s v="Julio"/>
  </r>
  <r>
    <m/>
    <m/>
    <x v="0"/>
    <x v="0"/>
    <x v="0"/>
    <n v="226664.59"/>
    <s v="NIB-00007260"/>
    <d v="2025-07-31T00:00:00"/>
    <s v="GASTOS BANCARIOS BANCOLOMBIA PANAMA MES DE JULIO 2025"/>
    <x v="198"/>
    <x v="6"/>
    <m/>
    <m/>
    <m/>
    <x v="6"/>
    <s v="Julio"/>
  </r>
  <r>
    <m/>
    <m/>
    <x v="0"/>
    <x v="0"/>
    <x v="0"/>
    <n v="85000"/>
    <s v="NIB-00007263"/>
    <d v="2025-07-31T00:00:00"/>
    <s v="GASTOS BANCARIOS BANCO DE OCCIDENTE CTE 001526318 MES DE JULIO 2025"/>
    <x v="199"/>
    <x v="15"/>
    <m/>
    <m/>
    <m/>
    <x v="6"/>
    <s v="Julio"/>
  </r>
  <r>
    <m/>
    <m/>
    <x v="0"/>
    <x v="0"/>
    <x v="0"/>
    <n v="940430.25"/>
    <s v="NIB-00007282"/>
    <d v="2025-07-31T00:00:00"/>
    <s v="GASTOS BANCARIOS ITAU PANAMA - CTA COMPENSACION 102068322 MES DE JULIO 2025"/>
    <x v="200"/>
    <x v="9"/>
    <m/>
    <m/>
    <m/>
    <x v="6"/>
    <s v="Julio"/>
  </r>
  <r>
    <m/>
    <m/>
    <x v="0"/>
    <x v="0"/>
    <x v="0"/>
    <n v="5300"/>
    <s v="NIB-00007285"/>
    <d v="2025-07-31T00:00:00"/>
    <s v="GASTOS BANCARIOS BANCO POPULAR CTA CTE 110560212276 MES DE JULIO 2025"/>
    <x v="201"/>
    <x v="2"/>
    <m/>
    <m/>
    <m/>
    <x v="6"/>
    <s v="Julio"/>
  </r>
  <r>
    <m/>
    <m/>
    <x v="0"/>
    <x v="0"/>
    <x v="0"/>
    <n v="13140"/>
    <s v="NIB-00007287"/>
    <d v="2025-07-31T00:00:00"/>
    <s v="PAGO DE EMBARGOS MES DE JUNIO, PAGADO EN JULIO 2025"/>
    <x v="202"/>
    <x v="0"/>
    <m/>
    <m/>
    <m/>
    <x v="6"/>
    <s v="Julio"/>
  </r>
  <r>
    <m/>
    <m/>
    <x v="0"/>
    <x v="0"/>
    <x v="0"/>
    <n v="14400"/>
    <s v="NIB-00007289"/>
    <d v="2025-07-31T00:00:00"/>
    <s v="Comsiones Bancarias Junio 2025 --- 30/06/2025"/>
    <x v="203"/>
    <x v="9"/>
    <m/>
    <m/>
    <m/>
    <x v="6"/>
    <s v="Julio"/>
  </r>
  <r>
    <m/>
    <m/>
    <x v="0"/>
    <x v="0"/>
    <x v="0"/>
    <n v="-303166.67"/>
    <s v="NIC-00038078"/>
    <d v="2025-07-31T00:00:00"/>
    <s v="DEVOLUCION DE DSF 1271- GASTOS BANCARIOS MES DE JUNIO 2025"/>
    <x v="204"/>
    <x v="15"/>
    <m/>
    <m/>
    <m/>
    <x v="6"/>
    <s v="Julio"/>
  </r>
  <r>
    <m/>
    <m/>
    <x v="0"/>
    <x v="0"/>
    <x v="0"/>
    <n v="3529"/>
    <s v="NIP-00017435"/>
    <d v="2025-07-31T00:00:00"/>
    <s v="CONTABILIZAICON IVA COMISION 4*1000"/>
    <x v="188"/>
    <x v="1"/>
    <m/>
    <m/>
    <m/>
    <x v="6"/>
    <s v="Julio"/>
  </r>
  <r>
    <m/>
    <m/>
    <x v="0"/>
    <x v="0"/>
    <x v="2"/>
    <n v="20175725"/>
    <s v="NIP-00017438"/>
    <d v="2025-07-31T00:00:00"/>
    <s v="V16455 : COMISION OPERACIONES DE REGISTEO - SERV DE REGISTRO BMC"/>
    <x v="205"/>
    <x v="16"/>
    <m/>
    <m/>
    <m/>
    <x v="6"/>
    <s v="Julio"/>
  </r>
  <r>
    <m/>
    <m/>
    <x v="0"/>
    <x v="0"/>
    <x v="0"/>
    <n v="3529"/>
    <s v="NIP-00017445"/>
    <d v="2025-07-31T00:00:00"/>
    <s v="CONTABILIZAICON IVA COMISION 4*1000"/>
    <x v="188"/>
    <x v="1"/>
    <m/>
    <m/>
    <m/>
    <x v="6"/>
    <s v="Julio"/>
  </r>
  <r>
    <m/>
    <m/>
    <x v="0"/>
    <x v="1"/>
    <x v="1"/>
    <n v="5765403"/>
    <s v="NIB-00007241"/>
    <d v="2025-08-01T00:00:00"/>
    <s v="FACTORING RED CAPITAL FAN-31225-31259-31309-31343-31355-31398-31403"/>
    <x v="206"/>
    <x v="7"/>
    <m/>
    <m/>
    <m/>
    <x v="7"/>
    <s v="Agosto"/>
  </r>
  <r>
    <m/>
    <m/>
    <x v="0"/>
    <x v="1"/>
    <x v="1"/>
    <n v="9731470.4600000009"/>
    <s v="NIB-00007258"/>
    <d v="2025-08-01T00:00:00"/>
    <s v="FACTORING BBVA FAN-31558-31460"/>
    <x v="207"/>
    <x v="8"/>
    <m/>
    <m/>
    <m/>
    <x v="7"/>
    <s v="Agosto"/>
  </r>
  <r>
    <m/>
    <m/>
    <x v="0"/>
    <x v="0"/>
    <x v="0"/>
    <n v="3529"/>
    <s v="NIP-00017449"/>
    <d v="2025-08-04T00:00:00"/>
    <s v="CONTABILIZAICON IVA COMISON 4*1000"/>
    <x v="208"/>
    <x v="1"/>
    <m/>
    <m/>
    <m/>
    <x v="7"/>
    <s v="Agosto"/>
  </r>
  <r>
    <m/>
    <m/>
    <x v="0"/>
    <x v="0"/>
    <x v="0"/>
    <n v="3529"/>
    <s v="NIP-00017454"/>
    <d v="2025-08-05T00:00:00"/>
    <s v="contabilizacion iva comiison 4*1000"/>
    <x v="209"/>
    <x v="1"/>
    <m/>
    <m/>
    <m/>
    <x v="7"/>
    <s v="Agosto"/>
  </r>
  <r>
    <m/>
    <m/>
    <x v="0"/>
    <x v="0"/>
    <x v="0"/>
    <n v="13140"/>
    <s v="NIB-00007301"/>
    <d v="2025-08-06T00:00:00"/>
    <s v="PAGO DE DEPOSITOS JUDICIALES - ARCHIVO: 30030 - SECUENCIAL DE ARCHIVO: GSD202508060891900196_10.TXT"/>
    <x v="210"/>
    <x v="0"/>
    <m/>
    <m/>
    <m/>
    <x v="7"/>
    <s v="Agosto"/>
  </r>
  <r>
    <m/>
    <m/>
    <x v="0"/>
    <x v="1"/>
    <x v="1"/>
    <n v="4659745.4800000004"/>
    <s v="NIB-00007321"/>
    <d v="2025-08-11T00:00:00"/>
    <s v="FACTORING KLYM FAN-31354-31380"/>
    <x v="211"/>
    <x v="10"/>
    <m/>
    <m/>
    <m/>
    <x v="7"/>
    <s v="Agosto"/>
  </r>
  <r>
    <m/>
    <m/>
    <x v="0"/>
    <x v="0"/>
    <x v="0"/>
    <n v="3529"/>
    <s v="NIP-00017472"/>
    <d v="2025-08-11T00:00:00"/>
    <s v="COTABILIZACION IVA COMISION 4*1000"/>
    <x v="212"/>
    <x v="1"/>
    <m/>
    <m/>
    <m/>
    <x v="7"/>
    <s v="Agosto"/>
  </r>
  <r>
    <m/>
    <m/>
    <x v="0"/>
    <x v="1"/>
    <x v="1"/>
    <n v="6696543.8799999999"/>
    <s v="NIB-00007340"/>
    <d v="2025-08-12T00:00:00"/>
    <s v="FACTORING KLYM - FAN-31443-31454-31544"/>
    <x v="213"/>
    <x v="10"/>
    <m/>
    <m/>
    <m/>
    <x v="7"/>
    <s v="Agosto"/>
  </r>
  <r>
    <m/>
    <m/>
    <x v="0"/>
    <x v="1"/>
    <x v="1"/>
    <n v="12141321.060000001"/>
    <s v="NIB-00007359"/>
    <d v="2025-08-12T00:00:00"/>
    <s v="FACTORIGN BBVA FAN31682-31625-31480 PAGO COMISION"/>
    <x v="214"/>
    <x v="8"/>
    <m/>
    <m/>
    <m/>
    <x v="7"/>
    <s v="Agosto"/>
  </r>
  <r>
    <m/>
    <m/>
    <x v="0"/>
    <x v="1"/>
    <x v="1"/>
    <n v="4428310.1900000004"/>
    <s v="NIB-00007363"/>
    <d v="2025-08-12T00:00:00"/>
    <s v="FACTORING BBVA FAN-31507 COMISION PAGO"/>
    <x v="215"/>
    <x v="8"/>
    <m/>
    <m/>
    <m/>
    <x v="7"/>
    <s v="Agosto"/>
  </r>
  <r>
    <m/>
    <m/>
    <x v="0"/>
    <x v="0"/>
    <x v="0"/>
    <n v="3529"/>
    <s v="NIP-00017477"/>
    <d v="2025-08-12T00:00:00"/>
    <s v="CONTABILIZACION IVA COMISION Y 4*1000"/>
    <x v="216"/>
    <x v="1"/>
    <m/>
    <m/>
    <m/>
    <x v="7"/>
    <s v="Agosto"/>
  </r>
  <r>
    <m/>
    <m/>
    <x v="0"/>
    <x v="0"/>
    <x v="0"/>
    <n v="3529"/>
    <s v="NIP-00017490"/>
    <d v="2025-08-14T00:00:00"/>
    <s v="CONTABILIZACION IVA COMISION 4*1000"/>
    <x v="43"/>
    <x v="1"/>
    <m/>
    <m/>
    <m/>
    <x v="7"/>
    <s v="Agosto"/>
  </r>
  <r>
    <m/>
    <m/>
    <x v="0"/>
    <x v="1"/>
    <x v="1"/>
    <n v="3048560.25"/>
    <s v="NIB-00007408"/>
    <d v="2025-08-14T00:00:00"/>
    <s v="FACTORING BANCOLOMBIA FAN-31731 COMISION PAGO"/>
    <x v="217"/>
    <x v="17"/>
    <m/>
    <m/>
    <m/>
    <x v="7"/>
    <s v="Agosto"/>
  </r>
  <r>
    <m/>
    <m/>
    <x v="0"/>
    <x v="1"/>
    <x v="1"/>
    <n v="2558188"/>
    <s v="NIB-00007367"/>
    <d v="2025-08-15T00:00:00"/>
    <s v="FACTORING RED CAPITAL-DAVIVIENDA FAC-31659-31621-31640"/>
    <x v="218"/>
    <x v="7"/>
    <m/>
    <m/>
    <m/>
    <x v="7"/>
    <s v="Agosto"/>
  </r>
  <r>
    <m/>
    <m/>
    <x v="0"/>
    <x v="0"/>
    <x v="0"/>
    <n v="3529"/>
    <s v="NIP-00017517"/>
    <d v="2025-08-21T00:00:00"/>
    <s v="CONTABILIZACION IVA COMISON 4*1000"/>
    <x v="20"/>
    <x v="1"/>
    <m/>
    <m/>
    <m/>
    <x v="7"/>
    <s v="Agosto"/>
  </r>
  <r>
    <m/>
    <m/>
    <x v="0"/>
    <x v="1"/>
    <x v="1"/>
    <n v="2495690"/>
    <s v="NIB-00007409"/>
    <d v="2025-08-22T00:00:00"/>
    <s v="FACTORING RED CAPITAL - FAN-31602-31763-31774 COMISION PAGO"/>
    <x v="219"/>
    <x v="7"/>
    <m/>
    <m/>
    <m/>
    <x v="7"/>
    <s v="Agosto"/>
  </r>
  <r>
    <m/>
    <m/>
    <x v="0"/>
    <x v="0"/>
    <x v="0"/>
    <n v="3529"/>
    <s v="NIP-00017530"/>
    <d v="2025-08-25T00:00:00"/>
    <s v="CONTABILIZACION IVA COMISON 4*1000"/>
    <x v="20"/>
    <x v="1"/>
    <m/>
    <m/>
    <m/>
    <x v="7"/>
    <s v="Agosto"/>
  </r>
  <r>
    <m/>
    <m/>
    <x v="0"/>
    <x v="0"/>
    <x v="0"/>
    <n v="1942617"/>
    <s v="DSF-00001375"/>
    <d v="2025-08-27T00:00:00"/>
    <s v="GASTOS BANCARIOS CORRESPONDIENTE AL MES DE JULIO 2025"/>
    <x v="220"/>
    <x v="3"/>
    <m/>
    <m/>
    <m/>
    <x v="7"/>
    <s v="Agosto"/>
  </r>
  <r>
    <m/>
    <m/>
    <x v="0"/>
    <x v="0"/>
    <x v="0"/>
    <n v="244750"/>
    <s v="DSF-00001376"/>
    <d v="2025-08-27T00:00:00"/>
    <s v="GASTOS BANCARIOS CORRESPONDIENTES AL MES DE JULIO 2025"/>
    <x v="221"/>
    <x v="15"/>
    <m/>
    <m/>
    <m/>
    <x v="7"/>
    <s v="Agosto"/>
  </r>
  <r>
    <m/>
    <m/>
    <x v="0"/>
    <x v="0"/>
    <x v="0"/>
    <n v="7168113.8499999996"/>
    <s v="DSF-00001377"/>
    <d v="2025-08-27T00:00:00"/>
    <s v="GASTOS BANCARIOS CORRESPONDIENTES AL MES DE JULIO 2025"/>
    <x v="221"/>
    <x v="1"/>
    <m/>
    <m/>
    <m/>
    <x v="7"/>
    <s v="Agosto"/>
  </r>
  <r>
    <m/>
    <m/>
    <x v="0"/>
    <x v="0"/>
    <x v="0"/>
    <n v="11075220.4"/>
    <s v="DSF-00001378"/>
    <d v="2025-08-27T00:00:00"/>
    <s v="GASTOS BANCARIOS CORRESPONDIENTES AL MES DE JULIO 2025"/>
    <x v="221"/>
    <x v="7"/>
    <m/>
    <m/>
    <m/>
    <x v="7"/>
    <s v="Agosto"/>
  </r>
  <r>
    <m/>
    <m/>
    <x v="0"/>
    <x v="0"/>
    <x v="0"/>
    <n v="22740"/>
    <s v="DSF-00001380"/>
    <d v="2025-08-27T00:00:00"/>
    <s v="GASTOS BANCARIOS CORRESPONDIENTES AL MES DE JULIO 2025"/>
    <x v="221"/>
    <x v="0"/>
    <m/>
    <m/>
    <m/>
    <x v="7"/>
    <s v="Agosto"/>
  </r>
  <r>
    <m/>
    <m/>
    <x v="0"/>
    <x v="0"/>
    <x v="0"/>
    <n v="5300"/>
    <s v="DSF-00001381"/>
    <d v="2025-08-27T00:00:00"/>
    <s v="GASTOS BANCARIOS CORRESPONDIENTES AL MES DE JULIO 2025"/>
    <x v="221"/>
    <x v="2"/>
    <m/>
    <m/>
    <m/>
    <x v="7"/>
    <s v="Agosto"/>
  </r>
  <r>
    <m/>
    <m/>
    <x v="0"/>
    <x v="0"/>
    <x v="0"/>
    <n v="42900"/>
    <s v="DSF-00001382"/>
    <d v="2025-08-27T00:00:00"/>
    <s v="GASTOS BANCARIOS CORRESPONDIENTES AL MES DE JULIO 2025"/>
    <x v="221"/>
    <x v="14"/>
    <m/>
    <m/>
    <m/>
    <x v="7"/>
    <s v="Agosto"/>
  </r>
  <r>
    <m/>
    <m/>
    <x v="0"/>
    <x v="0"/>
    <x v="0"/>
    <n v="19666013.809999999"/>
    <s v="DSF-00001383"/>
    <d v="2025-08-27T00:00:00"/>
    <s v="GASTOS BANCARIOS CORRESPONDIENTES AL MES DE JULIO 2025"/>
    <x v="221"/>
    <x v="8"/>
    <m/>
    <m/>
    <m/>
    <x v="7"/>
    <s v="Agosto"/>
  </r>
  <r>
    <m/>
    <m/>
    <x v="0"/>
    <x v="0"/>
    <x v="0"/>
    <n v="3558750"/>
    <s v="DSF-00001384"/>
    <d v="2025-08-27T00:00:00"/>
    <s v="GASTOS BANCARIOS CORRESPONDIENTES AL MES DE JULIO 2025"/>
    <x v="221"/>
    <x v="5"/>
    <m/>
    <m/>
    <m/>
    <x v="7"/>
    <s v="Agosto"/>
  </r>
  <r>
    <m/>
    <m/>
    <x v="0"/>
    <x v="0"/>
    <x v="0"/>
    <n v="226664.59"/>
    <s v="DSF-00001385"/>
    <d v="2025-08-27T00:00:00"/>
    <s v="GASTOS BANCARIOS CORRESPONDIENTES AL MES DE JULIO 2025"/>
    <x v="221"/>
    <x v="6"/>
    <m/>
    <m/>
    <m/>
    <x v="7"/>
    <s v="Agosto"/>
  </r>
  <r>
    <m/>
    <m/>
    <x v="0"/>
    <x v="0"/>
    <x v="0"/>
    <n v="954830.25"/>
    <s v="DSF-00001386"/>
    <d v="2025-08-27T00:00:00"/>
    <s v="GASTOS BANCARIOS CORRESPONDIENTES AL MES DE JULIO 2025"/>
    <x v="221"/>
    <x v="9"/>
    <m/>
    <m/>
    <m/>
    <x v="7"/>
    <s v="Agosto"/>
  </r>
  <r>
    <m/>
    <m/>
    <x v="0"/>
    <x v="0"/>
    <x v="0"/>
    <n v="3558750"/>
    <s v="FAC-00048090"/>
    <d v="2025-08-27T00:00:00"/>
    <s v="SOC89864 - COMISION POR ADMINISTRACION : MES DE AGOSTO 2025"/>
    <x v="222"/>
    <x v="5"/>
    <m/>
    <m/>
    <m/>
    <x v="7"/>
    <s v="Agosto"/>
  </r>
  <r>
    <m/>
    <m/>
    <x v="0"/>
    <x v="0"/>
    <x v="0"/>
    <n v="931558"/>
    <s v="NIB-00007446"/>
    <d v="2025-08-27T00:00:00"/>
    <s v="CONSIGNACION DE NEGOCIACION DE TIDIS CON BANCOLOMBIA POR EL 99.95%- COSTO DE OPERACION $931.558.50"/>
    <x v="223"/>
    <x v="1"/>
    <m/>
    <m/>
    <m/>
    <x v="7"/>
    <s v="Agosto"/>
  </r>
  <r>
    <m/>
    <m/>
    <x v="0"/>
    <x v="0"/>
    <x v="0"/>
    <n v="-22740"/>
    <s v="NIC-00038264"/>
    <d v="2025-08-27T00:00:00"/>
    <s v="DEVOLUCION DE DSF MES DE JULIO 2025- GASTOS BANCARIOS (DSF1375 AL DSF 1386)"/>
    <x v="224"/>
    <x v="0"/>
    <m/>
    <m/>
    <m/>
    <x v="7"/>
    <s v="Agosto"/>
  </r>
  <r>
    <m/>
    <m/>
    <x v="0"/>
    <x v="0"/>
    <x v="0"/>
    <n v="-3558750"/>
    <s v="NIC-00038264"/>
    <d v="2025-08-27T00:00:00"/>
    <s v="DEVOLUCION DE DSF MES DE JULIO 2025- GASTOS BANCARIOS (DSF1375 AL DSF 1386)"/>
    <x v="224"/>
    <x v="5"/>
    <m/>
    <m/>
    <m/>
    <x v="7"/>
    <s v="Agosto"/>
  </r>
  <r>
    <m/>
    <m/>
    <x v="0"/>
    <x v="0"/>
    <x v="0"/>
    <n v="-1942617"/>
    <s v="NIC-00038264"/>
    <d v="2025-08-27T00:00:00"/>
    <s v="DEVOLUCION DE DSF MES DE JULIO 2025- GASTOS BANCARIOS (DSF1375 AL DSF 1386)"/>
    <x v="224"/>
    <x v="3"/>
    <m/>
    <m/>
    <m/>
    <x v="7"/>
    <s v="Agosto"/>
  </r>
  <r>
    <m/>
    <m/>
    <x v="0"/>
    <x v="0"/>
    <x v="0"/>
    <n v="-19666013.809999999"/>
    <s v="NIC-00038264"/>
    <d v="2025-08-27T00:00:00"/>
    <s v="DEVOLUCION DE DSF MES DE JULIO 2025- GASTOS BANCARIOS (DSF1375 AL DSF 1386)"/>
    <x v="224"/>
    <x v="8"/>
    <m/>
    <m/>
    <m/>
    <x v="7"/>
    <s v="Agosto"/>
  </r>
  <r>
    <m/>
    <m/>
    <x v="0"/>
    <x v="0"/>
    <x v="0"/>
    <n v="-5300"/>
    <s v="NIC-00038264"/>
    <d v="2025-08-27T00:00:00"/>
    <s v="DEVOLUCION DE DSF MES DE JULIO 2025- GASTOS BANCARIOS (DSF1375 AL DSF 1386)"/>
    <x v="224"/>
    <x v="2"/>
    <m/>
    <m/>
    <m/>
    <x v="7"/>
    <s v="Agosto"/>
  </r>
  <r>
    <m/>
    <m/>
    <x v="0"/>
    <x v="0"/>
    <x v="0"/>
    <n v="-11075220.4"/>
    <s v="NIC-00038264"/>
    <d v="2025-08-27T00:00:00"/>
    <s v="DEVOLUCION DE DSF MES DE JULIO 2025- GASTOS BANCARIOS (DSF1375 AL DSF 1386)"/>
    <x v="224"/>
    <x v="7"/>
    <m/>
    <m/>
    <m/>
    <x v="7"/>
    <s v="Agosto"/>
  </r>
  <r>
    <m/>
    <m/>
    <x v="0"/>
    <x v="0"/>
    <x v="0"/>
    <n v="-42900"/>
    <s v="NIC-00038264"/>
    <d v="2025-08-27T00:00:00"/>
    <s v="DEVOLUCION DE DSF MES DE JULIO 2025- GASTOS BANCARIOS (DSF1375 AL DSF 1386)"/>
    <x v="224"/>
    <x v="14"/>
    <m/>
    <m/>
    <m/>
    <x v="7"/>
    <s v="Agosto"/>
  </r>
  <r>
    <m/>
    <m/>
    <x v="0"/>
    <x v="0"/>
    <x v="0"/>
    <n v="-244750"/>
    <s v="NIC-00038264"/>
    <d v="2025-08-27T00:00:00"/>
    <s v="DEVOLUCION DE DSF MES DE JULIO 2025- GASTOS BANCARIOS (DSF1375 AL DSF 1386)"/>
    <x v="224"/>
    <x v="15"/>
    <m/>
    <m/>
    <m/>
    <x v="7"/>
    <s v="Agosto"/>
  </r>
  <r>
    <m/>
    <m/>
    <x v="0"/>
    <x v="0"/>
    <x v="0"/>
    <n v="-954830.25"/>
    <s v="NIC-00038264"/>
    <d v="2025-08-27T00:00:00"/>
    <s v="DEVOLUCION DE DSF MES DE JULIO 2025- GASTOS BANCARIOS (DSF1375 AL DSF 1386)"/>
    <x v="224"/>
    <x v="9"/>
    <m/>
    <m/>
    <m/>
    <x v="7"/>
    <s v="Agosto"/>
  </r>
  <r>
    <m/>
    <m/>
    <x v="0"/>
    <x v="0"/>
    <x v="0"/>
    <n v="-7168113.8499999996"/>
    <s v="NIC-00038264"/>
    <d v="2025-08-27T00:00:00"/>
    <s v="DEVOLUCION DE DSF MES DE JULIO 2025- GASTOS BANCARIOS (DSF1375 AL DSF 1386)"/>
    <x v="224"/>
    <x v="1"/>
    <m/>
    <m/>
    <m/>
    <x v="7"/>
    <s v="Agosto"/>
  </r>
  <r>
    <m/>
    <m/>
    <x v="0"/>
    <x v="0"/>
    <x v="0"/>
    <n v="-226664.59"/>
    <s v="NIC-00038264"/>
    <d v="2025-08-27T00:00:00"/>
    <s v="DEVOLUCION DE DSF MES DE JULIO 2025- GASTOS BANCARIOS (DSF1375 AL DSF 1386)"/>
    <x v="224"/>
    <x v="6"/>
    <m/>
    <m/>
    <m/>
    <x v="7"/>
    <s v="Agosto"/>
  </r>
  <r>
    <m/>
    <m/>
    <x v="0"/>
    <x v="1"/>
    <x v="1"/>
    <n v="7004055.7800000003"/>
    <s v="NIB-00007464"/>
    <d v="2025-08-27T00:00:00"/>
    <s v="FACTORING BBVA FAN-31784-31719 PAGO - COMISION"/>
    <x v="225"/>
    <x v="8"/>
    <m/>
    <m/>
    <m/>
    <x v="7"/>
    <s v="Agosto"/>
  </r>
  <r>
    <m/>
    <m/>
    <x v="0"/>
    <x v="1"/>
    <x v="1"/>
    <n v="3281477.9"/>
    <s v="NIB-00007465"/>
    <d v="2025-08-27T00:00:00"/>
    <s v="FACTORING BBVA FAN-31705"/>
    <x v="226"/>
    <x v="8"/>
    <m/>
    <m/>
    <m/>
    <x v="7"/>
    <s v="Agosto"/>
  </r>
  <r>
    <m/>
    <m/>
    <x v="0"/>
    <x v="1"/>
    <x v="1"/>
    <n v="14254636.27"/>
    <s v="NIB-00007467"/>
    <d v="2025-08-28T00:00:00"/>
    <s v="FACTORNG BBVA FAN-31754-31760-31791-31797-31815-31823-31831-31835"/>
    <x v="227"/>
    <x v="8"/>
    <m/>
    <m/>
    <m/>
    <x v="7"/>
    <s v="Agosto"/>
  </r>
  <r>
    <m/>
    <m/>
    <x v="0"/>
    <x v="0"/>
    <x v="0"/>
    <n v="3529"/>
    <s v="NIC-00038276"/>
    <d v="2025-08-29T00:00:00"/>
    <s v="CONTABILIZAICON IVA COMISON 4*1000"/>
    <x v="208"/>
    <x v="1"/>
    <m/>
    <m/>
    <m/>
    <x v="7"/>
    <s v="Agosto"/>
  </r>
  <r>
    <m/>
    <m/>
    <x v="0"/>
    <x v="0"/>
    <x v="0"/>
    <n v="1361323.2"/>
    <s v="NIB-00007475"/>
    <d v="2025-08-31T00:00:00"/>
    <s v="GASTOS BANCARIOS BANCOLOMBIA AHORRO 30631513979 MES DE AGOSTO 2025"/>
    <x v="228"/>
    <x v="1"/>
    <m/>
    <m/>
    <m/>
    <x v="7"/>
    <s v="Agosto"/>
  </r>
  <r>
    <m/>
    <m/>
    <x v="0"/>
    <x v="0"/>
    <x v="0"/>
    <n v="2876425.26"/>
    <s v="NIB-00007476"/>
    <d v="2025-08-31T00:00:00"/>
    <s v="GASTOS BANCARIOS BANCOLOMBIA CTE 80104152201 MES DE JULIO 2025"/>
    <x v="196"/>
    <x v="1"/>
    <m/>
    <m/>
    <m/>
    <x v="7"/>
    <s v="Agosto"/>
  </r>
  <r>
    <m/>
    <m/>
    <x v="0"/>
    <x v="0"/>
    <x v="0"/>
    <n v="1659528"/>
    <s v="NIB-00007479"/>
    <d v="2025-08-31T00:00:00"/>
    <s v="GASTOS BANCARIOS BANCO DE BOGOTA TULUA CTE 612036319 MES DE AGOSTO 2025"/>
    <x v="229"/>
    <x v="3"/>
    <m/>
    <m/>
    <m/>
    <x v="7"/>
    <s v="Agosto"/>
  </r>
  <r>
    <m/>
    <m/>
    <x v="0"/>
    <x v="0"/>
    <x v="0"/>
    <n v="73668"/>
    <s v="NIB-00007480"/>
    <d v="2025-08-31T00:00:00"/>
    <s v="GASTOS BANCARIOS BANCO BOGOTA CALI CTE 256096355 MES DE AGOSTO 2025"/>
    <x v="230"/>
    <x v="3"/>
    <m/>
    <m/>
    <m/>
    <x v="7"/>
    <s v="Agosto"/>
  </r>
  <r>
    <m/>
    <m/>
    <x v="0"/>
    <x v="0"/>
    <x v="0"/>
    <n v="85000"/>
    <s v="NIB-00007497"/>
    <d v="2025-08-31T00:00:00"/>
    <s v="GASTOS BANCARIOS BANCO DE OCCIDENTE CTE 001526318 MES DE AGOSTO 2025"/>
    <x v="231"/>
    <x v="15"/>
    <m/>
    <m/>
    <m/>
    <x v="7"/>
    <s v="Agosto"/>
  </r>
  <r>
    <m/>
    <m/>
    <x v="0"/>
    <x v="0"/>
    <x v="0"/>
    <n v="191771"/>
    <s v="NIB-00007498"/>
    <d v="2025-08-31T00:00:00"/>
    <s v="GASTOS BANCARIOS BANCO DAVIVIENDA CTE 379469997678 MES DE AGOSTO 2025"/>
    <x v="232"/>
    <x v="7"/>
    <m/>
    <m/>
    <m/>
    <x v="7"/>
    <s v="Agosto"/>
  </r>
  <r>
    <m/>
    <m/>
    <x v="0"/>
    <x v="0"/>
    <x v="0"/>
    <n v="54600"/>
    <s v="NIB-00007499"/>
    <d v="2025-08-31T00:00:00"/>
    <s v="GASTOS BANCARIOS BANCO BBVA COLOMBIA 0502000100011570 CTE MES DE AGOSTO 2025"/>
    <x v="233"/>
    <x v="8"/>
    <m/>
    <m/>
    <m/>
    <x v="7"/>
    <s v="Agosto"/>
  </r>
  <r>
    <m/>
    <m/>
    <x v="0"/>
    <x v="0"/>
    <x v="0"/>
    <n v="435836.75"/>
    <s v="NIB-00007500"/>
    <d v="2025-08-31T00:00:00"/>
    <s v="GASTOS BANCARIOS BANCOLOMBIA PANAMA 10400455 MES DE AGOSTO 2025"/>
    <x v="234"/>
    <x v="6"/>
    <m/>
    <m/>
    <m/>
    <x v="7"/>
    <s v="Agosto"/>
  </r>
  <r>
    <m/>
    <m/>
    <x v="0"/>
    <x v="0"/>
    <x v="0"/>
    <n v="602761.5"/>
    <s v="NIB-00007502"/>
    <d v="2025-08-31T00:00:00"/>
    <s v="GASTOS BANCARIOS ITAU PANAMA - CTA COMPENSACION 102068322 MES DE AGOSTO 2025"/>
    <x v="235"/>
    <x v="9"/>
    <m/>
    <m/>
    <m/>
    <x v="7"/>
    <s v="Agosto"/>
  </r>
  <r>
    <m/>
    <m/>
    <x v="0"/>
    <x v="1"/>
    <x v="1"/>
    <n v="-4659745.4800000004"/>
    <s v="NIC-00038377"/>
    <d v="2025-08-31T00:00:00"/>
    <s v="RECLASIFICACION COMISIONES FACTORING NIB- 7321 FACTORING KLYM FAN-31354-31380"/>
    <x v="236"/>
    <x v="10"/>
    <m/>
    <m/>
    <m/>
    <x v="7"/>
    <s v="Agosto"/>
  </r>
  <r>
    <m/>
    <m/>
    <x v="0"/>
    <x v="1"/>
    <x v="1"/>
    <n v="-6696543.8799999999"/>
    <s v="NIC-00038377"/>
    <d v="2025-08-31T00:00:00"/>
    <s v="RECLASIFICACION COMISIONES FACTORING NIB- 7340 FACTORING KLYM - FAN-31443-31454-31544"/>
    <x v="236"/>
    <x v="10"/>
    <m/>
    <m/>
    <m/>
    <x v="7"/>
    <s v="Agosto"/>
  </r>
  <r>
    <m/>
    <m/>
    <x v="0"/>
    <x v="1"/>
    <x v="1"/>
    <n v="-12141321.060000001"/>
    <s v="NIC-00038377"/>
    <d v="2025-08-31T00:00:00"/>
    <s v="RECLASIFICACION COMISIONES FACTORING NIB- 7359 FACTORIGN BBVA FAN31682-31625-31480 PAGO COMISION"/>
    <x v="236"/>
    <x v="8"/>
    <m/>
    <m/>
    <m/>
    <x v="7"/>
    <s v="Agosto"/>
  </r>
  <r>
    <m/>
    <m/>
    <x v="0"/>
    <x v="1"/>
    <x v="1"/>
    <n v="-4428310.1900000004"/>
    <s v="NIC-00038377"/>
    <d v="2025-08-31T00:00:00"/>
    <s v="RECLASIFICACION COMISIONES FACTORING NIB- 7363 FACTORING BBVA FAN-31507 COMISION PAGO"/>
    <x v="236"/>
    <x v="8"/>
    <m/>
    <m/>
    <m/>
    <x v="7"/>
    <s v="Agosto"/>
  </r>
  <r>
    <m/>
    <m/>
    <x v="0"/>
    <x v="1"/>
    <x v="1"/>
    <n v="-2558188"/>
    <s v="NIC-00038377"/>
    <d v="2025-08-31T00:00:00"/>
    <s v="RECLASIFICACION COMISIONES FACTORING NIB- 7367 FACTORING RED CAPITAL-DAVIVIENDA FAC-31659-31621-31640"/>
    <x v="236"/>
    <x v="7"/>
    <m/>
    <m/>
    <m/>
    <x v="7"/>
    <s v="Agosto"/>
  </r>
  <r>
    <m/>
    <m/>
    <x v="0"/>
    <x v="1"/>
    <x v="1"/>
    <n v="-5765403"/>
    <s v="NIC-00038377"/>
    <d v="2025-08-31T00:00:00"/>
    <s v="RECLASIFICACION COMISIONES FACTORING NIB-7241 RED CAPITAL FAN-31225-31259-31309-31343-31355-31398-31403"/>
    <x v="236"/>
    <x v="7"/>
    <m/>
    <m/>
    <m/>
    <x v="7"/>
    <s v="Agosto"/>
  </r>
  <r>
    <m/>
    <m/>
    <x v="0"/>
    <x v="1"/>
    <x v="1"/>
    <n v="-9731470.4600000009"/>
    <s v="NIC-00038377"/>
    <d v="2025-08-31T00:00:00"/>
    <s v="RECLASIFICACION COMISIONES NIB-7258 FACTORING BBVA FAN-31558-31460"/>
    <x v="236"/>
    <x v="8"/>
    <m/>
    <m/>
    <m/>
    <x v="7"/>
    <s v="Agosto"/>
  </r>
  <r>
    <m/>
    <m/>
    <x v="0"/>
    <x v="1"/>
    <x v="1"/>
    <n v="-4428310.1900000004"/>
    <s v="NIC-00038501"/>
    <d v="2025-08-31T00:00:00"/>
    <s v="RECLASIFICACION FAN- 31507 CTA COMISION 53051502 A SEPTIEMBRE POR VENCIMIENTOS DE FACTURAS"/>
    <x v="237"/>
    <x v="8"/>
    <m/>
    <m/>
    <m/>
    <x v="7"/>
    <s v="Agosto"/>
  </r>
  <r>
    <m/>
    <m/>
    <x v="0"/>
    <x v="1"/>
    <x v="1"/>
    <n v="-3001362"/>
    <s v="NIC-00038506"/>
    <d v="2025-08-31T00:00:00"/>
    <s v="RECLASIFICACION COMISION FAN-31731-FAN-31400"/>
    <x v="238"/>
    <x v="17"/>
    <m/>
    <m/>
    <m/>
    <x v="7"/>
    <s v="Agosto"/>
  </r>
  <r>
    <m/>
    <m/>
    <x v="0"/>
    <x v="1"/>
    <x v="1"/>
    <n v="3001362"/>
    <s v="NIC-00038506"/>
    <d v="2025-08-31T00:00:00"/>
    <s v="RECLASIFICACION COMISION FAN-31731-FAN-31400"/>
    <x v="238"/>
    <x v="1"/>
    <m/>
    <m/>
    <m/>
    <x v="7"/>
    <s v="Agosto"/>
  </r>
  <r>
    <m/>
    <m/>
    <x v="0"/>
    <x v="0"/>
    <x v="2"/>
    <n v="16205000"/>
    <s v="NIP-00017578"/>
    <d v="2025-08-31T00:00:00"/>
    <s v="CLFV23217 - COMISION CORREAGRO - SERV DE REGISTRO BMC"/>
    <x v="239"/>
    <x v="11"/>
    <m/>
    <m/>
    <m/>
    <x v="7"/>
    <s v="Agosto"/>
  </r>
  <r>
    <m/>
    <m/>
    <x v="0"/>
    <x v="0"/>
    <x v="2"/>
    <n v="2527054"/>
    <s v="NIP-00017579"/>
    <d v="2025-08-31T00:00:00"/>
    <s v="CLFV23216 - COMISION CORREAGRO - SERV DE REGISTRO BMC"/>
    <x v="240"/>
    <x v="11"/>
    <m/>
    <m/>
    <m/>
    <x v="7"/>
    <s v="Agosto"/>
  </r>
  <r>
    <m/>
    <m/>
    <x v="0"/>
    <x v="0"/>
    <x v="2"/>
    <n v="5235893"/>
    <s v="NIP-00017580"/>
    <d v="2025-08-31T00:00:00"/>
    <s v="C-16601 - COMISION OPERACIONES - SRR REGISTRO BMC"/>
    <x v="241"/>
    <x v="16"/>
    <m/>
    <m/>
    <m/>
    <x v="7"/>
    <s v="Agosto"/>
  </r>
  <r>
    <m/>
    <m/>
    <x v="0"/>
    <x v="1"/>
    <x v="1"/>
    <n v="4659745.4800000004"/>
    <s v="NIC-00038377"/>
    <d v="2025-08-31T00:00:00"/>
    <s v="RECLASIFICACION COMISIONES FACTORING NIB- 7321 FACTORING KLYM FAN-31354-31380"/>
    <x v="236"/>
    <x v="10"/>
    <m/>
    <m/>
    <m/>
    <x v="7"/>
    <s v="Agosto"/>
  </r>
  <r>
    <m/>
    <m/>
    <x v="0"/>
    <x v="1"/>
    <x v="1"/>
    <n v="6696543.8799999999"/>
    <s v="NIC-00038377"/>
    <d v="2025-08-31T00:00:00"/>
    <s v="RECLASIFICACION COMISIONES FACTORING NIB- 7340 FACTORING KLYM - FAN-31443-31454-31544"/>
    <x v="236"/>
    <x v="10"/>
    <m/>
    <m/>
    <m/>
    <x v="7"/>
    <s v="Agosto"/>
  </r>
  <r>
    <m/>
    <m/>
    <x v="0"/>
    <x v="1"/>
    <x v="1"/>
    <n v="12141321.060000001"/>
    <s v="NIC-00038377"/>
    <d v="2025-08-31T00:00:00"/>
    <s v="RECLASIFICACION COMISIONES FACTORING NIB- 7359 FACTORIGN BBVA FAN31682-31625-31480 PAGO COMISION"/>
    <x v="236"/>
    <x v="8"/>
    <m/>
    <m/>
    <m/>
    <x v="7"/>
    <s v="Agosto"/>
  </r>
  <r>
    <m/>
    <m/>
    <x v="0"/>
    <x v="1"/>
    <x v="1"/>
    <n v="4428310.1900000004"/>
    <s v="NIC-00038377"/>
    <d v="2025-08-31T00:00:00"/>
    <s v="RECLASIFICACION COMISIONES FACTORING NIB- 7363 FACTORING BBVA FAN-31507 COMISION PAGO"/>
    <x v="236"/>
    <x v="8"/>
    <m/>
    <m/>
    <m/>
    <x v="7"/>
    <s v="Agosto"/>
  </r>
  <r>
    <m/>
    <m/>
    <x v="0"/>
    <x v="1"/>
    <x v="1"/>
    <n v="2558188"/>
    <s v="NIC-00038377"/>
    <d v="2025-08-31T00:00:00"/>
    <s v="RECLASIFICACION COMISIONES FACTORING NIB- 7367 FACTORING RED CAPITAL-DAVIVIENDA FAC-31659-31621-31640"/>
    <x v="236"/>
    <x v="7"/>
    <m/>
    <m/>
    <m/>
    <x v="7"/>
    <s v="Agosto"/>
  </r>
  <r>
    <m/>
    <m/>
    <x v="0"/>
    <x v="1"/>
    <x v="1"/>
    <n v="5765403"/>
    <s v="NIC-00038377"/>
    <d v="2025-08-31T00:00:00"/>
    <s v="RECLASIFICACION COMISIONES FACTORING NIB-7241 RED CAPITAL FAN-31225-31259-31309-31343-31355-31398-31403"/>
    <x v="236"/>
    <x v="7"/>
    <m/>
    <m/>
    <m/>
    <x v="7"/>
    <s v="Agosto"/>
  </r>
  <r>
    <m/>
    <m/>
    <x v="0"/>
    <x v="1"/>
    <x v="1"/>
    <n v="9731470.4600000009"/>
    <s v="NIC-00038377"/>
    <d v="2025-08-31T00:00:00"/>
    <s v="RECLASIFICACION COMISIONES NIB-7258 FACTORING BBVA FAN-31558-31460"/>
    <x v="236"/>
    <x v="8"/>
    <m/>
    <m/>
    <m/>
    <x v="7"/>
    <s v="Agosto"/>
  </r>
  <r>
    <m/>
    <m/>
    <x v="0"/>
    <x v="1"/>
    <x v="1"/>
    <n v="-3048560.25"/>
    <s v="NIC-00038501"/>
    <d v="2025-08-31T00:00:00"/>
    <s v="RECLASIFICACION  FAN- 31731 CTA COMISION 53051502 A SEPTIEMBRE POR VENCIMIENTOS DE FACTURAS"/>
    <x v="237"/>
    <x v="1"/>
    <m/>
    <m/>
    <m/>
    <x v="7"/>
    <s v="Agosto"/>
  </r>
  <r>
    <m/>
    <m/>
    <x v="0"/>
    <x v="1"/>
    <x v="1"/>
    <n v="-9731470.4600000009"/>
    <s v="NIC-00038501"/>
    <d v="2025-08-31T00:00:00"/>
    <s v="RECLASIFICACION FAN- 31558-31460 CTA COMISION 53051502 A SEPTIEMBRE POR VENCIMIENTOS DE FACTURAS"/>
    <x v="237"/>
    <x v="8"/>
    <m/>
    <m/>
    <m/>
    <x v="7"/>
    <s v="Agosto"/>
  </r>
  <r>
    <m/>
    <m/>
    <x v="0"/>
    <x v="1"/>
    <x v="1"/>
    <n v="-2558188"/>
    <s v="NIC-00038501"/>
    <d v="2025-08-31T00:00:00"/>
    <s v="RECLASIFICACION FAN- 31659-31621-31640 CTA COMISION 53051502 A SEPTIEMBRE POR VENCIMIENTOS DE FACTURAS"/>
    <x v="237"/>
    <x v="7"/>
    <m/>
    <m/>
    <m/>
    <x v="7"/>
    <s v="Agosto"/>
  </r>
  <r>
    <m/>
    <m/>
    <x v="0"/>
    <x v="1"/>
    <x v="1"/>
    <n v="-12141321.060000001"/>
    <s v="NIC-00038501"/>
    <d v="2025-08-31T00:00:00"/>
    <s v="RECLASIFICACION FAN- 31682-31625-31480 CTA COMISION 53051502 A SEPTIEMBRE POR VENCIMIENTOS DE FACTURAS"/>
    <x v="237"/>
    <x v="8"/>
    <m/>
    <m/>
    <m/>
    <x v="7"/>
    <s v="Agosto"/>
  </r>
  <r>
    <m/>
    <m/>
    <x v="0"/>
    <x v="1"/>
    <x v="1"/>
    <n v="-3281477.9"/>
    <s v="NIC-00038501"/>
    <d v="2025-08-31T00:00:00"/>
    <s v="RECLASIFICACION FAN- 31705 CTA COMISION 53051502 A SEPTIEMBRE POR VENCIMIENTOS DE FACTURAS"/>
    <x v="237"/>
    <x v="8"/>
    <m/>
    <m/>
    <m/>
    <x v="7"/>
    <s v="Agosto"/>
  </r>
  <r>
    <m/>
    <m/>
    <x v="0"/>
    <x v="1"/>
    <x v="1"/>
    <n v="-14254636.27"/>
    <s v="NIC-00038501"/>
    <d v="2025-08-31T00:00:00"/>
    <s v="RECLASIFICACION FAN- 31754-760 -791-797-815-823-831-835 CTA COMISION 53051502 A SEPTIEMBRE POR VENCIMIENTOS DE FACTURAS"/>
    <x v="237"/>
    <x v="8"/>
    <m/>
    <m/>
    <m/>
    <x v="7"/>
    <s v="Agosto"/>
  </r>
  <r>
    <m/>
    <m/>
    <x v="0"/>
    <x v="1"/>
    <x v="1"/>
    <n v="-7004055.7800000003"/>
    <s v="NIC-00038501"/>
    <d v="2025-08-31T00:00:00"/>
    <s v="RECLASIFICACION FAN- 31784-31719 CTA COMISION 53051502 A SEPTIEMBRE POR VENCIMIENTOS DE FACTURAS"/>
    <x v="237"/>
    <x v="8"/>
    <m/>
    <m/>
    <m/>
    <x v="7"/>
    <s v="Agosto"/>
  </r>
  <r>
    <m/>
    <m/>
    <x v="0"/>
    <x v="1"/>
    <x v="1"/>
    <n v="-2495690"/>
    <s v="NIC-00038501"/>
    <d v="2025-08-31T00:00:00"/>
    <s v="RECLASIFICACION FAN-31602-31763-31774 CTA COMISION 53051502 A SEPTIEMBRE POR VENCIMIENTOS DE FACTURAS"/>
    <x v="237"/>
    <x v="7"/>
    <m/>
    <m/>
    <m/>
    <x v="7"/>
    <s v="Agosto"/>
  </r>
  <r>
    <m/>
    <m/>
    <x v="0"/>
    <x v="1"/>
    <x v="1"/>
    <n v="-3048560.25"/>
    <s v="NIC-00038506"/>
    <d v="2025-08-31T00:00:00"/>
    <s v="RECLASIFICACION COMISION FAN-31731-FAN-31400"/>
    <x v="238"/>
    <x v="17"/>
    <m/>
    <m/>
    <m/>
    <x v="7"/>
    <s v="Agosto"/>
  </r>
  <r>
    <m/>
    <m/>
    <x v="0"/>
    <x v="1"/>
    <x v="1"/>
    <n v="3048560.25"/>
    <s v="NIC-00038506"/>
    <d v="2025-08-31T00:00:00"/>
    <s v="RECLASIFICACION COMISION FAN-31731-FAN-31400"/>
    <x v="238"/>
    <x v="1"/>
    <m/>
    <m/>
    <m/>
    <x v="7"/>
    <s v="Agosto"/>
  </r>
  <r>
    <m/>
    <m/>
    <x v="0"/>
    <x v="0"/>
    <x v="0"/>
    <n v="3529"/>
    <s v="NIP-00017575"/>
    <d v="2025-09-01T00:00:00"/>
    <s v="CONTABILIZAICON IVA COMIION 4*1000"/>
    <x v="242"/>
    <x v="1"/>
    <m/>
    <m/>
    <m/>
    <x v="8"/>
    <s v="Septiembre"/>
  </r>
  <r>
    <m/>
    <m/>
    <x v="0"/>
    <x v="0"/>
    <x v="0"/>
    <n v="3529"/>
    <s v="NIP-00017577"/>
    <d v="2025-09-01T00:00:00"/>
    <s v="contabilizacion iva comison 4*1000"/>
    <x v="20"/>
    <x v="1"/>
    <m/>
    <m/>
    <m/>
    <x v="8"/>
    <s v="Septiembre"/>
  </r>
  <r>
    <m/>
    <m/>
    <x v="0"/>
    <x v="0"/>
    <x v="0"/>
    <n v="3529"/>
    <s v="NIP-00017584"/>
    <d v="2025-09-02T00:00:00"/>
    <s v="CONTABILIZAION IVA COMISION 4*1000"/>
    <x v="243"/>
    <x v="1"/>
    <m/>
    <m/>
    <m/>
    <x v="8"/>
    <s v="Septiembre"/>
  </r>
  <r>
    <m/>
    <m/>
    <x v="0"/>
    <x v="0"/>
    <x v="0"/>
    <n v="3529"/>
    <s v="NIP-00017616"/>
    <d v="2025-09-08T00:00:00"/>
    <s v="SE CONTABILIZA IVA COMISION 4*1000"/>
    <x v="244"/>
    <x v="1"/>
    <m/>
    <m/>
    <m/>
    <x v="8"/>
    <s v="Septiembre"/>
  </r>
  <r>
    <m/>
    <m/>
    <x v="0"/>
    <x v="0"/>
    <x v="0"/>
    <n v="13140"/>
    <s v="NIB-00007561"/>
    <d v="2025-09-09T00:00:00"/>
    <s v="PAGO DE DEPSITOS JUDICIALES - ICSA"/>
    <x v="245"/>
    <x v="0"/>
    <m/>
    <m/>
    <m/>
    <x v="8"/>
    <s v="Septiembre"/>
  </r>
  <r>
    <m/>
    <m/>
    <x v="0"/>
    <x v="0"/>
    <x v="0"/>
    <n v="4428310.1900000004"/>
    <s v="NIC-00038534"/>
    <d v="2025-09-12T00:00:00"/>
    <m/>
    <x v="246"/>
    <x v="8"/>
    <m/>
    <m/>
    <m/>
    <x v="8"/>
    <s v="Septiembre"/>
  </r>
  <r>
    <m/>
    <m/>
    <x v="0"/>
    <x v="0"/>
    <x v="0"/>
    <n v="3529"/>
    <s v="NIP-00017682"/>
    <d v="2025-09-16T00:00:00"/>
    <s v="CONTABILIZACION IVA COMIISON 4*1000"/>
    <x v="209"/>
    <x v="1"/>
    <m/>
    <m/>
    <m/>
    <x v="8"/>
    <s v="Septiembre"/>
  </r>
  <r>
    <m/>
    <m/>
    <x v="0"/>
    <x v="0"/>
    <x v="0"/>
    <n v="13140"/>
    <s v="DSF-00001407"/>
    <d v="2025-09-17T00:00:00"/>
    <s v="GASTOS BANCARIOS CORRESPONDIENTE AL MES DE AGOSTO 2025"/>
    <x v="247"/>
    <x v="0"/>
    <m/>
    <m/>
    <m/>
    <x v="8"/>
    <s v="Septiembre"/>
  </r>
  <r>
    <m/>
    <m/>
    <x v="0"/>
    <x v="0"/>
    <x v="0"/>
    <n v="3558750.42"/>
    <s v="FAC-00048354"/>
    <d v="2025-09-17T00:00:00"/>
    <s v="SOC91016 - COMISION POR ADMINISTRACION- PERIODO DE FACTRUAUCION: SEPTIEMBRE 2025"/>
    <x v="248"/>
    <x v="5"/>
    <m/>
    <m/>
    <m/>
    <x v="8"/>
    <s v="Septiembre"/>
  </r>
  <r>
    <m/>
    <m/>
    <x v="0"/>
    <x v="0"/>
    <x v="0"/>
    <n v="1"/>
    <s v="DSF-00001415"/>
    <d v="2025-09-18T00:00:00"/>
    <s v="PRUEBA"/>
    <x v="249"/>
    <x v="3"/>
    <m/>
    <m/>
    <m/>
    <x v="8"/>
    <s v="Septiembre"/>
  </r>
  <r>
    <m/>
    <m/>
    <x v="0"/>
    <x v="0"/>
    <x v="0"/>
    <n v="1"/>
    <s v="DSF-00001416"/>
    <d v="2025-09-18T00:00:00"/>
    <s v="PRUEBA"/>
    <x v="249"/>
    <x v="3"/>
    <m/>
    <m/>
    <m/>
    <x v="8"/>
    <s v="Septiembre"/>
  </r>
  <r>
    <m/>
    <m/>
    <x v="0"/>
    <x v="0"/>
    <x v="2"/>
    <n v="23705"/>
    <s v="NIP-00017694"/>
    <d v="2025-09-18T00:00:00"/>
    <s v="CLFV23467 - SERV MODIFICACION BMC 860071250"/>
    <x v="250"/>
    <x v="11"/>
    <m/>
    <m/>
    <m/>
    <x v="8"/>
    <s v="Septiembre"/>
  </r>
  <r>
    <m/>
    <m/>
    <x v="0"/>
    <x v="0"/>
    <x v="0"/>
    <n v="168067.23"/>
    <s v="NIB-00007661"/>
    <d v="2025-09-19T00:00:00"/>
    <s v="FACTORING KLYM FAC-32176-32212 COMISION PAGO"/>
    <x v="251"/>
    <x v="10"/>
    <m/>
    <m/>
    <m/>
    <x v="8"/>
    <s v="Septiembre"/>
  </r>
  <r>
    <m/>
    <m/>
    <x v="0"/>
    <x v="0"/>
    <x v="0"/>
    <n v="80000"/>
    <s v="CAM-00001009"/>
    <d v="2025-09-22T00:00:00"/>
    <s v="PAGO DE COMISION DE CHEQUES BANCOLOMBIA ,(412624452-579274497-016926301-133925799)"/>
    <x v="252"/>
    <x v="1"/>
    <m/>
    <m/>
    <m/>
    <x v="8"/>
    <s v="Septiembre"/>
  </r>
  <r>
    <m/>
    <m/>
    <x v="0"/>
    <x v="0"/>
    <x v="0"/>
    <n v="3529"/>
    <s v="NIP-00017701"/>
    <d v="2025-09-22T00:00:00"/>
    <s v="CONTABILIZAICON IVA COMISION 4*1000"/>
    <x v="188"/>
    <x v="1"/>
    <m/>
    <m/>
    <m/>
    <x v="8"/>
    <s v="Septiembre"/>
  </r>
  <r>
    <m/>
    <m/>
    <x v="0"/>
    <x v="0"/>
    <x v="0"/>
    <n v="3529"/>
    <s v="NIP-00017705"/>
    <d v="2025-09-23T00:00:00"/>
    <s v="contabilizacion iva comision 4*1000"/>
    <x v="43"/>
    <x v="1"/>
    <m/>
    <m/>
    <m/>
    <x v="8"/>
    <s v="Septiembre"/>
  </r>
  <r>
    <m/>
    <m/>
    <x v="0"/>
    <x v="0"/>
    <x v="0"/>
    <n v="3529"/>
    <s v="NIP-00017709"/>
    <d v="2025-09-24T00:00:00"/>
    <s v="CONTABILIZAICON IVA COMISON 4*1000"/>
    <x v="208"/>
    <x v="1"/>
    <m/>
    <m/>
    <m/>
    <x v="8"/>
    <s v="Septiembre"/>
  </r>
  <r>
    <m/>
    <m/>
    <x v="0"/>
    <x v="0"/>
    <x v="0"/>
    <n v="1733196"/>
    <s v="DSF-00001430"/>
    <d v="2025-09-26T00:00:00"/>
    <s v="GASTOS BANCARIOS CORRESPONDIENTE AL MES DE AOSTO 2025"/>
    <x v="253"/>
    <x v="3"/>
    <m/>
    <m/>
    <m/>
    <x v="8"/>
    <s v="Septiembre"/>
  </r>
  <r>
    <m/>
    <m/>
    <x v="0"/>
    <x v="0"/>
    <x v="0"/>
    <n v="85000"/>
    <s v="DSF-00001431"/>
    <d v="2025-09-26T00:00:00"/>
    <s v="GASTOS BANCARIOS CORRESPONDIENTE AL MES DE AGOSTO 2025"/>
    <x v="247"/>
    <x v="15"/>
    <m/>
    <m/>
    <m/>
    <x v="8"/>
    <s v="Septiembre"/>
  </r>
  <r>
    <m/>
    <m/>
    <x v="0"/>
    <x v="0"/>
    <x v="0"/>
    <n v="8198900.46"/>
    <s v="DSF-00001432"/>
    <d v="2025-09-26T00:00:00"/>
    <s v="GASTOS BANCARIOS CORRESPONDIENTE AL MES DE AGOSTO 2025"/>
    <x v="247"/>
    <x v="1"/>
    <m/>
    <m/>
    <m/>
    <x v="8"/>
    <s v="Septiembre"/>
  </r>
  <r>
    <m/>
    <m/>
    <x v="0"/>
    <x v="0"/>
    <x v="0"/>
    <n v="191771"/>
    <s v="DSF-00001433"/>
    <d v="2025-09-26T00:00:00"/>
    <s v="GASTOS BANCARIOS CORRESPONDIENTE AL MES DE AGOSTO 2025"/>
    <x v="247"/>
    <x v="7"/>
    <m/>
    <m/>
    <m/>
    <x v="8"/>
    <s v="Septiembre"/>
  </r>
  <r>
    <m/>
    <m/>
    <x v="0"/>
    <x v="0"/>
    <x v="0"/>
    <n v="3558750"/>
    <s v="DSF-00001437"/>
    <d v="2025-09-26T00:00:00"/>
    <s v="DSF1437 - GASTOS BANCARIOS CORRESPONDIENTE AL MES DE AGOSTO 2025"/>
    <x v="254"/>
    <x v="5"/>
    <m/>
    <m/>
    <m/>
    <x v="8"/>
    <s v="Septiembre"/>
  </r>
  <r>
    <m/>
    <m/>
    <x v="0"/>
    <x v="0"/>
    <x v="0"/>
    <n v="435836.75"/>
    <s v="DSF-00001438"/>
    <d v="2025-09-26T00:00:00"/>
    <s v="GASTOS BANCARIOS CORRESPONDIENTES AL MES DE AGOSTO 2025"/>
    <x v="255"/>
    <x v="6"/>
    <m/>
    <m/>
    <m/>
    <x v="8"/>
    <s v="Septiembre"/>
  </r>
  <r>
    <m/>
    <m/>
    <x v="0"/>
    <x v="0"/>
    <x v="0"/>
    <n v="602761.5"/>
    <s v="DSF-00001439"/>
    <d v="2025-09-26T00:00:00"/>
    <s v="GASTOS BANCARIOS CORRESPONDIENTES AL MES DE AGOSTO 2025"/>
    <x v="255"/>
    <x v="9"/>
    <m/>
    <m/>
    <m/>
    <x v="8"/>
    <s v="Septiembre"/>
  </r>
  <r>
    <m/>
    <m/>
    <x v="0"/>
    <x v="0"/>
    <x v="0"/>
    <n v="-3558750"/>
    <s v="NIC-00038574"/>
    <d v="2025-09-29T00:00:00"/>
    <s v="DEVOLUCION DE DSF - GASTOS BANCARIOS CORRESPONDIENTES AL MES DE AGOSOT 2025 (DSF1430 AL DSF 1439)"/>
    <x v="256"/>
    <x v="5"/>
    <m/>
    <m/>
    <m/>
    <x v="8"/>
    <s v="Septiembre"/>
  </r>
  <r>
    <m/>
    <m/>
    <x v="0"/>
    <x v="0"/>
    <x v="0"/>
    <n v="-1733196"/>
    <s v="NIC-00038574"/>
    <d v="2025-09-29T00:00:00"/>
    <s v="DEVOLUCION DE DSF - GASTOS BANCARIOS CORRESPONDIENTES AL MES DE AGOSOT 2025 (DSF1430 AL DSF 1439)"/>
    <x v="256"/>
    <x v="3"/>
    <m/>
    <m/>
    <m/>
    <x v="8"/>
    <s v="Septiembre"/>
  </r>
  <r>
    <m/>
    <m/>
    <x v="0"/>
    <x v="0"/>
    <x v="0"/>
    <n v="-191771"/>
    <s v="NIC-00038574"/>
    <d v="2025-09-29T00:00:00"/>
    <s v="DEVOLUCION DE DSF - GASTOS BANCARIOS CORRESPONDIENTES AL MES DE AGOSOT 2025 (DSF1430 AL DSF 1439)"/>
    <x v="256"/>
    <x v="7"/>
    <m/>
    <m/>
    <m/>
    <x v="8"/>
    <s v="Septiembre"/>
  </r>
  <r>
    <m/>
    <m/>
    <x v="0"/>
    <x v="0"/>
    <x v="0"/>
    <n v="-85000"/>
    <s v="NIC-00038574"/>
    <d v="2025-09-29T00:00:00"/>
    <s v="DEVOLUCION DE DSF - GASTOS BANCARIOS CORRESPONDIENTES AL MES DE AGOSOT 2025 (DSF1430 AL DSF 1439)"/>
    <x v="256"/>
    <x v="15"/>
    <m/>
    <m/>
    <m/>
    <x v="8"/>
    <s v="Septiembre"/>
  </r>
  <r>
    <m/>
    <m/>
    <x v="0"/>
    <x v="0"/>
    <x v="0"/>
    <n v="-602761.5"/>
    <s v="NIC-00038574"/>
    <d v="2025-09-29T00:00:00"/>
    <s v="DEVOLUCION DE DSF - GASTOS BANCARIOS CORRESPONDIENTES AL MES DE AGOSOT 2025 (DSF1430 AL DSF 1439)"/>
    <x v="256"/>
    <x v="9"/>
    <m/>
    <m/>
    <m/>
    <x v="8"/>
    <s v="Septiembre"/>
  </r>
  <r>
    <m/>
    <m/>
    <x v="0"/>
    <x v="0"/>
    <x v="0"/>
    <n v="-8198900.46"/>
    <s v="NIC-00038574"/>
    <d v="2025-09-29T00:00:00"/>
    <s v="DEVOLUCION DE DSF - GASTOS BANCARIOS CORRESPONDIENTES AL MES DE AGOSOT 2025 (DSF1430 AL DSF 1439)"/>
    <x v="256"/>
    <x v="1"/>
    <m/>
    <m/>
    <m/>
    <x v="8"/>
    <s v="Septiembre"/>
  </r>
  <r>
    <m/>
    <m/>
    <x v="0"/>
    <x v="0"/>
    <x v="0"/>
    <n v="-435836.75"/>
    <s v="NIC-00038574"/>
    <d v="2025-09-29T00:00:00"/>
    <s v="DEVOLUCION DE DSF - GASTOS BANCARIOS CORRESPONDIENTES AL MES DE AGOSOT 2025 (DSF1430 AL DSF 1439)"/>
    <x v="256"/>
    <x v="6"/>
    <m/>
    <m/>
    <m/>
    <x v="8"/>
    <s v="Septiembre"/>
  </r>
  <r>
    <m/>
    <m/>
    <x v="0"/>
    <x v="0"/>
    <x v="0"/>
    <n v="3529"/>
    <s v="NIP-00017721"/>
    <d v="2025-09-29T00:00:00"/>
    <s v="contabilizaicon iva comision 4*1000"/>
    <x v="188"/>
    <x v="1"/>
    <m/>
    <m/>
    <m/>
    <x v="8"/>
    <s v="Septiembre"/>
  </r>
  <r>
    <m/>
    <m/>
    <x v="0"/>
    <x v="0"/>
    <x v="0"/>
    <n v="1423500"/>
    <s v="FAC-00048423"/>
    <d v="2025-09-30T00:00:00"/>
    <s v="FAC1042306 - COMISION FIJA DE ADMINISTRACION -MES DE SEPTIEMBRE 2025"/>
    <x v="257"/>
    <x v="12"/>
    <m/>
    <m/>
    <m/>
    <x v="8"/>
    <s v="Septiembre"/>
  </r>
  <r>
    <m/>
    <m/>
    <x v="0"/>
    <x v="0"/>
    <x v="0"/>
    <n v="99500"/>
    <s v="NIB-00007694"/>
    <d v="2025-09-30T00:00:00"/>
    <s v="GASTO DE COMISION EN LEVANTAMIENTO DE PRENDA HIPOTECA EN EL MES DE MAYO 2025"/>
    <x v="258"/>
    <x v="3"/>
    <m/>
    <m/>
    <m/>
    <x v="8"/>
    <s v="Septiembre"/>
  </r>
  <r>
    <m/>
    <m/>
    <x v="0"/>
    <x v="0"/>
    <x v="0"/>
    <n v="326967.11"/>
    <s v="NIB-00007737"/>
    <d v="2025-09-30T00:00:00"/>
    <s v="GASTOS BANCARIOS BANCOLOMBIA PANAMA MES DE SEPTIEMBRE 2025"/>
    <x v="259"/>
    <x v="6"/>
    <m/>
    <m/>
    <m/>
    <x v="8"/>
    <s v="Septiembre"/>
  </r>
  <r>
    <m/>
    <m/>
    <x v="0"/>
    <x v="0"/>
    <x v="0"/>
    <n v="238180.6"/>
    <s v="NIB-00007741"/>
    <d v="2025-09-30T00:00:00"/>
    <s v="GASTOS BANCARIOS BANCO DAVIVIENDA CTE 379469997678 MES DE SEPTIEMBRE 2025"/>
    <x v="260"/>
    <x v="7"/>
    <m/>
    <m/>
    <m/>
    <x v="8"/>
    <s v="Septiembre"/>
  </r>
  <r>
    <m/>
    <m/>
    <x v="0"/>
    <x v="0"/>
    <x v="0"/>
    <n v="19528"/>
    <s v="NIB-00007742"/>
    <d v="2025-09-30T00:00:00"/>
    <s v="GASRTOS BANCARIOS BANCO BOGOTA CALI CTE 256096355 MES DE SEPTIEMBRE 2025"/>
    <x v="261"/>
    <x v="3"/>
    <m/>
    <m/>
    <m/>
    <x v="8"/>
    <s v="Septiembre"/>
  </r>
  <r>
    <m/>
    <m/>
    <x v="0"/>
    <x v="0"/>
    <x v="0"/>
    <n v="85000"/>
    <s v="NIB-00007744"/>
    <d v="2025-09-30T00:00:00"/>
    <s v="GASTOS BANCARIOS BANCO DE OCCIDENTE CTE 001526318 MES DE SEPTIEMBRE 2025"/>
    <x v="262"/>
    <x v="15"/>
    <m/>
    <m/>
    <m/>
    <x v="8"/>
    <s v="Septiembre"/>
  </r>
  <r>
    <m/>
    <m/>
    <x v="0"/>
    <x v="0"/>
    <x v="0"/>
    <n v="2614908.6800000002"/>
    <s v="NIB-00007746"/>
    <d v="2025-09-30T00:00:00"/>
    <s v="GASTOS BANCARIOS BANCOLOMBIA CTE 80104152201 MES DE SEPTIEMBRE 2025"/>
    <x v="263"/>
    <x v="1"/>
    <m/>
    <m/>
    <m/>
    <x v="8"/>
    <s v="Septiembre"/>
  </r>
  <r>
    <m/>
    <m/>
    <x v="0"/>
    <x v="0"/>
    <x v="0"/>
    <n v="725198.32"/>
    <s v="NIB-00007747"/>
    <d v="2025-09-30T00:00:00"/>
    <s v="GASTOS BANCARIOS BANCOLOMBIA AHORRO 30631513979 MES DE SEPTIEMBRE 2025"/>
    <x v="264"/>
    <x v="1"/>
    <m/>
    <m/>
    <m/>
    <x v="8"/>
    <s v="Septiembre"/>
  </r>
  <r>
    <m/>
    <m/>
    <x v="0"/>
    <x v="0"/>
    <x v="0"/>
    <n v="1248380"/>
    <s v="NIB-00007748"/>
    <d v="2025-09-30T00:00:00"/>
    <s v="GASTOS BANCARIOS BANCO DE BOGOTA TULUA CTE 612036319 MES DE SEPTIEMBRE 2025"/>
    <x v="265"/>
    <x v="3"/>
    <m/>
    <m/>
    <m/>
    <x v="8"/>
    <s v="Septiembre"/>
  </r>
  <r>
    <m/>
    <m/>
    <x v="0"/>
    <x v="0"/>
    <x v="0"/>
    <n v="72800"/>
    <s v="NIB-00007749"/>
    <d v="2025-09-30T00:00:00"/>
    <s v="GASTOS BANCARIOS BANCO BBVA COLOMBIA 0502000100011570 CTE MES DE SEPTIEMBRE 2025"/>
    <x v="266"/>
    <x v="8"/>
    <m/>
    <m/>
    <m/>
    <x v="8"/>
    <s v="Septiembre"/>
  </r>
  <r>
    <m/>
    <m/>
    <x v="0"/>
    <x v="0"/>
    <x v="0"/>
    <n v="-4503836.42"/>
    <s v="NIC-00038768"/>
    <d v="2025-09-30T00:00:00"/>
    <s v="RECLASIFICAION FACTORING NIC-38534 FAN-31859"/>
    <x v="267"/>
    <x v="8"/>
    <m/>
    <m/>
    <m/>
    <x v="8"/>
    <s v="Septiembre"/>
  </r>
  <r>
    <m/>
    <m/>
    <x v="0"/>
    <x v="0"/>
    <x v="0"/>
    <n v="3250000"/>
    <s v="NIP-00017733"/>
    <d v="2025-09-30T00:00:00"/>
    <s v="SOC78543- COMISION POR ADMINIOSTRACION DAVIVIENDA NOVIEMBRE 2024"/>
    <x v="268"/>
    <x v="5"/>
    <m/>
    <m/>
    <m/>
    <x v="8"/>
    <s v="Septiembre"/>
  </r>
  <r>
    <m/>
    <m/>
    <x v="0"/>
    <x v="1"/>
    <x v="1"/>
    <n v="8316266.0999999996"/>
    <s v="NIB-00007553"/>
    <d v="2025-09-04T00:00:00"/>
    <s v="FACTORING BBVA FAN-31867-31816 PAGO - COMISION"/>
    <x v="269"/>
    <x v="8"/>
    <m/>
    <m/>
    <m/>
    <x v="8"/>
    <s v="Septiembre"/>
  </r>
  <r>
    <m/>
    <m/>
    <x v="0"/>
    <x v="1"/>
    <x v="1"/>
    <n v="4503836.42"/>
    <s v="NIB-00007554"/>
    <d v="2025-09-04T00:00:00"/>
    <s v="FACTORING BBVA FAN-31859"/>
    <x v="270"/>
    <x v="8"/>
    <m/>
    <m/>
    <m/>
    <x v="8"/>
    <s v="Septiembre"/>
  </r>
  <r>
    <m/>
    <m/>
    <x v="0"/>
    <x v="1"/>
    <x v="1"/>
    <n v="8898788.9499999993"/>
    <s v="NIB-00007539"/>
    <d v="2025-09-05T00:00:00"/>
    <s v="FACTORING BBVA 31854-31863-31865-31876-31942 COMISION PAGO"/>
    <x v="271"/>
    <x v="8"/>
    <m/>
    <m/>
    <m/>
    <x v="8"/>
    <s v="Septiembre"/>
  </r>
  <r>
    <m/>
    <m/>
    <x v="0"/>
    <x v="1"/>
    <x v="1"/>
    <n v="9377974.2300000004"/>
    <s v="NIB-00007548"/>
    <d v="2025-09-05T00:00:00"/>
    <s v="FACTORING KLYM FAN-31739-31785-31790-31805-31861-31864-31883 PAGO COMISION"/>
    <x v="272"/>
    <x v="10"/>
    <m/>
    <m/>
    <m/>
    <x v="8"/>
    <s v="Septiembre"/>
  </r>
  <r>
    <m/>
    <m/>
    <x v="0"/>
    <x v="1"/>
    <x v="1"/>
    <n v="3822352.84"/>
    <s v="NIB-00007552"/>
    <d v="2025-09-05T00:00:00"/>
    <s v="FACTORING RED CAPITAL - FAN-31779-31787-31799-31808-31944"/>
    <x v="273"/>
    <x v="7"/>
    <m/>
    <m/>
    <m/>
    <x v="8"/>
    <s v="Septiembre"/>
  </r>
  <r>
    <m/>
    <m/>
    <x v="0"/>
    <x v="1"/>
    <x v="1"/>
    <n v="8322514.0499999998"/>
    <s v="NIB-00007620"/>
    <d v="2025-09-12T00:00:00"/>
    <s v="FACTORING BBVA FAN-31984-31811 PAGO-COMISION"/>
    <x v="274"/>
    <x v="8"/>
    <m/>
    <m/>
    <m/>
    <x v="8"/>
    <s v="Septiembre"/>
  </r>
  <r>
    <m/>
    <m/>
    <x v="0"/>
    <x v="1"/>
    <x v="1"/>
    <n v="884743"/>
    <s v="NIB-00007710"/>
    <d v="2025-09-12T00:00:00"/>
    <s v="FACTORING FAN-32014 COMISION PAGO"/>
    <x v="275"/>
    <x v="7"/>
    <m/>
    <m/>
    <m/>
    <x v="8"/>
    <s v="Septiembre"/>
  </r>
  <r>
    <m/>
    <m/>
    <x v="0"/>
    <x v="1"/>
    <x v="1"/>
    <n v="46412961.469999999"/>
    <s v="NIC-00038534"/>
    <d v="2025-09-12T00:00:00"/>
    <m/>
    <x v="246"/>
    <x v="8"/>
    <m/>
    <m/>
    <m/>
    <x v="8"/>
    <s v="Septiembre"/>
  </r>
  <r>
    <m/>
    <m/>
    <x v="0"/>
    <x v="1"/>
    <x v="1"/>
    <n v="5053878"/>
    <s v="NIC-00038534"/>
    <d v="2025-09-12T00:00:00"/>
    <m/>
    <x v="246"/>
    <x v="7"/>
    <m/>
    <m/>
    <m/>
    <x v="8"/>
    <s v="Septiembre"/>
  </r>
  <r>
    <m/>
    <m/>
    <x v="0"/>
    <x v="1"/>
    <x v="1"/>
    <n v="3048560.25"/>
    <s v="NIC-00038534"/>
    <d v="2025-09-12T00:00:00"/>
    <m/>
    <x v="246"/>
    <x v="1"/>
    <m/>
    <m/>
    <m/>
    <x v="8"/>
    <s v="Septiembre"/>
  </r>
  <r>
    <m/>
    <m/>
    <x v="0"/>
    <x v="1"/>
    <x v="1"/>
    <n v="3627582.23"/>
    <s v="NIB-00007714"/>
    <d v="2025-09-15T00:00:00"/>
    <s v="FACTORING FAN-31834-32065 COMISION PAGO"/>
    <x v="276"/>
    <x v="10"/>
    <m/>
    <m/>
    <m/>
    <x v="8"/>
    <s v="Septiembre"/>
  </r>
  <r>
    <m/>
    <m/>
    <x v="0"/>
    <x v="1"/>
    <x v="1"/>
    <n v="7954700.4400000004"/>
    <s v="NIB-00007660"/>
    <d v="2025-09-19T00:00:00"/>
    <s v="FACTORING BBVA FAN-31287-31286 COMISION Y PAGO"/>
    <x v="277"/>
    <x v="8"/>
    <m/>
    <m/>
    <m/>
    <x v="8"/>
    <s v="Septiembre"/>
  </r>
  <r>
    <m/>
    <m/>
    <x v="0"/>
    <x v="1"/>
    <x v="1"/>
    <n v="4657397"/>
    <s v="NIB-00007661"/>
    <d v="2025-09-19T00:00:00"/>
    <s v="FACTORING KLYM FAC-32176-32212 COMISION PAGO"/>
    <x v="251"/>
    <x v="10"/>
    <m/>
    <m/>
    <m/>
    <x v="8"/>
    <s v="Septiembre"/>
  </r>
  <r>
    <m/>
    <m/>
    <x v="0"/>
    <x v="1"/>
    <x v="1"/>
    <n v="4406293"/>
    <s v="NIB-00007662"/>
    <d v="2025-09-19T00:00:00"/>
    <s v="FACTORING RED CAPITAL - FAN-32046-32126-32152-32175-32178 COMISION PAGO"/>
    <x v="278"/>
    <x v="7"/>
    <m/>
    <m/>
    <m/>
    <x v="8"/>
    <s v="Septiembre"/>
  </r>
  <r>
    <m/>
    <m/>
    <x v="0"/>
    <x v="1"/>
    <x v="1"/>
    <n v="11581864.460000001"/>
    <s v="NIB-00007716"/>
    <d v="2025-09-25T00:00:00"/>
    <s v="FACTORING AJOVER FAN-32271 ALPINA FAN-32177-32192-32230-32258 PAGO COMISION"/>
    <x v="279"/>
    <x v="10"/>
    <m/>
    <m/>
    <m/>
    <x v="8"/>
    <s v="Septiembre"/>
  </r>
  <r>
    <m/>
    <m/>
    <x v="0"/>
    <x v="1"/>
    <x v="1"/>
    <n v="1427631"/>
    <s v="NIB-00007705"/>
    <d v="2025-09-30T00:00:00"/>
    <s v="FACTORING FAN-31819 COMISION Y PAGO"/>
    <x v="280"/>
    <x v="1"/>
    <m/>
    <m/>
    <m/>
    <x v="8"/>
    <s v="Septiembre"/>
  </r>
  <r>
    <m/>
    <m/>
    <x v="0"/>
    <x v="1"/>
    <x v="1"/>
    <n v="5864771"/>
    <s v="NIB-00007706"/>
    <d v="2025-09-30T00:00:00"/>
    <s v="FACTORING FAN-32402-32403-32404"/>
    <x v="281"/>
    <x v="1"/>
    <m/>
    <m/>
    <m/>
    <x v="8"/>
    <s v="Septiembre"/>
  </r>
  <r>
    <m/>
    <m/>
    <x v="0"/>
    <x v="1"/>
    <x v="1"/>
    <n v="3589614.87"/>
    <s v="NIB-00007718"/>
    <d v="2025-09-30T00:00:00"/>
    <s v="FACTORING FAN-32000 COMISION PAGO"/>
    <x v="282"/>
    <x v="8"/>
    <m/>
    <m/>
    <m/>
    <x v="8"/>
    <s v="Septiembre"/>
  </r>
  <r>
    <m/>
    <m/>
    <x v="0"/>
    <x v="1"/>
    <x v="1"/>
    <n v="12668288.76"/>
    <s v="NIB-00007719"/>
    <d v="2025-09-30T00:00:00"/>
    <s v="FACTORING FAN- 32280-32282-32260 COMISION - PAGO"/>
    <x v="283"/>
    <x v="8"/>
    <m/>
    <m/>
    <m/>
    <x v="8"/>
    <s v="Septiembre"/>
  </r>
  <r>
    <m/>
    <m/>
    <x v="0"/>
    <x v="1"/>
    <x v="1"/>
    <n v="5083142.5999999996"/>
    <s v="NIB-00007720"/>
    <d v="2025-09-30T00:00:00"/>
    <s v="FACTORING FAN-32248  COMISION PAGO"/>
    <x v="284"/>
    <x v="8"/>
    <m/>
    <m/>
    <m/>
    <x v="8"/>
    <s v="Septiembre"/>
  </r>
  <r>
    <m/>
    <m/>
    <x v="0"/>
    <x v="1"/>
    <x v="1"/>
    <n v="-65666624"/>
    <s v="NIC-00038753"/>
    <d v="2025-09-30T00:00:00"/>
    <s v="RECLASIFICACION COMISIONES FACTORING VENCIMIENTOS OCTUBRE"/>
    <x v="285"/>
    <x v="8"/>
    <m/>
    <m/>
    <m/>
    <x v="8"/>
    <s v="Septiembre"/>
  </r>
  <r>
    <m/>
    <m/>
    <x v="0"/>
    <x v="1"/>
    <x v="1"/>
    <n v="-5291036"/>
    <s v="NIC-00038753"/>
    <d v="2025-09-30T00:00:00"/>
    <s v="RECLASIFICACION COMISIONES FACTORING VENCIMIENTOS OCTUBRE"/>
    <x v="285"/>
    <x v="7"/>
    <m/>
    <m/>
    <m/>
    <x v="8"/>
    <s v="Septiembre"/>
  </r>
  <r>
    <m/>
    <m/>
    <x v="0"/>
    <x v="1"/>
    <x v="1"/>
    <n v="-5864771"/>
    <s v="NIC-00038753"/>
    <d v="2025-09-30T00:00:00"/>
    <s v="RECLASIFICACION COMISIONES FACTORING VENCIMIENTOS OCTUBRE"/>
    <x v="285"/>
    <x v="1"/>
    <m/>
    <m/>
    <m/>
    <x v="8"/>
    <s v="Septiembre"/>
  </r>
  <r>
    <m/>
    <m/>
    <x v="0"/>
    <x v="1"/>
    <x v="1"/>
    <n v="-11783160.6"/>
    <s v="NIC-00038753"/>
    <d v="2025-09-30T00:00:00"/>
    <s v="RECLASIFICACION COMISIONES FACTORING VENCIMIENTOS OCTUBRE"/>
    <x v="285"/>
    <x v="10"/>
    <m/>
    <m/>
    <m/>
    <x v="8"/>
    <s v="Septiembre"/>
  </r>
  <r>
    <m/>
    <m/>
    <x v="0"/>
    <x v="1"/>
    <x v="1"/>
    <n v="4503836.42"/>
    <s v="NIC-00038768"/>
    <d v="2025-09-30T00:00:00"/>
    <s v="RECLASIFICAION FACTORING NIC-38534 FAN-31859"/>
    <x v="267"/>
    <x v="8"/>
    <m/>
    <m/>
    <m/>
    <x v="8"/>
    <s v="Septiembre"/>
  </r>
  <r>
    <m/>
    <m/>
    <x v="1"/>
    <x v="2"/>
    <x v="3"/>
    <m/>
    <m/>
    <m/>
    <m/>
    <x v="246"/>
    <x v="18"/>
    <m/>
    <m/>
    <m/>
    <x v="9"/>
    <m/>
  </r>
  <r>
    <m/>
    <m/>
    <x v="0"/>
    <x v="1"/>
    <x v="1"/>
    <n v="5291035"/>
    <s v="NIC-00038907"/>
    <d v="2025-10-16T00:00:00"/>
    <s v="COMISION FACTORING FAN-32178-32014-32046-32126-32152-32175"/>
    <x v="286"/>
    <x v="7"/>
    <m/>
    <m/>
    <m/>
    <x v="10"/>
    <s v="Octubre"/>
  </r>
  <r>
    <m/>
    <m/>
    <x v="0"/>
    <x v="1"/>
    <x v="1"/>
    <n v="3163943.31"/>
    <s v="NIB-00007909"/>
    <d v="2025-10-17T00:00:00"/>
    <s v="FACTORING FAN- 32527 COMISION Y PAGOS"/>
    <x v="287"/>
    <x v="8"/>
    <m/>
    <m/>
    <m/>
    <x v="10"/>
    <s v="Octubre"/>
  </r>
  <r>
    <m/>
    <m/>
    <x v="0"/>
    <x v="1"/>
    <x v="1"/>
    <n v="10865558.289999999"/>
    <s v="NIB-00007911"/>
    <d v="2025-10-17T00:00:00"/>
    <s v="FACTORGING FAN-32001-32373-32372 COMISION FACTORING"/>
    <x v="288"/>
    <x v="8"/>
    <m/>
    <m/>
    <m/>
    <x v="10"/>
    <s v="Octubre"/>
  </r>
  <r>
    <m/>
    <m/>
    <x v="0"/>
    <x v="1"/>
    <x v="1"/>
    <n v="3597316.73"/>
    <s v="NIB-00007966"/>
    <d v="2025-10-17T00:00:00"/>
    <s v="FACTORING FAN-32245 COMISION PAGO"/>
    <x v="289"/>
    <x v="10"/>
    <m/>
    <m/>
    <m/>
    <x v="10"/>
    <s v="Octubre"/>
  </r>
  <r>
    <m/>
    <m/>
    <x v="0"/>
    <x v="1"/>
    <x v="1"/>
    <n v="5730641.7000000002"/>
    <s v="NIB-00007910"/>
    <d v="2025-10-22T00:00:00"/>
    <s v="FACTORING FAN-32565-32589-32596-32603-32671-32673 COMISION Y PAGO"/>
    <x v="290"/>
    <x v="8"/>
    <m/>
    <m/>
    <m/>
    <x v="10"/>
    <s v="Octubre"/>
  </r>
  <r>
    <m/>
    <m/>
    <x v="0"/>
    <x v="1"/>
    <x v="1"/>
    <n v="7719622"/>
    <s v="NIB-00007913"/>
    <d v="2025-10-22T00:00:00"/>
    <s v="FACTORING FAN-32383-32425-32506-32524-32467-32502-32551-32583-32574-32580"/>
    <x v="291"/>
    <x v="7"/>
    <m/>
    <m/>
    <m/>
    <x v="10"/>
    <s v="Octubre"/>
  </r>
  <r>
    <m/>
    <m/>
    <x v="0"/>
    <x v="1"/>
    <x v="1"/>
    <n v="5864771"/>
    <s v="NIC-00038908"/>
    <d v="2025-10-23T00:00:00"/>
    <s v="COMISION FACTORING BANCOLOMBIA FAN-32402-32403-32404"/>
    <x v="292"/>
    <x v="1"/>
    <m/>
    <m/>
    <m/>
    <x v="10"/>
    <s v="Octubre"/>
  </r>
  <r>
    <m/>
    <m/>
    <x v="0"/>
    <x v="1"/>
    <x v="1"/>
    <n v="2471196"/>
    <s v="NIB-00007949"/>
    <d v="2025-10-24T00:00:00"/>
    <s v="FACTONRING FAN-32615-32621-32645"/>
    <x v="293"/>
    <x v="7"/>
    <m/>
    <m/>
    <m/>
    <x v="10"/>
    <s v="Octubre"/>
  </r>
  <r>
    <m/>
    <m/>
    <x v="0"/>
    <x v="1"/>
    <x v="1"/>
    <n v="4233756.42"/>
    <s v="NIB-00007953"/>
    <d v="2025-10-24T00:00:00"/>
    <s v="FACTORING FAN-32518-32538-32561-32576 PAGO COMISION"/>
    <x v="294"/>
    <x v="8"/>
    <m/>
    <m/>
    <m/>
    <x v="10"/>
    <s v="Octubre"/>
  </r>
  <r>
    <m/>
    <m/>
    <x v="0"/>
    <x v="1"/>
    <x v="1"/>
    <n v="6300330.5700000003"/>
    <s v="NIB-00007955"/>
    <d v="2025-10-31T00:00:00"/>
    <s v="FACTORING FAN-32793 - 32701 PAGO"/>
    <x v="295"/>
    <x v="8"/>
    <m/>
    <m/>
    <m/>
    <x v="10"/>
    <s v="Octubre"/>
  </r>
  <r>
    <m/>
    <m/>
    <x v="0"/>
    <x v="1"/>
    <x v="1"/>
    <n v="3770564.91"/>
    <s v="NIB-00007956"/>
    <d v="2025-10-31T00:00:00"/>
    <s v="FACTORING BBVA FAN-32843 PAGO"/>
    <x v="296"/>
    <x v="8"/>
    <m/>
    <m/>
    <m/>
    <x v="10"/>
    <s v="Octubre"/>
  </r>
  <r>
    <m/>
    <m/>
    <x v="0"/>
    <x v="1"/>
    <x v="1"/>
    <n v="45167249.009999998"/>
    <s v="NIB-00007985"/>
    <d v="2025-10-31T00:00:00"/>
    <s v="REGISTRO COMISIONES FACTORING VENCIMIENTOS OCTUBRE"/>
    <x v="297"/>
    <x v="8"/>
    <m/>
    <m/>
    <m/>
    <x v="10"/>
    <s v="Octubre"/>
  </r>
  <r>
    <m/>
    <m/>
    <x v="0"/>
    <x v="1"/>
    <x v="1"/>
    <n v="7325764"/>
    <s v="NIB-00007985"/>
    <d v="2025-10-31T00:00:00"/>
    <s v="REGISTRO COMISIONES FACTORING VENCIMIENTOS OCTUBRE"/>
    <x v="297"/>
    <x v="10"/>
    <m/>
    <m/>
    <m/>
    <x v="10"/>
    <s v="Octubre"/>
  </r>
  <r>
    <m/>
    <m/>
    <x v="0"/>
    <x v="1"/>
    <x v="1"/>
    <n v="787874"/>
    <s v="NIC-00039075"/>
    <d v="2025-10-31T00:00:00"/>
    <s v="CRUCE PAGO EXCEDENTES - COMISION FAN-32065-31834"/>
    <x v="298"/>
    <x v="10"/>
    <m/>
    <m/>
    <m/>
    <x v="10"/>
    <s v="Octubre"/>
  </r>
  <r>
    <m/>
    <m/>
    <x v="0"/>
    <x v="1"/>
    <x v="1"/>
    <n v="-4406293"/>
    <s v="NIC-00039081"/>
    <d v="2025-10-31T00:00:00"/>
    <s v="RECLASIFICACION COMISION FACTORING"/>
    <x v="299"/>
    <x v="19"/>
    <m/>
    <m/>
    <m/>
    <x v="10"/>
    <s v="Octubre"/>
  </r>
  <r>
    <m/>
    <m/>
    <x v="0"/>
    <x v="1"/>
    <x v="1"/>
    <n v="4406293"/>
    <s v="NIC-00039081"/>
    <d v="2025-10-31T00:00:00"/>
    <s v="RECLASIFICACION COMISION FACTORING"/>
    <x v="299"/>
    <x v="7"/>
    <m/>
    <m/>
    <m/>
    <x v="10"/>
    <s v="Octubre"/>
  </r>
  <r>
    <m/>
    <m/>
    <x v="0"/>
    <x v="1"/>
    <x v="1"/>
    <n v="5101710"/>
    <s v="NIP-00017856"/>
    <d v="2025-10-31T00:00:00"/>
    <s v="REINTEGRO PAGO FACTORING KLYM FAN-32271-3221-32176 RCA-34333-34260"/>
    <x v="300"/>
    <x v="10"/>
    <m/>
    <m/>
    <m/>
    <x v="10"/>
    <s v="Octubre"/>
  </r>
  <r>
    <m/>
    <m/>
    <x v="0"/>
    <x v="0"/>
    <x v="0"/>
    <n v="3529"/>
    <s v="NIP-00017743"/>
    <d v="2025-10-03T00:00:00"/>
    <s v="CONTABILIZACION IVA COMISON 4*1000 RECARGA TARJETA PREPAGO"/>
    <x v="301"/>
    <x v="1"/>
    <m/>
    <m/>
    <m/>
    <x v="10"/>
    <s v="Octubre"/>
  </r>
  <r>
    <m/>
    <m/>
    <x v="0"/>
    <x v="0"/>
    <x v="0"/>
    <n v="12483"/>
    <s v="NIB-00007817"/>
    <d v="2025-10-06T00:00:00"/>
    <s v="PAGO DE EMBARGOS JUDICIALES ICSA - ARCHIVO: GD2025100689190019621_12. - SECUENCIAL: 1557948 - CODIGO 30030"/>
    <x v="302"/>
    <x v="0"/>
    <m/>
    <m/>
    <m/>
    <x v="10"/>
    <s v="Octubre"/>
  </r>
  <r>
    <m/>
    <m/>
    <x v="0"/>
    <x v="0"/>
    <x v="2"/>
    <n v="16078"/>
    <s v="NIP-00017749"/>
    <d v="2025-10-06T00:00:00"/>
    <s v="CLFV 23608 - SERV MODIFICACION BMC 860071250"/>
    <x v="303"/>
    <x v="11"/>
    <m/>
    <m/>
    <m/>
    <x v="10"/>
    <s v="Octubre"/>
  </r>
  <r>
    <m/>
    <m/>
    <x v="0"/>
    <x v="0"/>
    <x v="2"/>
    <n v="23205"/>
    <s v="NIP-00017750"/>
    <d v="2025-10-06T00:00:00"/>
    <s v="CLFV 23609 - SERV MODIFICACION BMC 860071250"/>
    <x v="304"/>
    <x v="11"/>
    <m/>
    <m/>
    <m/>
    <x v="10"/>
    <s v="Octubre"/>
  </r>
  <r>
    <m/>
    <m/>
    <x v="0"/>
    <x v="0"/>
    <x v="2"/>
    <n v="3596059"/>
    <s v="NIP-00017751"/>
    <d v="2025-10-06T00:00:00"/>
    <s v="CLFV 23647 - COMISION CORREAGRO - SERV DE REGISTRO BMC 860071250"/>
    <x v="305"/>
    <x v="11"/>
    <m/>
    <m/>
    <m/>
    <x v="10"/>
    <s v="Octubre"/>
  </r>
  <r>
    <m/>
    <m/>
    <x v="0"/>
    <x v="0"/>
    <x v="2"/>
    <n v="20335092"/>
    <s v="NIP-00017752"/>
    <d v="2025-10-06T00:00:00"/>
    <s v="CLFV 23648 - COMISION CORREAGRO - SERV DE REGISTRO BMC 860071250"/>
    <x v="306"/>
    <x v="11"/>
    <m/>
    <m/>
    <m/>
    <x v="10"/>
    <s v="Octubre"/>
  </r>
  <r>
    <m/>
    <m/>
    <x v="0"/>
    <x v="0"/>
    <x v="0"/>
    <n v="3529"/>
    <s v="NIP-00017754"/>
    <d v="2025-10-06T00:00:00"/>
    <s v="CONTABILIZACION IVA COMISION 4*1000"/>
    <x v="43"/>
    <x v="1"/>
    <m/>
    <m/>
    <m/>
    <x v="10"/>
    <s v="Octubre"/>
  </r>
  <r>
    <m/>
    <m/>
    <x v="0"/>
    <x v="0"/>
    <x v="0"/>
    <n v="116026.2"/>
    <s v="NIB-00007831"/>
    <d v="2025-10-08T00:00:00"/>
    <s v="PAGO DE GTOS BANCARIOS Y CUENTAS DE COBRO COMISION"/>
    <x v="307"/>
    <x v="6"/>
    <m/>
    <m/>
    <m/>
    <x v="10"/>
    <s v="Octubre"/>
  </r>
  <r>
    <m/>
    <m/>
    <x v="0"/>
    <x v="0"/>
    <x v="0"/>
    <n v="3529"/>
    <s v="NIP-00017775"/>
    <d v="2025-10-15T00:00:00"/>
    <s v="CONTABILIZACION IVA COMISON 4*1000 RECARGA TARJETA"/>
    <x v="308"/>
    <x v="1"/>
    <m/>
    <m/>
    <m/>
    <x v="10"/>
    <s v="Octubre"/>
  </r>
  <r>
    <m/>
    <m/>
    <x v="0"/>
    <x v="0"/>
    <x v="0"/>
    <n v="3529"/>
    <s v="NIP-00017825"/>
    <d v="2025-10-27T00:00:00"/>
    <s v="contabilizacioni va comison 4*1000 recarga 20"/>
    <x v="309"/>
    <x v="1"/>
    <m/>
    <m/>
    <m/>
    <x v="10"/>
    <s v="Octubre"/>
  </r>
  <r>
    <m/>
    <m/>
    <x v="0"/>
    <x v="0"/>
    <x v="0"/>
    <n v="3558750"/>
    <s v="FAC-00049158"/>
    <d v="2025-10-28T00:00:00"/>
    <s v="SOC92368 - COMISION POR ADMINISTRACION: OCTUBRE 2025"/>
    <x v="310"/>
    <x v="5"/>
    <m/>
    <m/>
    <m/>
    <x v="10"/>
    <s v="Octubre"/>
  </r>
  <r>
    <m/>
    <m/>
    <x v="0"/>
    <x v="0"/>
    <x v="0"/>
    <n v="1475690"/>
    <s v="DSF-00001462"/>
    <d v="2025-10-29T00:00:00"/>
    <s v="GASTOS BANCARIOS CORRESPONDIENTES AL MES DE SEPTIEMBRE 2025"/>
    <x v="311"/>
    <x v="3"/>
    <m/>
    <m/>
    <m/>
    <x v="10"/>
    <s v="Octubre"/>
  </r>
  <r>
    <m/>
    <m/>
    <x v="0"/>
    <x v="0"/>
    <x v="0"/>
    <n v="85000"/>
    <s v="DSF-00001463"/>
    <d v="2025-10-29T00:00:00"/>
    <s v="GASTOS BANCARIOS CORRESPONDIENTES AL MES DE SEPTIEMBRE 2025"/>
    <x v="311"/>
    <x v="15"/>
    <m/>
    <m/>
    <m/>
    <x v="10"/>
    <s v="Octubre"/>
  </r>
  <r>
    <m/>
    <m/>
    <x v="0"/>
    <x v="0"/>
    <x v="0"/>
    <n v="3451868"/>
    <s v="DSF-00001464"/>
    <d v="2025-10-29T00:00:00"/>
    <s v="GASTOS BANCARIOS CORRESPONDIENTES AL MES DE SEPTIEMBRE 2025"/>
    <x v="311"/>
    <x v="1"/>
    <m/>
    <m/>
    <m/>
    <x v="10"/>
    <s v="Octubre"/>
  </r>
  <r>
    <m/>
    <m/>
    <x v="0"/>
    <x v="0"/>
    <x v="0"/>
    <n v="238180.6"/>
    <s v="DSF-00001465"/>
    <d v="2025-10-29T00:00:00"/>
    <s v="GASTOS BANCARIOS CORRESPONDIENTES AL MES DE SEPTIEMBRE 2025"/>
    <x v="311"/>
    <x v="7"/>
    <m/>
    <m/>
    <m/>
    <x v="10"/>
    <s v="Octubre"/>
  </r>
  <r>
    <m/>
    <m/>
    <x v="0"/>
    <x v="0"/>
    <x v="0"/>
    <n v="26280"/>
    <s v="DSF-00001467"/>
    <d v="2025-10-29T00:00:00"/>
    <s v="GASTOS BANCARIOS CORRESPONDIENTES AL MES DE SEPTIEMBRE 2025"/>
    <x v="311"/>
    <x v="0"/>
    <m/>
    <m/>
    <m/>
    <x v="10"/>
    <s v="Octubre"/>
  </r>
  <r>
    <m/>
    <m/>
    <x v="0"/>
    <x v="0"/>
    <x v="0"/>
    <n v="1423500"/>
    <s v="DSF-00001469"/>
    <d v="2025-10-29T00:00:00"/>
    <s v="GASTOS BANCARIOS CORRESPONDIENTE AL MES DE SEPTIEMBRE 2025"/>
    <x v="312"/>
    <x v="12"/>
    <m/>
    <m/>
    <m/>
    <x v="10"/>
    <s v="Octubre"/>
  </r>
  <r>
    <m/>
    <m/>
    <x v="0"/>
    <x v="0"/>
    <x v="0"/>
    <n v="6808750.4199999999"/>
    <s v="DSF-00001471"/>
    <d v="2025-10-29T00:00:00"/>
    <s v="GASTOS BANCARIOS CORRESPONDIENTES AL MES DE SEPTIEMBRE 2025"/>
    <x v="311"/>
    <x v="5"/>
    <m/>
    <m/>
    <m/>
    <x v="10"/>
    <s v="Octubre"/>
  </r>
  <r>
    <m/>
    <m/>
    <x v="0"/>
    <x v="0"/>
    <x v="0"/>
    <n v="326967.11"/>
    <s v="DSF-00001472"/>
    <d v="2025-10-29T00:00:00"/>
    <s v="GASTOS BANCARIOS CORRESPONDIENTE AL MES DE SEPTIEMBRE 2025"/>
    <x v="312"/>
    <x v="6"/>
    <m/>
    <m/>
    <m/>
    <x v="10"/>
    <s v="Octubre"/>
  </r>
  <r>
    <m/>
    <m/>
    <x v="0"/>
    <x v="0"/>
    <x v="0"/>
    <n v="-26280"/>
    <s v="NIC-00038891"/>
    <d v="2025-10-29T00:00:00"/>
    <s v="DEVOLUCION DE DSF - GASTOS BANCARIOS CORRESPONDIENTES AL MES DE SEPTIEMBRE 2025 (DSF1462 AL DSF 1472)"/>
    <x v="313"/>
    <x v="0"/>
    <m/>
    <m/>
    <m/>
    <x v="10"/>
    <s v="Octubre"/>
  </r>
  <r>
    <m/>
    <m/>
    <x v="0"/>
    <x v="0"/>
    <x v="0"/>
    <n v="-6808750.4199999999"/>
    <s v="NIC-00038891"/>
    <d v="2025-10-29T00:00:00"/>
    <s v="DEVOLUCION DE DSF - GASTOS BANCARIOS CORRESPONDIENTES AL MES DE SEPTIEMBRE 2025 (DSF1462 AL DSF 1472)"/>
    <x v="313"/>
    <x v="5"/>
    <m/>
    <m/>
    <m/>
    <x v="10"/>
    <s v="Octubre"/>
  </r>
  <r>
    <m/>
    <m/>
    <x v="0"/>
    <x v="0"/>
    <x v="0"/>
    <n v="-1475690"/>
    <s v="NIC-00038891"/>
    <d v="2025-10-29T00:00:00"/>
    <s v="DEVOLUCION DE DSF - GASTOS BANCARIOS CORRESPONDIENTES AL MES DE SEPTIEMBRE 2025 (DSF1462 AL DSF 1472)"/>
    <x v="313"/>
    <x v="3"/>
    <m/>
    <m/>
    <m/>
    <x v="10"/>
    <s v="Octubre"/>
  </r>
  <r>
    <m/>
    <m/>
    <x v="0"/>
    <x v="0"/>
    <x v="0"/>
    <n v="-238180.6"/>
    <s v="NIC-00038891"/>
    <d v="2025-10-29T00:00:00"/>
    <s v="DEVOLUCION DE DSF - GASTOS BANCARIOS CORRESPONDIENTES AL MES DE SEPTIEMBRE 2025 (DSF1462 AL DSF 1472)"/>
    <x v="313"/>
    <x v="7"/>
    <m/>
    <m/>
    <m/>
    <x v="10"/>
    <s v="Octubre"/>
  </r>
  <r>
    <m/>
    <m/>
    <x v="0"/>
    <x v="0"/>
    <x v="0"/>
    <n v="-1423500"/>
    <s v="NIC-00038891"/>
    <d v="2025-10-29T00:00:00"/>
    <s v="DEVOLUCION DE DSF - GASTOS BANCARIOS CORRESPONDIENTES AL MES DE SEPTIEMBRE 2025 (DSF1462 AL DSF 1472)"/>
    <x v="313"/>
    <x v="12"/>
    <m/>
    <m/>
    <m/>
    <x v="10"/>
    <s v="Octubre"/>
  </r>
  <r>
    <m/>
    <m/>
    <x v="0"/>
    <x v="0"/>
    <x v="0"/>
    <n v="-85000"/>
    <s v="NIC-00038891"/>
    <d v="2025-10-29T00:00:00"/>
    <s v="DEVOLUCION DE DSF - GASTOS BANCARIOS CORRESPONDIENTES AL MES DE SEPTIEMBRE 2025 (DSF1462 AL DSF 1472)"/>
    <x v="313"/>
    <x v="15"/>
    <m/>
    <m/>
    <m/>
    <x v="10"/>
    <s v="Octubre"/>
  </r>
  <r>
    <m/>
    <m/>
    <x v="0"/>
    <x v="0"/>
    <x v="0"/>
    <n v="-3451868"/>
    <s v="NIC-00038891"/>
    <d v="2025-10-29T00:00:00"/>
    <s v="DEVOLUCION DE DSF - GASTOS BANCARIOS CORRESPONDIENTES AL MES DE SEPTIEMBRE 2025 (DSF1462 AL DSF 1472)"/>
    <x v="313"/>
    <x v="1"/>
    <m/>
    <m/>
    <m/>
    <x v="10"/>
    <s v="Octubre"/>
  </r>
  <r>
    <m/>
    <m/>
    <x v="0"/>
    <x v="0"/>
    <x v="0"/>
    <n v="-326967.11"/>
    <s v="NIC-00038891"/>
    <d v="2025-10-29T00:00:00"/>
    <s v="DEVOLUCION DE DSF - GASTOS BANCARIOS CORRESPONDIENTES AL MES DE SEPTIEMBRE 2025 (DSF1462 AL DSF 1472)"/>
    <x v="313"/>
    <x v="6"/>
    <m/>
    <m/>
    <m/>
    <x v="10"/>
    <s v="Octubre"/>
  </r>
  <r>
    <m/>
    <m/>
    <x v="0"/>
    <x v="0"/>
    <x v="0"/>
    <n v="3529"/>
    <s v="NIP-00017831"/>
    <d v="2025-10-29T00:00:00"/>
    <s v="CONTABILIZACION IVA COMISION 4*1000"/>
    <x v="43"/>
    <x v="1"/>
    <m/>
    <m/>
    <m/>
    <x v="10"/>
    <s v="Octubre"/>
  </r>
  <r>
    <m/>
    <m/>
    <x v="0"/>
    <x v="0"/>
    <x v="0"/>
    <n v="153000"/>
    <s v="NIP-00017832"/>
    <d v="2025-10-29T00:00:00"/>
    <s v="LEGALIZACIÓN TC BANOCCIDENTE MRESTREPO No. 512835-0-028970-288 COP CORTE 30 SEPTIEMBRE 2025 CUOTA MANEJO"/>
    <x v="314"/>
    <x v="15"/>
    <m/>
    <m/>
    <m/>
    <x v="10"/>
    <s v="Octubre"/>
  </r>
  <r>
    <m/>
    <m/>
    <x v="0"/>
    <x v="0"/>
    <x v="0"/>
    <n v="6750"/>
    <s v="NIP-00017832"/>
    <d v="2025-10-29T00:00:00"/>
    <s v="LEGALIZACIÓN TC BANOCCIDENTE MRESTREPO No. 512835-0-028970-288 COP CORTE 30 SEPTIEMBRE 2025 SEGURO VIDA"/>
    <x v="314"/>
    <x v="15"/>
    <m/>
    <m/>
    <m/>
    <x v="10"/>
    <s v="Octubre"/>
  </r>
  <r>
    <m/>
    <m/>
    <x v="0"/>
    <x v="0"/>
    <x v="0"/>
    <n v="54600"/>
    <s v="NIB-00007964"/>
    <d v="2025-10-31T00:00:00"/>
    <s v="GASTOS BANCARIOS BANCO BBVA COLOMBIA 0502000100011570 CTE OCTUBRE 2025"/>
    <x v="315"/>
    <x v="8"/>
    <m/>
    <m/>
    <m/>
    <x v="10"/>
    <s v="Octubre"/>
  </r>
  <r>
    <m/>
    <m/>
    <x v="0"/>
    <x v="0"/>
    <x v="0"/>
    <n v="85000"/>
    <s v="NIB-00007968"/>
    <d v="2025-10-31T00:00:00"/>
    <s v="GASTOS BANCARIOS BANCO DE OCCIDENTE CTE 001526318 OCTUBRE 2025"/>
    <x v="316"/>
    <x v="15"/>
    <m/>
    <m/>
    <m/>
    <x v="10"/>
    <s v="Octubre"/>
  </r>
  <r>
    <m/>
    <m/>
    <x v="0"/>
    <x v="0"/>
    <x v="0"/>
    <n v="286217.56"/>
    <s v="NIB-00007975"/>
    <d v="2025-10-31T00:00:00"/>
    <s v="GASTOS BANCARIOS BANCOLOMBIA PANAMA OCTUBRE 2025"/>
    <x v="317"/>
    <x v="6"/>
    <m/>
    <m/>
    <m/>
    <x v="10"/>
    <s v="Octubre"/>
  </r>
  <r>
    <m/>
    <m/>
    <x v="0"/>
    <x v="0"/>
    <x v="0"/>
    <n v="1717669"/>
    <s v="NIB-00007977"/>
    <d v="2025-10-31T00:00:00"/>
    <s v="GASTOS BANCARIOS BANCO DE BOGOTA TULUA CTE 612036319 OCTUBRE 2025"/>
    <x v="318"/>
    <x v="3"/>
    <m/>
    <m/>
    <m/>
    <x v="10"/>
    <s v="Octubre"/>
  </r>
  <r>
    <m/>
    <m/>
    <x v="0"/>
    <x v="0"/>
    <x v="0"/>
    <n v="70440"/>
    <s v="NIB-00007978"/>
    <d v="2025-10-31T00:00:00"/>
    <s v="GASTOS BANCARIOS BANCO BOGOTA CALI CTE 256096355 OCTUBRE 2025"/>
    <x v="319"/>
    <x v="3"/>
    <m/>
    <m/>
    <m/>
    <x v="10"/>
    <s v="Octubre"/>
  </r>
  <r>
    <m/>
    <m/>
    <x v="0"/>
    <x v="0"/>
    <x v="0"/>
    <n v="-596.66999999999996"/>
    <s v="NIB-00007981"/>
    <d v="2025-10-31T00:00:00"/>
    <s v="GASTOS BANCARIOS BANCOLOMBIA SOBREGIRO 76282316703 MES DE OCTUBRE 2025"/>
    <x v="320"/>
    <x v="1"/>
    <m/>
    <m/>
    <m/>
    <x v="10"/>
    <s v="Octubre"/>
  </r>
  <r>
    <m/>
    <m/>
    <x v="0"/>
    <x v="0"/>
    <x v="0"/>
    <n v="2651268.63"/>
    <s v="NIB-00007982"/>
    <d v="2025-10-31T00:00:00"/>
    <s v="GASTOS BANCARIOS BANCOLOMBIA CTE 80104152201 MES OCTUBRE 2025"/>
    <x v="321"/>
    <x v="1"/>
    <m/>
    <m/>
    <m/>
    <x v="10"/>
    <s v="Octubre"/>
  </r>
  <r>
    <m/>
    <m/>
    <x v="0"/>
    <x v="0"/>
    <x v="0"/>
    <n v="1247896.92"/>
    <s v="NIB-00007983"/>
    <d v="2025-10-31T00:00:00"/>
    <s v="GASTOS BANCARIOS BANCOLOMBIA AHORRO 30631513979 MES DE OCTUBRE 2025"/>
    <x v="322"/>
    <x v="1"/>
    <m/>
    <m/>
    <m/>
    <x v="10"/>
    <s v="Octubre"/>
  </r>
  <r>
    <m/>
    <m/>
    <x v="0"/>
    <x v="0"/>
    <x v="0"/>
    <n v="308456.40000000002"/>
    <s v="NIB-00007997"/>
    <d v="2025-10-31T00:00:00"/>
    <s v="GASTOS BANCARIOS BANCO DAVIVIENDA CTE 379469997678 MES DE OCTUBRE 2025"/>
    <x v="323"/>
    <x v="7"/>
    <m/>
    <m/>
    <m/>
    <x v="10"/>
    <s v="Octubre"/>
  </r>
  <r>
    <m/>
    <m/>
    <x v="0"/>
    <x v="0"/>
    <x v="2"/>
    <n v="22367328"/>
    <s v="NIP-00017849"/>
    <d v="2025-10-31T00:00:00"/>
    <s v="CLFV24064 - COMISION CORREAGRO - SERV DE REGRISTRO BMC 890071250"/>
    <x v="324"/>
    <x v="11"/>
    <m/>
    <m/>
    <m/>
    <x v="10"/>
    <s v="Octubre"/>
  </r>
  <r>
    <m/>
    <m/>
    <x v="0"/>
    <x v="0"/>
    <x v="2"/>
    <n v="3102260"/>
    <s v="NIP-00017850"/>
    <d v="2025-10-31T00:00:00"/>
    <s v="CLFV24063 - COMISION CORREAGRO N- SERV REGRISTRO BMC 860071250"/>
    <x v="325"/>
    <x v="11"/>
    <m/>
    <m/>
    <m/>
    <x v="10"/>
    <s v="Octubre"/>
  </r>
  <r>
    <m/>
    <m/>
    <x v="0"/>
    <x v="0"/>
    <x v="2"/>
    <n v="30319"/>
    <s v="NIP-00017851"/>
    <d v="2025-10-31T00:00:00"/>
    <s v="CLFV24017 : SERV MODIFICACION BMC860071250"/>
    <x v="326"/>
    <x v="11"/>
    <m/>
    <m/>
    <m/>
    <x v="10"/>
    <s v="Octubre"/>
  </r>
  <r>
    <m/>
    <m/>
    <x v="0"/>
    <x v="0"/>
    <x v="2"/>
    <n v="6209"/>
    <s v="NIP-00017852"/>
    <d v="2025-10-31T00:00:00"/>
    <s v="CLFV23877 - SERV MODIFICACION BMC 860071250"/>
    <x v="327"/>
    <x v="11"/>
    <m/>
    <m/>
    <m/>
    <x v="10"/>
    <s v="Octubre"/>
  </r>
  <r>
    <m/>
    <m/>
    <x v="0"/>
    <x v="0"/>
    <x v="2"/>
    <n v="29709"/>
    <s v="NIP-00017853"/>
    <d v="2025-10-31T00:00:00"/>
    <s v="CLFV23939 - SERV MODIFICACION 860071250"/>
    <x v="328"/>
    <x v="11"/>
    <m/>
    <m/>
    <m/>
    <x v="10"/>
    <s v="Octubre"/>
  </r>
  <r>
    <m/>
    <m/>
    <x v="0"/>
    <x v="0"/>
    <x v="2"/>
    <n v="6823"/>
    <s v="NIP-00017854"/>
    <d v="2025-10-31T00:00:00"/>
    <s v="CLFV23750 - SERV MODIFICACION BMN 860071250"/>
    <x v="329"/>
    <x v="11"/>
    <m/>
    <m/>
    <m/>
    <x v="10"/>
    <s v="Octubre"/>
  </r>
  <r>
    <m/>
    <m/>
    <x v="1"/>
    <x v="2"/>
    <x v="3"/>
    <m/>
    <m/>
    <m/>
    <m/>
    <x v="246"/>
    <x v="18"/>
    <m/>
    <m/>
    <m/>
    <x v="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4D583E-E775-4335-A4C1-F9E6148876E8}" name="TablaDinámica1" cacheId="5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multipleFieldFilters="0">
  <location ref="A3:D39" firstHeaderRow="1" firstDataRow="2" firstDataCol="1"/>
  <pivotFields count="15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2">
        <item x="16"/>
        <item x="52"/>
        <item x="64"/>
        <item x="65"/>
        <item x="69"/>
        <item x="68"/>
        <item x="32"/>
        <item x="58"/>
        <item x="63"/>
        <item x="67"/>
        <item x="66"/>
        <item x="47"/>
        <item x="49"/>
        <item x="48"/>
        <item x="62"/>
        <item x="51"/>
        <item x="60"/>
        <item x="46"/>
        <item x="6"/>
        <item x="9"/>
        <item x="10"/>
        <item x="11"/>
        <item x="13"/>
        <item x="36"/>
        <item x="43"/>
        <item x="28"/>
        <item x="25"/>
        <item x="35"/>
        <item x="42"/>
        <item x="26"/>
        <item x="27"/>
        <item x="0"/>
        <item x="2"/>
        <item x="1"/>
        <item x="40"/>
        <item x="44"/>
        <item x="19"/>
        <item x="22"/>
        <item x="39"/>
        <item x="18"/>
        <item x="3"/>
        <item x="4"/>
        <item x="5"/>
        <item x="21"/>
        <item x="38"/>
        <item x="45"/>
        <item x="17"/>
        <item x="33"/>
        <item x="31"/>
        <item x="30"/>
        <item x="20"/>
        <item x="29"/>
        <item x="23"/>
        <item x="14"/>
        <item x="24"/>
        <item x="34"/>
        <item x="15"/>
        <item x="41"/>
        <item x="55"/>
        <item x="61"/>
        <item x="50"/>
        <item x="54"/>
        <item x="56"/>
        <item x="57"/>
        <item x="53"/>
        <item x="59"/>
        <item x="37"/>
        <item x="7"/>
        <item x="8"/>
        <item x="12"/>
        <item x="70"/>
        <item t="default"/>
      </items>
    </pivotField>
    <pivotField axis="axisRow" showAll="0">
      <items count="18">
        <item sd="0" x="9"/>
        <item sd="0" x="10"/>
        <item sd="0" x="4"/>
        <item sd="0" x="0"/>
        <item sd="0" x="1"/>
        <item sd="0" x="2"/>
        <item sd="0" x="8"/>
        <item x="5"/>
        <item x="11"/>
        <item sd="0" x="15"/>
        <item sd="0" x="3"/>
        <item sd="0" x="7"/>
        <item sd="0" x="6"/>
        <item sd="0" x="13"/>
        <item sd="0" x="14"/>
        <item sd="0" x="12"/>
        <item h="1" sd="0" x="16"/>
        <item t="default" sd="0"/>
      </items>
    </pivotField>
    <pivotField showAll="0"/>
    <pivotField showAll="0"/>
    <pivotField showAll="0"/>
    <pivotField axis="axisCol" showAll="0">
      <items count="5">
        <item n="ENERO" x="0"/>
        <item n="FEBRERO" x="1"/>
        <item n="MARZO" x="2"/>
        <item h="1" x="3"/>
        <item t="default"/>
      </items>
    </pivotField>
  </pivotFields>
  <rowFields count="2">
    <field x="10"/>
    <field x="9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 r="1">
      <x v="7"/>
    </i>
    <i r="1">
      <x v="15"/>
    </i>
    <i r="1">
      <x v="16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40"/>
    </i>
    <i r="1">
      <x v="41"/>
    </i>
    <i r="1">
      <x v="58"/>
    </i>
    <i r="1">
      <x v="59"/>
    </i>
    <i r="1">
      <x v="60"/>
    </i>
    <i r="1">
      <x v="61"/>
    </i>
    <i r="1">
      <x v="62"/>
    </i>
    <i r="1">
      <x v="63"/>
    </i>
    <i>
      <x v="8"/>
    </i>
    <i r="1">
      <x v="23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4"/>
  </colFields>
  <colItems count="3">
    <i>
      <x/>
    </i>
    <i>
      <x v="1"/>
    </i>
    <i>
      <x v="2"/>
    </i>
  </colItems>
  <dataFields count="1">
    <dataField name="Suma de Neto" fld="5" baseField="0" baseItem="0" numFmtId="164"/>
  </dataFields>
  <formats count="17">
    <format dxfId="33">
      <pivotArea collapsedLevelsAreSubtotals="1" fieldPosition="0">
        <references count="1">
          <reference field="10" count="1">
            <x v="7"/>
          </reference>
        </references>
      </pivotArea>
    </format>
    <format dxfId="32">
      <pivotArea dataOnly="0" labelOnly="1" fieldPosition="0">
        <references count="1">
          <reference field="10" count="1">
            <x v="7"/>
          </reference>
        </references>
      </pivotArea>
    </format>
    <format dxfId="31">
      <pivotArea dataOnly="0" labelOnly="1" fieldPosition="0">
        <references count="1">
          <reference field="14" count="0"/>
        </references>
      </pivotArea>
    </format>
    <format dxfId="30">
      <pivotArea collapsedLevelsAreSubtotals="1" fieldPosition="0">
        <references count="2">
          <reference field="9" count="1">
            <x v="7"/>
          </reference>
          <reference field="10" count="1" selected="0">
            <x v="7"/>
          </reference>
        </references>
      </pivotArea>
    </format>
    <format dxfId="29">
      <pivotArea dataOnly="0" labelOnly="1" fieldPosition="0">
        <references count="2">
          <reference field="9" count="1">
            <x v="7"/>
          </reference>
          <reference field="10" count="1" selected="0">
            <x v="7"/>
          </reference>
        </references>
      </pivotArea>
    </format>
    <format dxfId="28">
      <pivotArea collapsedLevelsAreSubtotals="1" fieldPosition="0">
        <references count="2">
          <reference field="9" count="1">
            <x v="24"/>
          </reference>
          <reference field="10" count="1" selected="0">
            <x v="7"/>
          </reference>
        </references>
      </pivotArea>
    </format>
    <format dxfId="27">
      <pivotArea dataOnly="0" labelOnly="1" fieldPosition="0">
        <references count="2">
          <reference field="9" count="1">
            <x v="24"/>
          </reference>
          <reference field="10" count="1" selected="0">
            <x v="7"/>
          </reference>
        </references>
      </pivotArea>
    </format>
    <format dxfId="26">
      <pivotArea collapsedLevelsAreSubtotals="1" fieldPosition="0">
        <references count="2">
          <reference field="9" count="2">
            <x v="27"/>
            <x v="28"/>
          </reference>
          <reference field="10" count="1" selected="0">
            <x v="7"/>
          </reference>
        </references>
      </pivotArea>
    </format>
    <format dxfId="25">
      <pivotArea dataOnly="0" labelOnly="1" fieldPosition="0">
        <references count="2">
          <reference field="9" count="2">
            <x v="27"/>
            <x v="28"/>
          </reference>
          <reference field="10" count="1" selected="0">
            <x v="7"/>
          </reference>
        </references>
      </pivotArea>
    </format>
    <format dxfId="24">
      <pivotArea collapsedLevelsAreSubtotals="1" fieldPosition="0">
        <references count="2">
          <reference field="9" count="1">
            <x v="59"/>
          </reference>
          <reference field="10" count="1" selected="0">
            <x v="7"/>
          </reference>
        </references>
      </pivotArea>
    </format>
    <format dxfId="23">
      <pivotArea dataOnly="0" labelOnly="1" fieldPosition="0">
        <references count="2">
          <reference field="9" count="1">
            <x v="59"/>
          </reference>
          <reference field="10" count="1" selected="0">
            <x v="7"/>
          </reference>
        </references>
      </pivotArea>
    </format>
    <format dxfId="22">
      <pivotArea collapsedLevelsAreSubtotals="1" fieldPosition="0">
        <references count="2">
          <reference field="9" count="1">
            <x v="63"/>
          </reference>
          <reference field="10" count="1" selected="0">
            <x v="7"/>
          </reference>
        </references>
      </pivotArea>
    </format>
    <format dxfId="21">
      <pivotArea dataOnly="0" labelOnly="1" fieldPosition="0">
        <references count="2">
          <reference field="9" count="1">
            <x v="63"/>
          </reference>
          <reference field="10" count="1" selected="0">
            <x v="7"/>
          </reference>
        </references>
      </pivotArea>
    </format>
    <format dxfId="20">
      <pivotArea collapsedLevelsAreSubtotals="1" fieldPosition="0">
        <references count="3">
          <reference field="9" count="2">
            <x v="15"/>
            <x v="16"/>
          </reference>
          <reference field="10" count="1" selected="0">
            <x v="7"/>
          </reference>
          <reference field="14" count="2" selected="0">
            <x v="1"/>
            <x v="2"/>
          </reference>
        </references>
      </pivotArea>
    </format>
    <format dxfId="19">
      <pivotArea collapsedLevelsAreSubtotals="1" fieldPosition="0">
        <references count="3">
          <reference field="9" count="2">
            <x v="40"/>
            <x v="41"/>
          </reference>
          <reference field="10" count="1" selected="0">
            <x v="7"/>
          </reference>
          <reference field="14" count="2" selected="0">
            <x v="1"/>
            <x v="2"/>
          </reference>
        </references>
      </pivotArea>
    </format>
    <format dxfId="18">
      <pivotArea collapsedLevelsAreSubtotals="1" fieldPosition="0">
        <references count="2">
          <reference field="9" count="1">
            <x v="23"/>
          </reference>
          <reference field="10" count="1" selected="0">
            <x v="8"/>
          </reference>
        </references>
      </pivotArea>
    </format>
    <format dxfId="17">
      <pivotArea dataOnly="0" labelOnly="1" fieldPosition="0">
        <references count="2">
          <reference field="9" count="1">
            <x v="23"/>
          </reference>
          <reference field="10" count="1" selected="0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84558-188B-4A51-B921-56C3617A91DA}" name="TablaDinámica1" cacheId="5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multipleFieldFilters="0">
  <location ref="A3:L9" firstHeaderRow="1" firstDataRow="2" firstDataCol="2"/>
  <pivotFields count="16">
    <pivotField showAll="0"/>
    <pivotField showAll="0"/>
    <pivotField axis="axisRow" showAll="0">
      <items count="3">
        <item x="0"/>
        <item h="1" x="1"/>
        <item t="default"/>
      </items>
    </pivotField>
    <pivotField axis="axisRow" outline="0" showAll="0" defaultSubtotal="0">
      <items count="3">
        <item x="0"/>
        <item x="1"/>
        <item x="2"/>
      </items>
    </pivotField>
    <pivotField axis="axisRow" showAll="0">
      <items count="5">
        <item sd="0" x="0"/>
        <item sd="0" x="2"/>
        <item sd="0" x="1"/>
        <item sd="0" x="3"/>
        <item t="default" sd="0"/>
      </items>
    </pivotField>
    <pivotField dataField="1" showAll="0"/>
    <pivotField showAll="0"/>
    <pivotField showAll="0"/>
    <pivotField showAll="0"/>
    <pivotField axis="axisRow" showAll="0">
      <items count="331">
        <item x="13"/>
        <item x="28"/>
        <item x="41"/>
        <item x="42"/>
        <item x="72"/>
        <item x="71"/>
        <item x="36"/>
        <item x="46"/>
        <item x="9"/>
        <item x="47"/>
        <item x="43"/>
        <item x="2"/>
        <item x="20"/>
        <item x="1"/>
        <item x="4"/>
        <item x="24"/>
        <item x="57"/>
        <item x="8"/>
        <item x="10"/>
        <item x="31"/>
        <item x="48"/>
        <item x="49"/>
        <item x="51"/>
        <item x="58"/>
        <item x="55"/>
        <item x="27"/>
        <item x="25"/>
        <item x="54"/>
        <item x="60"/>
        <item x="26"/>
        <item x="32"/>
        <item x="5"/>
        <item x="7"/>
        <item x="6"/>
        <item x="64"/>
        <item x="65"/>
        <item x="16"/>
        <item x="18"/>
        <item x="63"/>
        <item x="15"/>
        <item x="23"/>
        <item x="52"/>
        <item x="53"/>
        <item x="17"/>
        <item x="62"/>
        <item x="66"/>
        <item x="14"/>
        <item x="37"/>
        <item x="35"/>
        <item x="34"/>
        <item x="3"/>
        <item x="33"/>
        <item x="21"/>
        <item x="0"/>
        <item x="22"/>
        <item x="44"/>
        <item x="12"/>
        <item x="59"/>
        <item x="39"/>
        <item x="67"/>
        <item x="19"/>
        <item x="38"/>
        <item x="40"/>
        <item x="45"/>
        <item x="29"/>
        <item x="56"/>
        <item x="61"/>
        <item x="11"/>
        <item x="30"/>
        <item x="50"/>
        <item x="246"/>
        <item x="68"/>
        <item x="69"/>
        <item x="70"/>
        <item x="80"/>
        <item x="81"/>
        <item x="88"/>
        <item x="77"/>
        <item x="78"/>
        <item x="79"/>
        <item x="73"/>
        <item x="74"/>
        <item x="87"/>
        <item x="84"/>
        <item x="89"/>
        <item x="90"/>
        <item x="91"/>
        <item x="92"/>
        <item x="93"/>
        <item x="85"/>
        <item x="94"/>
        <item x="75"/>
        <item x="95"/>
        <item x="82"/>
        <item x="76"/>
        <item x="96"/>
        <item x="97"/>
        <item x="98"/>
        <item x="83"/>
        <item x="99"/>
        <item x="86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axis="axisRow" showAll="0">
      <items count="31">
        <item sd="0" x="12"/>
        <item sd="0" m="1" x="22"/>
        <item sd="0" m="1" x="21"/>
        <item sd="0" x="3"/>
        <item sd="0" x="2"/>
        <item sd="0" x="1"/>
        <item sd="0" x="6"/>
        <item sd="0" x="8"/>
        <item sd="0" x="13"/>
        <item sd="0" x="11"/>
        <item sd="0" m="1" x="20"/>
        <item sd="0" x="5"/>
        <item sd="0" x="4"/>
        <item sd="0" x="9"/>
        <item sd="0" x="10"/>
        <item sd="0" x="14"/>
        <item sd="0" x="18"/>
        <item sd="0" m="1" x="23"/>
        <item sd="0" m="1" x="24"/>
        <item sd="0" m="1" x="25"/>
        <item sd="0" m="1" x="26"/>
        <item sd="0" x="19"/>
        <item sd="0" m="1" x="27"/>
        <item sd="0" m="1" x="28"/>
        <item sd="0" m="1" x="29"/>
        <item sd="0" x="0"/>
        <item sd="0" x="7"/>
        <item sd="0" x="15"/>
        <item sd="0" x="16"/>
        <item sd="0" x="17"/>
        <item t="default" sd="0"/>
      </items>
    </pivotField>
    <pivotField showAll="0"/>
    <pivotField showAll="0"/>
    <pivotField showAll="0"/>
    <pivotField axis="axisCol" multipleItemSelectionAllowed="1" showAll="0">
      <items count="12">
        <item n="ENERO" x="0"/>
        <item n="FEBRERO" x="1"/>
        <item n="MARZO" x="2"/>
        <item x="9"/>
        <item n="ABRIL" x="3"/>
        <item n="MAYO" x="4"/>
        <item x="5"/>
        <item x="6"/>
        <item x="7"/>
        <item x="8"/>
        <item x="10"/>
        <item t="default"/>
      </items>
    </pivotField>
    <pivotField showAll="0"/>
  </pivotFields>
  <rowFields count="5">
    <field x="2"/>
    <field x="3"/>
    <field x="4"/>
    <field x="10"/>
    <field x="9"/>
  </rowFields>
  <rowItems count="5">
    <i>
      <x/>
    </i>
    <i r="1">
      <x/>
      <x/>
    </i>
    <i r="2">
      <x v="1"/>
    </i>
    <i r="1">
      <x v="1"/>
      <x v="2"/>
    </i>
    <i t="grand">
      <x/>
    </i>
  </rowItems>
  <colFields count="1">
    <field x="14"/>
  </colFields>
  <colItems count="10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</colItems>
  <dataFields count="1">
    <dataField name="Suma de Neto" fld="5" baseField="0" baseItem="0" numFmtId="164"/>
  </dataFields>
  <formats count="17">
    <format dxfId="16">
      <pivotArea collapsedLevelsAreSubtotals="1" fieldPosition="0">
        <references count="1">
          <reference field="10" count="1">
            <x v="7"/>
          </reference>
        </references>
      </pivotArea>
    </format>
    <format dxfId="15">
      <pivotArea dataOnly="0" labelOnly="1" fieldPosition="0">
        <references count="1">
          <reference field="10" count="1">
            <x v="7"/>
          </reference>
        </references>
      </pivotArea>
    </format>
    <format dxfId="14">
      <pivotArea dataOnly="0" labelOnly="1" fieldPosition="0">
        <references count="1">
          <reference field="14" count="0"/>
        </references>
      </pivotArea>
    </format>
    <format dxfId="13">
      <pivotArea collapsedLevelsAreSubtotals="1" fieldPosition="0">
        <references count="2">
          <reference field="9" count="1">
            <x v="7"/>
          </reference>
          <reference field="10" count="1" selected="0">
            <x v="7"/>
          </reference>
        </references>
      </pivotArea>
    </format>
    <format dxfId="12">
      <pivotArea dataOnly="0" labelOnly="1" fieldPosition="0">
        <references count="2">
          <reference field="9" count="1">
            <x v="7"/>
          </reference>
          <reference field="10" count="1" selected="0">
            <x v="7"/>
          </reference>
        </references>
      </pivotArea>
    </format>
    <format dxfId="11">
      <pivotArea collapsedLevelsAreSubtotals="1" fieldPosition="0">
        <references count="2">
          <reference field="9" count="1">
            <x v="24"/>
          </reference>
          <reference field="10" count="1" selected="0">
            <x v="7"/>
          </reference>
        </references>
      </pivotArea>
    </format>
    <format dxfId="10">
      <pivotArea dataOnly="0" labelOnly="1" fieldPosition="0">
        <references count="2">
          <reference field="9" count="1">
            <x v="24"/>
          </reference>
          <reference field="10" count="1" selected="0">
            <x v="7"/>
          </reference>
        </references>
      </pivotArea>
    </format>
    <format dxfId="9">
      <pivotArea collapsedLevelsAreSubtotals="1" fieldPosition="0">
        <references count="2">
          <reference field="9" count="2">
            <x v="27"/>
            <x v="28"/>
          </reference>
          <reference field="10" count="1" selected="0">
            <x v="7"/>
          </reference>
        </references>
      </pivotArea>
    </format>
    <format dxfId="8">
      <pivotArea dataOnly="0" labelOnly="1" fieldPosition="0">
        <references count="2">
          <reference field="9" count="2">
            <x v="27"/>
            <x v="28"/>
          </reference>
          <reference field="10" count="1" selected="0">
            <x v="7"/>
          </reference>
        </references>
      </pivotArea>
    </format>
    <format dxfId="7">
      <pivotArea collapsedLevelsAreSubtotals="1" fieldPosition="0">
        <references count="2">
          <reference field="9" count="1">
            <x v="59"/>
          </reference>
          <reference field="10" count="1" selected="0">
            <x v="7"/>
          </reference>
        </references>
      </pivotArea>
    </format>
    <format dxfId="6">
      <pivotArea dataOnly="0" labelOnly="1" fieldPosition="0">
        <references count="2">
          <reference field="9" count="1">
            <x v="59"/>
          </reference>
          <reference field="10" count="1" selected="0">
            <x v="7"/>
          </reference>
        </references>
      </pivotArea>
    </format>
    <format dxfId="5">
      <pivotArea collapsedLevelsAreSubtotals="1" fieldPosition="0">
        <references count="2">
          <reference field="9" count="1">
            <x v="63"/>
          </reference>
          <reference field="10" count="1" selected="0">
            <x v="7"/>
          </reference>
        </references>
      </pivotArea>
    </format>
    <format dxfId="4">
      <pivotArea dataOnly="0" labelOnly="1" fieldPosition="0">
        <references count="2">
          <reference field="9" count="1">
            <x v="63"/>
          </reference>
          <reference field="10" count="1" selected="0">
            <x v="7"/>
          </reference>
        </references>
      </pivotArea>
    </format>
    <format dxfId="3">
      <pivotArea collapsedLevelsAreSubtotals="1" fieldPosition="0">
        <references count="3">
          <reference field="9" count="2">
            <x v="15"/>
            <x v="16"/>
          </reference>
          <reference field="10" count="1" selected="0">
            <x v="7"/>
          </reference>
          <reference field="14" count="2" selected="0">
            <x v="1"/>
            <x v="2"/>
          </reference>
        </references>
      </pivotArea>
    </format>
    <format dxfId="2">
      <pivotArea collapsedLevelsAreSubtotals="1" fieldPosition="0">
        <references count="3">
          <reference field="9" count="2">
            <x v="40"/>
            <x v="41"/>
          </reference>
          <reference field="10" count="1" selected="0">
            <x v="7"/>
          </reference>
          <reference field="14" count="2" selected="0">
            <x v="1"/>
            <x v="2"/>
          </reference>
        </references>
      </pivotArea>
    </format>
    <format dxfId="1">
      <pivotArea collapsedLevelsAreSubtotals="1" fieldPosition="0">
        <references count="2">
          <reference field="9" count="1">
            <x v="23"/>
          </reference>
          <reference field="10" count="1" selected="0">
            <x v="8"/>
          </reference>
        </references>
      </pivotArea>
    </format>
    <format dxfId="0">
      <pivotArea dataOnly="0" labelOnly="1" fieldPosition="0">
        <references count="2">
          <reference field="9" count="1">
            <x v="23"/>
          </reference>
          <reference field="10" count="1" selected="0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B639-DFAD-4BED-BB99-BE34F1DA02B0}">
  <sheetPr>
    <tabColor rgb="FFC00000"/>
  </sheetPr>
  <dimension ref="A3:G40"/>
  <sheetViews>
    <sheetView showGridLines="0" topLeftCell="A4" workbookViewId="0">
      <pane ySplit="1" topLeftCell="A12" activePane="bottomLeft" state="frozen"/>
      <selection activeCell="A4" sqref="A4"/>
      <selection pane="bottomLeft" activeCell="A38" sqref="A38"/>
    </sheetView>
  </sheetViews>
  <sheetFormatPr baseColWidth="10" defaultRowHeight="14.5" x14ac:dyDescent="0.35"/>
  <cols>
    <col min="1" max="1" width="77.453125" bestFit="1" customWidth="1"/>
    <col min="2" max="2" width="21.26953125" bestFit="1" customWidth="1"/>
    <col min="3" max="3" width="11.81640625" bestFit="1" customWidth="1"/>
    <col min="4" max="4" width="12.453125" bestFit="1" customWidth="1"/>
    <col min="5" max="5" width="2.1796875" customWidth="1"/>
    <col min="6" max="6" width="16.1796875" style="7" customWidth="1"/>
    <col min="7" max="7" width="12.453125" style="10" bestFit="1" customWidth="1"/>
  </cols>
  <sheetData>
    <row r="3" spans="1:7" x14ac:dyDescent="0.35">
      <c r="A3" s="3" t="s">
        <v>228</v>
      </c>
      <c r="B3" s="3" t="s">
        <v>225</v>
      </c>
    </row>
    <row r="4" spans="1:7" x14ac:dyDescent="0.35">
      <c r="A4" s="3" t="s">
        <v>227</v>
      </c>
      <c r="B4" s="10" t="s">
        <v>229</v>
      </c>
      <c r="C4" s="10" t="s">
        <v>230</v>
      </c>
      <c r="D4" s="10" t="s">
        <v>231</v>
      </c>
      <c r="F4" s="17" t="s">
        <v>232</v>
      </c>
      <c r="G4" s="11" t="s">
        <v>233</v>
      </c>
    </row>
    <row r="5" spans="1:7" x14ac:dyDescent="0.35">
      <c r="A5" s="4" t="s">
        <v>75</v>
      </c>
      <c r="B5" s="5"/>
      <c r="C5" s="5"/>
      <c r="D5" s="5">
        <v>1423500</v>
      </c>
      <c r="F5" s="7">
        <f t="shared" ref="F5:F38" si="0">+D5-C5</f>
        <v>1423500</v>
      </c>
      <c r="G5" s="12">
        <f>+IFERROR(D5/C5-1,0)</f>
        <v>0</v>
      </c>
    </row>
    <row r="6" spans="1:7" x14ac:dyDescent="0.35">
      <c r="A6" s="4" t="s">
        <v>78</v>
      </c>
      <c r="B6" s="5">
        <v>2190</v>
      </c>
      <c r="C6" s="5">
        <v>20604</v>
      </c>
      <c r="D6" s="5"/>
      <c r="F6" s="7">
        <f t="shared" si="0"/>
        <v>-20604</v>
      </c>
      <c r="G6" s="12">
        <f t="shared" ref="G6:G37" si="1">+IFERROR(D6/C6-1,0)</f>
        <v>-1</v>
      </c>
    </row>
    <row r="7" spans="1:7" x14ac:dyDescent="0.35">
      <c r="A7" s="4" t="s">
        <v>37</v>
      </c>
      <c r="B7" s="5"/>
      <c r="C7" s="5">
        <v>11424.49</v>
      </c>
      <c r="D7" s="5">
        <v>12052.000000000004</v>
      </c>
      <c r="F7" s="7">
        <f t="shared" si="0"/>
        <v>627.51000000000386</v>
      </c>
      <c r="G7" s="12">
        <f t="shared" si="1"/>
        <v>5.49267407122771E-2</v>
      </c>
    </row>
    <row r="8" spans="1:7" x14ac:dyDescent="0.35">
      <c r="A8" s="4" t="s">
        <v>19</v>
      </c>
      <c r="B8" s="5">
        <v>4303049</v>
      </c>
      <c r="C8" s="5">
        <v>1675065</v>
      </c>
      <c r="D8" s="5">
        <v>1802342</v>
      </c>
      <c r="F8" s="7">
        <f t="shared" si="0"/>
        <v>127277</v>
      </c>
      <c r="G8" s="12">
        <f t="shared" si="1"/>
        <v>7.5983320050266645E-2</v>
      </c>
    </row>
    <row r="9" spans="1:7" x14ac:dyDescent="0.35">
      <c r="A9" s="4" t="s">
        <v>25</v>
      </c>
      <c r="B9" s="5">
        <v>2650</v>
      </c>
      <c r="C9" s="5">
        <v>0</v>
      </c>
      <c r="D9" s="5">
        <v>15900</v>
      </c>
      <c r="F9" s="7">
        <f t="shared" si="0"/>
        <v>15900</v>
      </c>
      <c r="G9" s="12">
        <f t="shared" si="1"/>
        <v>0</v>
      </c>
    </row>
    <row r="10" spans="1:7" x14ac:dyDescent="0.35">
      <c r="A10" s="4" t="s">
        <v>29</v>
      </c>
      <c r="B10" s="5">
        <v>4739977.04</v>
      </c>
      <c r="C10" s="5">
        <v>4209166.1499999994</v>
      </c>
      <c r="D10" s="5">
        <v>40781.320000000298</v>
      </c>
      <c r="F10" s="7">
        <f t="shared" si="0"/>
        <v>-4168384.8299999991</v>
      </c>
      <c r="G10" s="12">
        <f t="shared" si="1"/>
        <v>-0.99031130667056222</v>
      </c>
    </row>
    <row r="11" spans="1:7" x14ac:dyDescent="0.35">
      <c r="A11" s="4" t="s">
        <v>46</v>
      </c>
      <c r="B11" s="5">
        <v>514829.43</v>
      </c>
      <c r="C11" s="5">
        <v>284369.98999999993</v>
      </c>
      <c r="D11" s="5">
        <v>475395.51</v>
      </c>
      <c r="F11" s="7">
        <f t="shared" si="0"/>
        <v>191025.52000000008</v>
      </c>
      <c r="G11" s="12">
        <f t="shared" si="1"/>
        <v>0.6717499269173941</v>
      </c>
    </row>
    <row r="12" spans="1:7" x14ac:dyDescent="0.35">
      <c r="A12" s="8" t="s">
        <v>40</v>
      </c>
      <c r="B12" s="9">
        <v>43927682.079999998</v>
      </c>
      <c r="C12" s="9">
        <v>51359811.79999999</v>
      </c>
      <c r="D12" s="9">
        <v>105800536.34</v>
      </c>
      <c r="F12" s="18">
        <f>+D12-C12</f>
        <v>54440724.540000014</v>
      </c>
      <c r="G12" s="14">
        <f t="shared" si="1"/>
        <v>1.059986838581056</v>
      </c>
    </row>
    <row r="13" spans="1:7" x14ac:dyDescent="0.35">
      <c r="A13" s="15" t="s">
        <v>178</v>
      </c>
      <c r="B13" s="16"/>
      <c r="C13" s="16"/>
      <c r="D13" s="16">
        <v>59241903.100000001</v>
      </c>
      <c r="F13" s="7">
        <f t="shared" si="0"/>
        <v>59241903.100000001</v>
      </c>
      <c r="G13" s="12">
        <f t="shared" si="1"/>
        <v>0</v>
      </c>
    </row>
    <row r="14" spans="1:7" x14ac:dyDescent="0.35">
      <c r="A14" s="6" t="s">
        <v>161</v>
      </c>
      <c r="B14" s="5"/>
      <c r="C14" s="5">
        <v>-43927682.079999998</v>
      </c>
      <c r="D14" s="5"/>
      <c r="F14" s="7">
        <f t="shared" si="0"/>
        <v>43927682.079999998</v>
      </c>
      <c r="G14" s="12">
        <f t="shared" si="1"/>
        <v>-1</v>
      </c>
    </row>
    <row r="15" spans="1:7" x14ac:dyDescent="0.35">
      <c r="A15" s="6" t="s">
        <v>185</v>
      </c>
      <c r="B15" s="5"/>
      <c r="C15" s="5"/>
      <c r="D15" s="5">
        <v>-51359811.799999997</v>
      </c>
      <c r="F15" s="7">
        <f t="shared" si="0"/>
        <v>-51359811.799999997</v>
      </c>
      <c r="G15" s="12">
        <f t="shared" si="1"/>
        <v>0</v>
      </c>
    </row>
    <row r="16" spans="1:7" x14ac:dyDescent="0.35">
      <c r="A16" s="15" t="s">
        <v>143</v>
      </c>
      <c r="B16" s="16"/>
      <c r="C16" s="16"/>
      <c r="D16" s="16">
        <v>12271969.91</v>
      </c>
      <c r="F16" s="7">
        <f t="shared" si="0"/>
        <v>12271969.91</v>
      </c>
      <c r="G16" s="12">
        <f t="shared" si="1"/>
        <v>0</v>
      </c>
    </row>
    <row r="17" spans="1:7" x14ac:dyDescent="0.35">
      <c r="A17" s="6" t="s">
        <v>109</v>
      </c>
      <c r="B17" s="5"/>
      <c r="C17" s="5">
        <v>1162707.26</v>
      </c>
      <c r="D17" s="5"/>
      <c r="F17" s="7">
        <f t="shared" si="0"/>
        <v>-1162707.26</v>
      </c>
      <c r="G17" s="12">
        <f t="shared" si="1"/>
        <v>-1</v>
      </c>
    </row>
    <row r="18" spans="1:7" x14ac:dyDescent="0.35">
      <c r="A18" s="6" t="s">
        <v>103</v>
      </c>
      <c r="B18" s="5"/>
      <c r="C18" s="5">
        <v>1792877.05</v>
      </c>
      <c r="D18" s="5"/>
      <c r="F18" s="7">
        <f t="shared" si="0"/>
        <v>-1792877.05</v>
      </c>
      <c r="G18" s="12">
        <f t="shared" si="1"/>
        <v>-1</v>
      </c>
    </row>
    <row r="19" spans="1:7" x14ac:dyDescent="0.35">
      <c r="A19" s="15" t="s">
        <v>124</v>
      </c>
      <c r="B19" s="16"/>
      <c r="C19" s="16"/>
      <c r="D19" s="16">
        <v>1809003.04</v>
      </c>
      <c r="F19" s="7">
        <f t="shared" si="0"/>
        <v>1809003.04</v>
      </c>
      <c r="G19" s="12">
        <f t="shared" si="1"/>
        <v>0</v>
      </c>
    </row>
    <row r="20" spans="1:7" x14ac:dyDescent="0.35">
      <c r="A20" s="15" t="s">
        <v>140</v>
      </c>
      <c r="B20" s="16"/>
      <c r="C20" s="16"/>
      <c r="D20" s="16">
        <v>14754923.09</v>
      </c>
      <c r="F20" s="7">
        <f t="shared" si="0"/>
        <v>14754923.09</v>
      </c>
      <c r="G20" s="12">
        <f t="shared" si="1"/>
        <v>0</v>
      </c>
    </row>
    <row r="21" spans="1:7" x14ac:dyDescent="0.35">
      <c r="A21" s="6" t="s">
        <v>105</v>
      </c>
      <c r="B21" s="5"/>
      <c r="C21" s="5">
        <v>9251104.7599999998</v>
      </c>
      <c r="D21" s="5"/>
      <c r="F21" s="7">
        <f t="shared" si="0"/>
        <v>-9251104.7599999998</v>
      </c>
      <c r="G21" s="12">
        <f t="shared" si="1"/>
        <v>-1</v>
      </c>
    </row>
    <row r="22" spans="1:7" x14ac:dyDescent="0.35">
      <c r="A22" s="6" t="s">
        <v>32</v>
      </c>
      <c r="B22" s="5"/>
      <c r="C22" s="5">
        <v>43927682.079999998</v>
      </c>
      <c r="D22" s="5"/>
      <c r="F22" s="7">
        <f t="shared" si="0"/>
        <v>-43927682.079999998</v>
      </c>
      <c r="G22" s="12">
        <f t="shared" si="1"/>
        <v>-1</v>
      </c>
    </row>
    <row r="23" spans="1:7" x14ac:dyDescent="0.35">
      <c r="A23" s="6" t="s">
        <v>48</v>
      </c>
      <c r="B23" s="5"/>
      <c r="C23" s="5"/>
      <c r="D23" s="5">
        <v>51359811.799999997</v>
      </c>
      <c r="F23" s="7">
        <f t="shared" si="0"/>
        <v>51359811.799999997</v>
      </c>
      <c r="G23" s="12">
        <f t="shared" si="1"/>
        <v>0</v>
      </c>
    </row>
    <row r="24" spans="1:7" x14ac:dyDescent="0.35">
      <c r="A24" s="6" t="s">
        <v>171</v>
      </c>
      <c r="B24" s="5"/>
      <c r="C24" s="5">
        <v>37562145.5</v>
      </c>
      <c r="D24" s="5"/>
      <c r="F24" s="7">
        <f t="shared" si="0"/>
        <v>-37562145.5</v>
      </c>
      <c r="G24" s="12">
        <f t="shared" si="1"/>
        <v>-1</v>
      </c>
    </row>
    <row r="25" spans="1:7" x14ac:dyDescent="0.35">
      <c r="A25" s="15" t="s">
        <v>187</v>
      </c>
      <c r="B25" s="16"/>
      <c r="C25" s="16"/>
      <c r="D25" s="16">
        <v>16653281.57</v>
      </c>
      <c r="F25" s="7">
        <f t="shared" si="0"/>
        <v>16653281.57</v>
      </c>
      <c r="G25" s="12">
        <f t="shared" si="1"/>
        <v>0</v>
      </c>
    </row>
    <row r="26" spans="1:7" x14ac:dyDescent="0.35">
      <c r="A26" s="6" t="s">
        <v>158</v>
      </c>
      <c r="B26" s="5">
        <v>43927682.079999998</v>
      </c>
      <c r="C26" s="5"/>
      <c r="D26" s="5"/>
      <c r="F26" s="7">
        <f t="shared" si="0"/>
        <v>0</v>
      </c>
      <c r="G26" s="12">
        <f t="shared" si="1"/>
        <v>0</v>
      </c>
    </row>
    <row r="27" spans="1:7" x14ac:dyDescent="0.35">
      <c r="A27" s="6" t="s">
        <v>169</v>
      </c>
      <c r="B27" s="5"/>
      <c r="C27" s="5">
        <v>-639375</v>
      </c>
      <c r="D27" s="5"/>
      <c r="F27" s="7">
        <f t="shared" si="0"/>
        <v>639375</v>
      </c>
      <c r="G27" s="12">
        <f t="shared" si="1"/>
        <v>-1</v>
      </c>
    </row>
    <row r="28" spans="1:7" x14ac:dyDescent="0.35">
      <c r="A28" s="6" t="s">
        <v>174</v>
      </c>
      <c r="B28" s="5"/>
      <c r="C28" s="5">
        <v>2230352.23</v>
      </c>
      <c r="D28" s="5"/>
      <c r="F28" s="7">
        <f t="shared" si="0"/>
        <v>-2230352.23</v>
      </c>
      <c r="G28" s="12">
        <f t="shared" si="1"/>
        <v>-1</v>
      </c>
    </row>
    <row r="29" spans="1:7" x14ac:dyDescent="0.35">
      <c r="A29" s="15" t="s">
        <v>176</v>
      </c>
      <c r="B29" s="16"/>
      <c r="C29" s="16"/>
      <c r="D29" s="16">
        <v>1069455.6299999999</v>
      </c>
      <c r="F29" s="7">
        <f t="shared" si="0"/>
        <v>1069455.6299999999</v>
      </c>
      <c r="G29" s="12">
        <f t="shared" si="1"/>
        <v>0</v>
      </c>
    </row>
    <row r="30" spans="1:7" x14ac:dyDescent="0.35">
      <c r="A30" s="4" t="s">
        <v>127</v>
      </c>
      <c r="B30" s="5"/>
      <c r="C30" s="5"/>
      <c r="D30" s="5">
        <v>1755101</v>
      </c>
      <c r="F30" s="7">
        <f t="shared" si="0"/>
        <v>1755101</v>
      </c>
      <c r="G30" s="12">
        <f t="shared" si="1"/>
        <v>0</v>
      </c>
    </row>
    <row r="31" spans="1:7" x14ac:dyDescent="0.35">
      <c r="A31" s="15" t="s">
        <v>126</v>
      </c>
      <c r="B31" s="16"/>
      <c r="C31" s="16"/>
      <c r="D31" s="16">
        <v>1755101</v>
      </c>
      <c r="F31" s="7">
        <f t="shared" si="0"/>
        <v>1755101</v>
      </c>
      <c r="G31" s="12">
        <f t="shared" si="1"/>
        <v>0</v>
      </c>
    </row>
    <row r="32" spans="1:7" x14ac:dyDescent="0.35">
      <c r="A32" s="4" t="s">
        <v>203</v>
      </c>
      <c r="B32" s="5"/>
      <c r="C32" s="5">
        <v>23022002</v>
      </c>
      <c r="D32" s="5">
        <v>19968668</v>
      </c>
      <c r="F32" s="7">
        <f t="shared" si="0"/>
        <v>-3053334</v>
      </c>
      <c r="G32" s="12">
        <f t="shared" si="1"/>
        <v>-0.13262678024265662</v>
      </c>
    </row>
    <row r="33" spans="1:7" x14ac:dyDescent="0.35">
      <c r="A33" s="4" t="s">
        <v>35</v>
      </c>
      <c r="B33" s="5">
        <v>9801719</v>
      </c>
      <c r="C33" s="5">
        <v>8162148</v>
      </c>
      <c r="D33" s="5">
        <v>8069844</v>
      </c>
      <c r="F33" s="7">
        <f t="shared" si="0"/>
        <v>-92304</v>
      </c>
      <c r="G33" s="12">
        <f t="shared" si="1"/>
        <v>-1.1308787833790857E-2</v>
      </c>
    </row>
    <row r="34" spans="1:7" x14ac:dyDescent="0.35">
      <c r="A34" s="4" t="s">
        <v>44</v>
      </c>
      <c r="B34" s="5">
        <v>7426250</v>
      </c>
      <c r="C34" s="5">
        <v>3558750</v>
      </c>
      <c r="D34" s="5">
        <v>3558750.5</v>
      </c>
      <c r="F34" s="7">
        <f t="shared" si="0"/>
        <v>0.5</v>
      </c>
      <c r="G34" s="12">
        <f t="shared" si="1"/>
        <v>1.404987706177252E-7</v>
      </c>
    </row>
    <row r="35" spans="1:7" x14ac:dyDescent="0.35">
      <c r="A35" s="4" t="s">
        <v>42</v>
      </c>
      <c r="B35" s="5">
        <v>3558750</v>
      </c>
      <c r="C35" s="5">
        <v>3558750</v>
      </c>
      <c r="D35" s="5">
        <v>4270500</v>
      </c>
      <c r="F35" s="7">
        <f t="shared" si="0"/>
        <v>711750</v>
      </c>
      <c r="G35" s="12">
        <f t="shared" si="1"/>
        <v>0.19999999999999996</v>
      </c>
    </row>
    <row r="36" spans="1:7" x14ac:dyDescent="0.35">
      <c r="A36" s="4" t="s">
        <v>167</v>
      </c>
      <c r="B36" s="5"/>
      <c r="C36" s="5">
        <v>239997.6</v>
      </c>
      <c r="D36" s="5">
        <v>239997.6</v>
      </c>
      <c r="F36" s="7">
        <f t="shared" si="0"/>
        <v>0</v>
      </c>
      <c r="G36" s="12">
        <f t="shared" si="1"/>
        <v>0</v>
      </c>
    </row>
    <row r="37" spans="1:7" x14ac:dyDescent="0.35">
      <c r="A37" s="4" t="s">
        <v>172</v>
      </c>
      <c r="B37" s="5"/>
      <c r="C37" s="5">
        <v>3496088</v>
      </c>
      <c r="D37" s="5"/>
      <c r="F37" s="7">
        <f t="shared" si="0"/>
        <v>-3496088</v>
      </c>
      <c r="G37" s="12">
        <f t="shared" si="1"/>
        <v>-1</v>
      </c>
    </row>
    <row r="38" spans="1:7" x14ac:dyDescent="0.35">
      <c r="A38" s="4" t="s">
        <v>138</v>
      </c>
      <c r="B38" s="5"/>
      <c r="C38" s="5"/>
      <c r="D38" s="5">
        <v>846982.5</v>
      </c>
      <c r="F38" s="7">
        <f t="shared" si="0"/>
        <v>846982.5</v>
      </c>
      <c r="G38" s="12">
        <f>+IFERROR(D38/C38-1,0)</f>
        <v>0</v>
      </c>
    </row>
    <row r="39" spans="1:7" x14ac:dyDescent="0.35">
      <c r="A39" s="4" t="s">
        <v>226</v>
      </c>
      <c r="B39" s="5">
        <v>74277096.549999997</v>
      </c>
      <c r="C39" s="5">
        <v>99598177.029999986</v>
      </c>
      <c r="D39" s="5">
        <v>148280350.76999998</v>
      </c>
    </row>
    <row r="40" spans="1:7" x14ac:dyDescent="0.35">
      <c r="G40" s="13">
        <f>+GETPIVOTDATA("Neto",$A$3,"Mes",2)*G38</f>
        <v>0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C60F-F6DF-4561-91A7-490FC9B79CC7}">
  <sheetPr>
    <tabColor rgb="FFC00000"/>
  </sheetPr>
  <dimension ref="A3:L72"/>
  <sheetViews>
    <sheetView showGridLines="0" workbookViewId="0">
      <selection activeCell="B8" sqref="B8"/>
    </sheetView>
  </sheetViews>
  <sheetFormatPr baseColWidth="10" defaultRowHeight="14.5" x14ac:dyDescent="0.35"/>
  <cols>
    <col min="1" max="1" width="20" bestFit="1" customWidth="1"/>
    <col min="2" max="2" width="29.453125" bestFit="1" customWidth="1"/>
    <col min="3" max="3" width="22.453125" bestFit="1" customWidth="1"/>
    <col min="4" max="4" width="11.54296875" bestFit="1" customWidth="1"/>
    <col min="5" max="6" width="12.54296875" bestFit="1" customWidth="1"/>
    <col min="7" max="7" width="12.54296875" customWidth="1"/>
    <col min="8" max="8" width="11.54296875" style="7" bestFit="1" customWidth="1"/>
    <col min="9" max="9" width="11.54296875" style="10" bestFit="1" customWidth="1"/>
    <col min="10" max="11" width="11.54296875" bestFit="1" customWidth="1"/>
    <col min="12" max="13" width="12.54296875" bestFit="1" customWidth="1"/>
  </cols>
  <sheetData>
    <row r="3" spans="1:12" x14ac:dyDescent="0.35">
      <c r="A3" s="3" t="s">
        <v>228</v>
      </c>
      <c r="C3" s="3" t="s">
        <v>225</v>
      </c>
      <c r="H3"/>
      <c r="I3"/>
    </row>
    <row r="4" spans="1:12" x14ac:dyDescent="0.35">
      <c r="A4" s="3" t="s">
        <v>227</v>
      </c>
      <c r="B4" s="3" t="s">
        <v>4</v>
      </c>
      <c r="C4" s="10" t="s">
        <v>229</v>
      </c>
      <c r="D4" s="10" t="s">
        <v>230</v>
      </c>
      <c r="E4" s="10" t="s">
        <v>231</v>
      </c>
      <c r="F4" s="10" t="s">
        <v>968</v>
      </c>
      <c r="G4" s="10" t="s">
        <v>1055</v>
      </c>
      <c r="H4" s="10">
        <v>6</v>
      </c>
      <c r="I4" s="10">
        <v>7</v>
      </c>
      <c r="J4" s="10">
        <v>8</v>
      </c>
      <c r="K4" s="10">
        <v>9</v>
      </c>
      <c r="L4" s="10">
        <v>10</v>
      </c>
    </row>
    <row r="5" spans="1:12" x14ac:dyDescent="0.35">
      <c r="A5" s="4" t="s">
        <v>14</v>
      </c>
      <c r="C5" s="5">
        <v>74277096.549999997</v>
      </c>
      <c r="D5" s="5">
        <v>99598177.030000001</v>
      </c>
      <c r="E5" s="5">
        <v>110707453.19</v>
      </c>
      <c r="F5" s="5">
        <v>114497949.99000001</v>
      </c>
      <c r="G5" s="5">
        <v>126969579.08000001</v>
      </c>
      <c r="H5" s="5">
        <v>99264623.680000007</v>
      </c>
      <c r="I5" s="5">
        <v>94136942.630000025</v>
      </c>
      <c r="J5" s="5">
        <v>55963595.070000008</v>
      </c>
      <c r="K5" s="5">
        <v>89318407.61999999</v>
      </c>
      <c r="L5" s="5">
        <v>177190020.97999999</v>
      </c>
    </row>
    <row r="6" spans="1:12" x14ac:dyDescent="0.35">
      <c r="A6" s="6">
        <v>53051501</v>
      </c>
      <c r="B6" s="4" t="s">
        <v>1308</v>
      </c>
      <c r="C6" s="5">
        <v>30349414.469999999</v>
      </c>
      <c r="D6" s="5">
        <v>21720275.230000012</v>
      </c>
      <c r="E6" s="5">
        <v>24705631.289999984</v>
      </c>
      <c r="F6" s="5">
        <v>20774653.770000003</v>
      </c>
      <c r="G6" s="5">
        <v>23685578.260000002</v>
      </c>
      <c r="H6" s="5">
        <v>19799539.82</v>
      </c>
      <c r="I6" s="5">
        <v>15160773.340000024</v>
      </c>
      <c r="J6" s="5">
        <v>11872593.710000008</v>
      </c>
      <c r="K6" s="5">
        <v>13893297.129999999</v>
      </c>
      <c r="L6" s="5">
        <v>10285606.039999999</v>
      </c>
    </row>
    <row r="7" spans="1:12" x14ac:dyDescent="0.35">
      <c r="B7" s="4" t="s">
        <v>1427</v>
      </c>
      <c r="C7" s="5"/>
      <c r="D7" s="5">
        <v>23022002</v>
      </c>
      <c r="E7" s="5">
        <v>19968668</v>
      </c>
      <c r="F7" s="5">
        <v>-626070</v>
      </c>
      <c r="G7" s="5">
        <v>39499385</v>
      </c>
      <c r="H7" s="5">
        <v>15518647</v>
      </c>
      <c r="I7" s="5">
        <v>20002326</v>
      </c>
      <c r="J7" s="5">
        <v>23967947</v>
      </c>
      <c r="K7" s="5">
        <v>23705</v>
      </c>
      <c r="L7" s="5">
        <v>49513082</v>
      </c>
    </row>
    <row r="8" spans="1:12" x14ac:dyDescent="0.35">
      <c r="A8" s="6">
        <v>53051502</v>
      </c>
      <c r="B8" s="4" t="s">
        <v>1309</v>
      </c>
      <c r="C8" s="5">
        <v>43927682.079999998</v>
      </c>
      <c r="D8" s="5">
        <v>54855899.799999997</v>
      </c>
      <c r="E8" s="5">
        <v>66033153.900000006</v>
      </c>
      <c r="F8" s="5">
        <v>94349366.219999999</v>
      </c>
      <c r="G8" s="5">
        <v>63784615.82</v>
      </c>
      <c r="H8" s="5">
        <v>63946436.859999999</v>
      </c>
      <c r="I8" s="5">
        <v>58973843.289999999</v>
      </c>
      <c r="J8" s="5">
        <v>20123054.359999996</v>
      </c>
      <c r="K8" s="5">
        <v>75401405.489999995</v>
      </c>
      <c r="L8" s="5">
        <v>117391332.94</v>
      </c>
    </row>
    <row r="9" spans="1:12" x14ac:dyDescent="0.35">
      <c r="A9" s="4" t="s">
        <v>226</v>
      </c>
      <c r="C9" s="5">
        <v>74277096.549999997</v>
      </c>
      <c r="D9" s="5">
        <v>99598177.030000001</v>
      </c>
      <c r="E9" s="5">
        <v>110707453.19</v>
      </c>
      <c r="F9" s="5">
        <v>114497949.99000001</v>
      </c>
      <c r="G9" s="5">
        <v>126969579.08000001</v>
      </c>
      <c r="H9" s="5">
        <v>99264623.680000007</v>
      </c>
      <c r="I9" s="5">
        <v>94136942.630000025</v>
      </c>
      <c r="J9" s="5">
        <v>55963595.070000008</v>
      </c>
      <c r="K9" s="5">
        <v>89318407.61999999</v>
      </c>
      <c r="L9" s="5">
        <v>177190020.97999999</v>
      </c>
    </row>
    <row r="10" spans="1:12" x14ac:dyDescent="0.35">
      <c r="H10"/>
      <c r="I10"/>
    </row>
    <row r="11" spans="1:12" x14ac:dyDescent="0.35">
      <c r="H11"/>
      <c r="I11"/>
    </row>
    <row r="12" spans="1:12" x14ac:dyDescent="0.35">
      <c r="H12"/>
      <c r="I12"/>
    </row>
    <row r="13" spans="1:12" x14ac:dyDescent="0.35">
      <c r="H13"/>
      <c r="I13"/>
    </row>
    <row r="14" spans="1:12" x14ac:dyDescent="0.35">
      <c r="H14"/>
      <c r="I14"/>
    </row>
    <row r="15" spans="1:12" x14ac:dyDescent="0.35">
      <c r="H15"/>
      <c r="I15"/>
    </row>
    <row r="16" spans="1:12" x14ac:dyDescent="0.35">
      <c r="H16"/>
      <c r="I16"/>
    </row>
    <row r="17" spans="8:9" x14ac:dyDescent="0.35">
      <c r="H17"/>
      <c r="I17"/>
    </row>
    <row r="18" spans="8:9" x14ac:dyDescent="0.35">
      <c r="H18"/>
      <c r="I18"/>
    </row>
    <row r="19" spans="8:9" x14ac:dyDescent="0.35">
      <c r="H19"/>
      <c r="I19"/>
    </row>
    <row r="20" spans="8:9" x14ac:dyDescent="0.35">
      <c r="H20"/>
      <c r="I20"/>
    </row>
    <row r="21" spans="8:9" x14ac:dyDescent="0.35">
      <c r="H21"/>
      <c r="I21"/>
    </row>
    <row r="22" spans="8:9" x14ac:dyDescent="0.35">
      <c r="H22"/>
      <c r="I22"/>
    </row>
    <row r="23" spans="8:9" x14ac:dyDescent="0.35">
      <c r="H23"/>
      <c r="I23"/>
    </row>
    <row r="24" spans="8:9" x14ac:dyDescent="0.35">
      <c r="H24"/>
      <c r="I24"/>
    </row>
    <row r="25" spans="8:9" x14ac:dyDescent="0.35">
      <c r="H25"/>
      <c r="I25"/>
    </row>
    <row r="26" spans="8:9" x14ac:dyDescent="0.35">
      <c r="H26"/>
      <c r="I26"/>
    </row>
    <row r="27" spans="8:9" x14ac:dyDescent="0.35">
      <c r="H27"/>
      <c r="I27"/>
    </row>
    <row r="28" spans="8:9" x14ac:dyDescent="0.35">
      <c r="H28"/>
      <c r="I28"/>
    </row>
    <row r="29" spans="8:9" x14ac:dyDescent="0.35">
      <c r="H29"/>
      <c r="I29"/>
    </row>
    <row r="30" spans="8:9" x14ac:dyDescent="0.35">
      <c r="H30"/>
      <c r="I30"/>
    </row>
    <row r="31" spans="8:9" x14ac:dyDescent="0.35">
      <c r="H31"/>
      <c r="I31"/>
    </row>
    <row r="32" spans="8:9" x14ac:dyDescent="0.35">
      <c r="H32"/>
      <c r="I32"/>
    </row>
    <row r="33" spans="8:9" x14ac:dyDescent="0.35">
      <c r="H33"/>
      <c r="I33"/>
    </row>
    <row r="34" spans="8:9" x14ac:dyDescent="0.35">
      <c r="H34"/>
      <c r="I34"/>
    </row>
    <row r="35" spans="8:9" x14ac:dyDescent="0.35">
      <c r="H35"/>
      <c r="I35"/>
    </row>
    <row r="36" spans="8:9" x14ac:dyDescent="0.35">
      <c r="H36"/>
      <c r="I36"/>
    </row>
    <row r="37" spans="8:9" x14ac:dyDescent="0.35">
      <c r="H37"/>
      <c r="I37"/>
    </row>
    <row r="38" spans="8:9" x14ac:dyDescent="0.35">
      <c r="H38"/>
      <c r="I38"/>
    </row>
    <row r="39" spans="8:9" x14ac:dyDescent="0.35">
      <c r="H39"/>
      <c r="I39"/>
    </row>
    <row r="40" spans="8:9" x14ac:dyDescent="0.35">
      <c r="H40"/>
      <c r="I40"/>
    </row>
    <row r="41" spans="8:9" x14ac:dyDescent="0.35">
      <c r="H41"/>
      <c r="I41"/>
    </row>
    <row r="42" spans="8:9" x14ac:dyDescent="0.35">
      <c r="H42"/>
      <c r="I42"/>
    </row>
    <row r="43" spans="8:9" x14ac:dyDescent="0.35">
      <c r="H43"/>
      <c r="I43"/>
    </row>
    <row r="44" spans="8:9" x14ac:dyDescent="0.35">
      <c r="H44"/>
      <c r="I44"/>
    </row>
    <row r="45" spans="8:9" x14ac:dyDescent="0.35">
      <c r="H45"/>
      <c r="I45"/>
    </row>
    <row r="46" spans="8:9" x14ac:dyDescent="0.35">
      <c r="H46"/>
      <c r="I46"/>
    </row>
    <row r="47" spans="8:9" x14ac:dyDescent="0.35">
      <c r="H47"/>
      <c r="I47"/>
    </row>
    <row r="48" spans="8:9" x14ac:dyDescent="0.35">
      <c r="H48"/>
      <c r="I48"/>
    </row>
    <row r="49" spans="8:9" x14ac:dyDescent="0.35">
      <c r="H49"/>
      <c r="I49"/>
    </row>
    <row r="50" spans="8:9" x14ac:dyDescent="0.35">
      <c r="H50"/>
      <c r="I50"/>
    </row>
    <row r="51" spans="8:9" x14ac:dyDescent="0.35">
      <c r="H51"/>
      <c r="I51"/>
    </row>
    <row r="52" spans="8:9" x14ac:dyDescent="0.35">
      <c r="H52"/>
      <c r="I52"/>
    </row>
    <row r="53" spans="8:9" x14ac:dyDescent="0.35">
      <c r="H53"/>
      <c r="I53"/>
    </row>
    <row r="54" spans="8:9" x14ac:dyDescent="0.35">
      <c r="H54"/>
      <c r="I54"/>
    </row>
    <row r="55" spans="8:9" x14ac:dyDescent="0.35">
      <c r="H55"/>
      <c r="I55"/>
    </row>
    <row r="56" spans="8:9" x14ac:dyDescent="0.35">
      <c r="H56"/>
      <c r="I56"/>
    </row>
    <row r="57" spans="8:9" x14ac:dyDescent="0.35">
      <c r="H57"/>
      <c r="I57"/>
    </row>
    <row r="58" spans="8:9" x14ac:dyDescent="0.35">
      <c r="H58"/>
      <c r="I58"/>
    </row>
    <row r="59" spans="8:9" x14ac:dyDescent="0.35">
      <c r="H59"/>
      <c r="I59"/>
    </row>
    <row r="60" spans="8:9" x14ac:dyDescent="0.35">
      <c r="H60"/>
      <c r="I60"/>
    </row>
    <row r="61" spans="8:9" x14ac:dyDescent="0.35">
      <c r="H61"/>
      <c r="I61"/>
    </row>
    <row r="62" spans="8:9" x14ac:dyDescent="0.35">
      <c r="H62"/>
      <c r="I62"/>
    </row>
    <row r="63" spans="8:9" x14ac:dyDescent="0.35">
      <c r="H63"/>
      <c r="I63"/>
    </row>
    <row r="64" spans="8:9" x14ac:dyDescent="0.35">
      <c r="H64"/>
      <c r="I64"/>
    </row>
    <row r="65" spans="8:9" x14ac:dyDescent="0.35">
      <c r="H65"/>
      <c r="I65"/>
    </row>
    <row r="66" spans="8:9" x14ac:dyDescent="0.35">
      <c r="H66"/>
      <c r="I66"/>
    </row>
    <row r="67" spans="8:9" x14ac:dyDescent="0.35">
      <c r="H67"/>
      <c r="I67"/>
    </row>
    <row r="68" spans="8:9" x14ac:dyDescent="0.35">
      <c r="H68"/>
      <c r="I68"/>
    </row>
    <row r="69" spans="8:9" x14ac:dyDescent="0.35">
      <c r="H69"/>
      <c r="I69"/>
    </row>
    <row r="70" spans="8:9" x14ac:dyDescent="0.35">
      <c r="H70"/>
      <c r="I70"/>
    </row>
    <row r="71" spans="8:9" x14ac:dyDescent="0.35">
      <c r="H71"/>
      <c r="I71"/>
    </row>
    <row r="72" spans="8:9" x14ac:dyDescent="0.35">
      <c r="H72"/>
      <c r="I72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C5884-30FC-4580-A27B-5F0F3947301C}">
  <dimension ref="A1:O128"/>
  <sheetViews>
    <sheetView workbookViewId="0">
      <selection activeCell="U26" sqref="U26"/>
    </sheetView>
  </sheetViews>
  <sheetFormatPr baseColWidth="10" defaultColWidth="8.7265625" defaultRowHeight="14.5" x14ac:dyDescent="0.35"/>
  <cols>
    <col min="6" max="6" width="14.81640625" bestFit="1" customWidth="1"/>
    <col min="8" max="8" width="10.4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224</v>
      </c>
    </row>
    <row r="2" spans="1:15" x14ac:dyDescent="0.35">
      <c r="C2" t="s">
        <v>14</v>
      </c>
      <c r="D2">
        <v>53051501</v>
      </c>
      <c r="E2" t="s">
        <v>15</v>
      </c>
      <c r="F2" s="1">
        <v>38140</v>
      </c>
      <c r="G2" t="s">
        <v>16</v>
      </c>
      <c r="H2" s="2">
        <v>45686</v>
      </c>
      <c r="I2" t="s">
        <v>17</v>
      </c>
      <c r="J2" t="s">
        <v>18</v>
      </c>
      <c r="K2" t="s">
        <v>19</v>
      </c>
      <c r="M2" t="s">
        <v>20</v>
      </c>
      <c r="O2">
        <f>+MONTH(H2)</f>
        <v>1</v>
      </c>
    </row>
    <row r="3" spans="1:15" x14ac:dyDescent="0.35">
      <c r="C3" t="s">
        <v>14</v>
      </c>
      <c r="D3">
        <v>53051501</v>
      </c>
      <c r="E3" t="s">
        <v>15</v>
      </c>
      <c r="F3" s="1">
        <v>78520</v>
      </c>
      <c r="G3" t="s">
        <v>16</v>
      </c>
      <c r="H3" s="2">
        <v>45686</v>
      </c>
      <c r="I3" t="s">
        <v>21</v>
      </c>
      <c r="J3" t="s">
        <v>18</v>
      </c>
      <c r="K3" t="s">
        <v>19</v>
      </c>
      <c r="M3" t="s">
        <v>20</v>
      </c>
      <c r="O3">
        <f>+MONTH(H3)</f>
        <v>1</v>
      </c>
    </row>
    <row r="4" spans="1:15" x14ac:dyDescent="0.35">
      <c r="C4" t="s">
        <v>14</v>
      </c>
      <c r="D4">
        <v>53051501</v>
      </c>
      <c r="E4" t="s">
        <v>15</v>
      </c>
      <c r="F4" s="1">
        <v>2500</v>
      </c>
      <c r="G4" t="s">
        <v>22</v>
      </c>
      <c r="H4" s="2">
        <v>45686</v>
      </c>
      <c r="I4" t="s">
        <v>23</v>
      </c>
      <c r="J4" t="s">
        <v>24</v>
      </c>
      <c r="K4" t="s">
        <v>25</v>
      </c>
      <c r="M4" t="s">
        <v>20</v>
      </c>
      <c r="O4">
        <f t="shared" ref="O4:O67" si="0">+MONTH(H4)</f>
        <v>1</v>
      </c>
    </row>
    <row r="5" spans="1:15" x14ac:dyDescent="0.35">
      <c r="C5" t="s">
        <v>14</v>
      </c>
      <c r="D5">
        <v>53051501</v>
      </c>
      <c r="E5" t="s">
        <v>15</v>
      </c>
      <c r="F5" s="1">
        <v>125906.09</v>
      </c>
      <c r="G5" t="s">
        <v>26</v>
      </c>
      <c r="H5" s="2">
        <v>45686</v>
      </c>
      <c r="I5" t="s">
        <v>27</v>
      </c>
      <c r="J5" t="s">
        <v>28</v>
      </c>
      <c r="K5" t="s">
        <v>29</v>
      </c>
      <c r="M5" t="s">
        <v>20</v>
      </c>
      <c r="O5">
        <f t="shared" si="0"/>
        <v>1</v>
      </c>
    </row>
    <row r="6" spans="1:15" x14ac:dyDescent="0.35">
      <c r="C6" t="s">
        <v>14</v>
      </c>
      <c r="D6">
        <v>53051501</v>
      </c>
      <c r="E6" t="s">
        <v>15</v>
      </c>
      <c r="F6" s="1">
        <v>16560</v>
      </c>
      <c r="G6" t="s">
        <v>26</v>
      </c>
      <c r="H6" s="2">
        <v>45686</v>
      </c>
      <c r="I6" t="s">
        <v>30</v>
      </c>
      <c r="J6" t="s">
        <v>28</v>
      </c>
      <c r="K6" t="s">
        <v>29</v>
      </c>
      <c r="M6" t="s">
        <v>20</v>
      </c>
      <c r="O6">
        <f t="shared" si="0"/>
        <v>1</v>
      </c>
    </row>
    <row r="7" spans="1:15" x14ac:dyDescent="0.35">
      <c r="C7" t="s">
        <v>14</v>
      </c>
      <c r="D7">
        <v>53051501</v>
      </c>
      <c r="E7" t="s">
        <v>15</v>
      </c>
      <c r="F7" s="1">
        <v>4303049</v>
      </c>
      <c r="G7" t="s">
        <v>31</v>
      </c>
      <c r="H7" s="2">
        <v>45707</v>
      </c>
      <c r="I7" t="s">
        <v>32</v>
      </c>
      <c r="J7" t="s">
        <v>32</v>
      </c>
      <c r="K7" t="s">
        <v>19</v>
      </c>
      <c r="M7" t="s">
        <v>20</v>
      </c>
      <c r="O7">
        <f t="shared" si="0"/>
        <v>2</v>
      </c>
    </row>
    <row r="8" spans="1:15" x14ac:dyDescent="0.35">
      <c r="C8" t="s">
        <v>14</v>
      </c>
      <c r="D8">
        <v>53051501</v>
      </c>
      <c r="E8" t="s">
        <v>15</v>
      </c>
      <c r="F8" s="1">
        <v>4739977.04</v>
      </c>
      <c r="G8" t="s">
        <v>33</v>
      </c>
      <c r="H8" s="2">
        <v>45707</v>
      </c>
      <c r="I8" t="s">
        <v>32</v>
      </c>
      <c r="J8" t="s">
        <v>32</v>
      </c>
      <c r="K8" t="s">
        <v>29</v>
      </c>
      <c r="M8" t="s">
        <v>20</v>
      </c>
      <c r="O8">
        <f t="shared" si="0"/>
        <v>2</v>
      </c>
    </row>
    <row r="9" spans="1:15" x14ac:dyDescent="0.35">
      <c r="C9" t="s">
        <v>14</v>
      </c>
      <c r="D9">
        <v>53051501</v>
      </c>
      <c r="E9" t="s">
        <v>15</v>
      </c>
      <c r="F9" s="1">
        <v>9801719</v>
      </c>
      <c r="G9" t="s">
        <v>34</v>
      </c>
      <c r="H9" s="2">
        <v>45707</v>
      </c>
      <c r="I9" t="s">
        <v>32</v>
      </c>
      <c r="J9" t="s">
        <v>32</v>
      </c>
      <c r="K9" t="s">
        <v>35</v>
      </c>
      <c r="M9" t="s">
        <v>20</v>
      </c>
      <c r="O9">
        <f t="shared" si="0"/>
        <v>2</v>
      </c>
    </row>
    <row r="10" spans="1:15" x14ac:dyDescent="0.35">
      <c r="C10" t="s">
        <v>14</v>
      </c>
      <c r="D10">
        <v>53051501</v>
      </c>
      <c r="E10" t="s">
        <v>15</v>
      </c>
      <c r="F10" s="1">
        <v>2190</v>
      </c>
      <c r="G10" t="s">
        <v>36</v>
      </c>
      <c r="H10" s="2">
        <v>45707</v>
      </c>
      <c r="I10" t="s">
        <v>32</v>
      </c>
      <c r="J10" t="s">
        <v>32</v>
      </c>
      <c r="K10" t="s">
        <v>37</v>
      </c>
      <c r="M10" t="s">
        <v>20</v>
      </c>
      <c r="O10">
        <f t="shared" si="0"/>
        <v>2</v>
      </c>
    </row>
    <row r="11" spans="1:15" x14ac:dyDescent="0.35">
      <c r="C11" t="s">
        <v>14</v>
      </c>
      <c r="D11">
        <v>53051501</v>
      </c>
      <c r="E11" t="s">
        <v>15</v>
      </c>
      <c r="F11" s="1">
        <v>2650</v>
      </c>
      <c r="G11" t="s">
        <v>38</v>
      </c>
      <c r="H11" s="2">
        <v>45707</v>
      </c>
      <c r="I11" t="s">
        <v>32</v>
      </c>
      <c r="J11" t="s">
        <v>32</v>
      </c>
      <c r="K11" t="s">
        <v>25</v>
      </c>
      <c r="M11" t="s">
        <v>20</v>
      </c>
      <c r="O11">
        <f t="shared" si="0"/>
        <v>2</v>
      </c>
    </row>
    <row r="12" spans="1:15" x14ac:dyDescent="0.35">
      <c r="C12" t="s">
        <v>14</v>
      </c>
      <c r="D12">
        <v>53051501</v>
      </c>
      <c r="E12" t="s">
        <v>15</v>
      </c>
      <c r="F12" s="1">
        <v>43927682.079999998</v>
      </c>
      <c r="G12" t="s">
        <v>39</v>
      </c>
      <c r="H12" s="2">
        <v>45707</v>
      </c>
      <c r="I12" t="s">
        <v>32</v>
      </c>
      <c r="J12" t="s">
        <v>32</v>
      </c>
      <c r="K12" t="s">
        <v>40</v>
      </c>
      <c r="M12" t="s">
        <v>20</v>
      </c>
      <c r="O12">
        <f t="shared" si="0"/>
        <v>2</v>
      </c>
    </row>
    <row r="13" spans="1:15" x14ac:dyDescent="0.35">
      <c r="C13" t="s">
        <v>14</v>
      </c>
      <c r="D13">
        <v>53051501</v>
      </c>
      <c r="E13" t="s">
        <v>15</v>
      </c>
      <c r="F13" s="1">
        <v>3558750</v>
      </c>
      <c r="G13" t="s">
        <v>41</v>
      </c>
      <c r="H13" s="2">
        <v>45707</v>
      </c>
      <c r="I13" t="s">
        <v>32</v>
      </c>
      <c r="J13" t="s">
        <v>32</v>
      </c>
      <c r="K13" t="s">
        <v>42</v>
      </c>
      <c r="M13" t="s">
        <v>20</v>
      </c>
      <c r="O13">
        <f t="shared" si="0"/>
        <v>2</v>
      </c>
    </row>
    <row r="14" spans="1:15" x14ac:dyDescent="0.35">
      <c r="C14" t="s">
        <v>14</v>
      </c>
      <c r="D14">
        <v>53051501</v>
      </c>
      <c r="E14" t="s">
        <v>15</v>
      </c>
      <c r="F14" s="1">
        <v>7426250</v>
      </c>
      <c r="G14" t="s">
        <v>43</v>
      </c>
      <c r="H14" s="2">
        <v>45707</v>
      </c>
      <c r="I14" t="s">
        <v>32</v>
      </c>
      <c r="J14" t="s">
        <v>32</v>
      </c>
      <c r="K14" t="s">
        <v>44</v>
      </c>
      <c r="M14" t="s">
        <v>20</v>
      </c>
      <c r="O14">
        <f t="shared" si="0"/>
        <v>2</v>
      </c>
    </row>
    <row r="15" spans="1:15" x14ac:dyDescent="0.35">
      <c r="C15" t="s">
        <v>14</v>
      </c>
      <c r="D15">
        <v>53051501</v>
      </c>
      <c r="E15" t="s">
        <v>15</v>
      </c>
      <c r="F15" s="1">
        <v>514829.43</v>
      </c>
      <c r="G15" t="s">
        <v>45</v>
      </c>
      <c r="H15" s="2">
        <v>45707</v>
      </c>
      <c r="I15" t="s">
        <v>32</v>
      </c>
      <c r="J15" t="s">
        <v>32</v>
      </c>
      <c r="K15" t="s">
        <v>46</v>
      </c>
      <c r="M15" t="s">
        <v>20</v>
      </c>
      <c r="O15">
        <f t="shared" si="0"/>
        <v>2</v>
      </c>
    </row>
    <row r="16" spans="1:15" x14ac:dyDescent="0.35">
      <c r="C16" t="s">
        <v>14</v>
      </c>
      <c r="D16">
        <v>53051501</v>
      </c>
      <c r="E16" t="s">
        <v>15</v>
      </c>
      <c r="F16" s="1">
        <v>1675065</v>
      </c>
      <c r="G16" t="s">
        <v>47</v>
      </c>
      <c r="H16" s="2">
        <v>45737</v>
      </c>
      <c r="I16" t="s">
        <v>48</v>
      </c>
      <c r="J16" t="s">
        <v>48</v>
      </c>
      <c r="K16" t="s">
        <v>19</v>
      </c>
      <c r="M16" t="s">
        <v>20</v>
      </c>
      <c r="O16">
        <f t="shared" si="0"/>
        <v>3</v>
      </c>
    </row>
    <row r="17" spans="3:15" x14ac:dyDescent="0.35">
      <c r="C17" t="s">
        <v>14</v>
      </c>
      <c r="D17">
        <v>53051501</v>
      </c>
      <c r="E17" t="s">
        <v>15</v>
      </c>
      <c r="F17" s="1">
        <v>4209166.1500000004</v>
      </c>
      <c r="G17" t="s">
        <v>49</v>
      </c>
      <c r="H17" s="2">
        <v>45737</v>
      </c>
      <c r="I17" t="s">
        <v>48</v>
      </c>
      <c r="J17" t="s">
        <v>48</v>
      </c>
      <c r="K17" t="s">
        <v>29</v>
      </c>
      <c r="M17" t="s">
        <v>20</v>
      </c>
      <c r="O17">
        <f t="shared" si="0"/>
        <v>3</v>
      </c>
    </row>
    <row r="18" spans="3:15" x14ac:dyDescent="0.35">
      <c r="C18" t="s">
        <v>14</v>
      </c>
      <c r="D18">
        <v>53051501</v>
      </c>
      <c r="E18" t="s">
        <v>15</v>
      </c>
      <c r="F18" s="1">
        <v>8162148</v>
      </c>
      <c r="G18" t="s">
        <v>50</v>
      </c>
      <c r="H18" s="2">
        <v>45737</v>
      </c>
      <c r="I18" t="s">
        <v>51</v>
      </c>
      <c r="J18" t="s">
        <v>51</v>
      </c>
      <c r="K18" t="s">
        <v>35</v>
      </c>
      <c r="M18" t="s">
        <v>20</v>
      </c>
      <c r="O18">
        <f t="shared" si="0"/>
        <v>3</v>
      </c>
    </row>
    <row r="19" spans="3:15" x14ac:dyDescent="0.35">
      <c r="C19" t="s">
        <v>14</v>
      </c>
      <c r="D19">
        <v>53051501</v>
      </c>
      <c r="E19" t="s">
        <v>15</v>
      </c>
      <c r="F19" s="1">
        <v>32028.49</v>
      </c>
      <c r="G19" t="s">
        <v>52</v>
      </c>
      <c r="H19" s="2">
        <v>45737</v>
      </c>
      <c r="I19" t="s">
        <v>48</v>
      </c>
      <c r="J19" t="s">
        <v>48</v>
      </c>
      <c r="K19" t="s">
        <v>37</v>
      </c>
      <c r="M19" t="s">
        <v>20</v>
      </c>
      <c r="O19">
        <f t="shared" si="0"/>
        <v>3</v>
      </c>
    </row>
    <row r="20" spans="3:15" x14ac:dyDescent="0.35">
      <c r="C20" t="s">
        <v>14</v>
      </c>
      <c r="D20">
        <v>53051501</v>
      </c>
      <c r="E20" t="s">
        <v>15</v>
      </c>
      <c r="F20" s="1">
        <v>51359811.799999997</v>
      </c>
      <c r="G20" t="s">
        <v>53</v>
      </c>
      <c r="H20" s="2">
        <v>45737</v>
      </c>
      <c r="I20" t="s">
        <v>48</v>
      </c>
      <c r="J20" t="s">
        <v>48</v>
      </c>
      <c r="K20" t="s">
        <v>40</v>
      </c>
      <c r="M20" t="s">
        <v>20</v>
      </c>
      <c r="O20">
        <f t="shared" si="0"/>
        <v>3</v>
      </c>
    </row>
    <row r="21" spans="3:15" x14ac:dyDescent="0.35">
      <c r="C21" t="s">
        <v>14</v>
      </c>
      <c r="D21">
        <v>53051501</v>
      </c>
      <c r="E21" t="s">
        <v>15</v>
      </c>
      <c r="F21" s="1">
        <v>3558750</v>
      </c>
      <c r="G21" t="s">
        <v>54</v>
      </c>
      <c r="H21" s="2">
        <v>45737</v>
      </c>
      <c r="I21" t="s">
        <v>48</v>
      </c>
      <c r="J21" t="s">
        <v>48</v>
      </c>
      <c r="K21" t="s">
        <v>42</v>
      </c>
      <c r="M21" t="s">
        <v>20</v>
      </c>
      <c r="O21">
        <f t="shared" si="0"/>
        <v>3</v>
      </c>
    </row>
    <row r="22" spans="3:15" x14ac:dyDescent="0.35">
      <c r="C22" t="s">
        <v>14</v>
      </c>
      <c r="D22">
        <v>53051501</v>
      </c>
      <c r="E22" t="s">
        <v>15</v>
      </c>
      <c r="F22" s="1">
        <v>3558750</v>
      </c>
      <c r="G22" t="s">
        <v>55</v>
      </c>
      <c r="H22" s="2">
        <v>45737</v>
      </c>
      <c r="I22" t="s">
        <v>48</v>
      </c>
      <c r="J22" t="s">
        <v>48</v>
      </c>
      <c r="K22" t="s">
        <v>44</v>
      </c>
      <c r="M22" t="s">
        <v>20</v>
      </c>
      <c r="O22">
        <f t="shared" si="0"/>
        <v>3</v>
      </c>
    </row>
    <row r="23" spans="3:15" x14ac:dyDescent="0.35">
      <c r="C23" t="s">
        <v>14</v>
      </c>
      <c r="D23">
        <v>53051501</v>
      </c>
      <c r="E23" t="s">
        <v>15</v>
      </c>
      <c r="F23" s="1">
        <v>284369.99</v>
      </c>
      <c r="G23" t="s">
        <v>56</v>
      </c>
      <c r="H23" s="2">
        <v>45737</v>
      </c>
      <c r="I23" t="s">
        <v>48</v>
      </c>
      <c r="J23" t="s">
        <v>48</v>
      </c>
      <c r="K23" t="s">
        <v>46</v>
      </c>
      <c r="M23" t="s">
        <v>20</v>
      </c>
      <c r="O23">
        <f t="shared" si="0"/>
        <v>3</v>
      </c>
    </row>
    <row r="24" spans="3:15" x14ac:dyDescent="0.35">
      <c r="C24" t="s">
        <v>14</v>
      </c>
      <c r="D24">
        <v>53051501</v>
      </c>
      <c r="E24" t="s">
        <v>15</v>
      </c>
      <c r="F24" s="1">
        <v>3558750</v>
      </c>
      <c r="G24" t="s">
        <v>57</v>
      </c>
      <c r="H24" s="2">
        <v>45688</v>
      </c>
      <c r="I24" t="s">
        <v>58</v>
      </c>
      <c r="J24" t="s">
        <v>58</v>
      </c>
      <c r="K24" t="s">
        <v>42</v>
      </c>
      <c r="M24" t="s">
        <v>59</v>
      </c>
      <c r="O24">
        <f t="shared" si="0"/>
        <v>1</v>
      </c>
    </row>
    <row r="25" spans="3:15" x14ac:dyDescent="0.35">
      <c r="C25" t="s">
        <v>14</v>
      </c>
      <c r="D25">
        <v>53051501</v>
      </c>
      <c r="E25" t="s">
        <v>15</v>
      </c>
      <c r="F25" s="1">
        <v>3558750</v>
      </c>
      <c r="G25" t="s">
        <v>60</v>
      </c>
      <c r="H25" s="2">
        <v>45688</v>
      </c>
      <c r="I25" t="s">
        <v>61</v>
      </c>
      <c r="J25" t="s">
        <v>61</v>
      </c>
      <c r="K25" t="s">
        <v>44</v>
      </c>
      <c r="M25" t="s">
        <v>59</v>
      </c>
      <c r="O25">
        <f t="shared" si="0"/>
        <v>1</v>
      </c>
    </row>
    <row r="26" spans="3:15" x14ac:dyDescent="0.35">
      <c r="C26" t="s">
        <v>14</v>
      </c>
      <c r="D26">
        <v>53051501</v>
      </c>
      <c r="E26" t="s">
        <v>15</v>
      </c>
      <c r="F26" s="1">
        <v>3558750</v>
      </c>
      <c r="G26" t="s">
        <v>62</v>
      </c>
      <c r="H26" s="2">
        <v>45716</v>
      </c>
      <c r="I26" t="s">
        <v>63</v>
      </c>
      <c r="J26" t="s">
        <v>63</v>
      </c>
      <c r="K26" t="s">
        <v>44</v>
      </c>
      <c r="M26" t="s">
        <v>59</v>
      </c>
      <c r="O26">
        <f t="shared" si="0"/>
        <v>2</v>
      </c>
    </row>
    <row r="27" spans="3:15" x14ac:dyDescent="0.35">
      <c r="C27" t="s">
        <v>14</v>
      </c>
      <c r="D27">
        <v>53051501</v>
      </c>
      <c r="E27" t="s">
        <v>15</v>
      </c>
      <c r="F27" s="1">
        <v>3558750</v>
      </c>
      <c r="G27" t="s">
        <v>64</v>
      </c>
      <c r="H27" s="2">
        <v>45716</v>
      </c>
      <c r="I27" t="s">
        <v>65</v>
      </c>
      <c r="J27" t="s">
        <v>65</v>
      </c>
      <c r="K27" t="s">
        <v>42</v>
      </c>
      <c r="M27" t="s">
        <v>59</v>
      </c>
      <c r="O27">
        <f t="shared" si="0"/>
        <v>2</v>
      </c>
    </row>
    <row r="28" spans="3:15" x14ac:dyDescent="0.35">
      <c r="C28" t="s">
        <v>14</v>
      </c>
      <c r="D28">
        <v>53051501</v>
      </c>
      <c r="E28" t="s">
        <v>15</v>
      </c>
      <c r="F28" s="1">
        <v>711750</v>
      </c>
      <c r="G28" t="s">
        <v>66</v>
      </c>
      <c r="H28" s="2">
        <v>45733</v>
      </c>
      <c r="I28" t="s">
        <v>67</v>
      </c>
      <c r="J28" t="s">
        <v>67</v>
      </c>
      <c r="K28" t="s">
        <v>42</v>
      </c>
      <c r="M28" t="s">
        <v>59</v>
      </c>
      <c r="O28">
        <f t="shared" si="0"/>
        <v>3</v>
      </c>
    </row>
    <row r="29" spans="3:15" x14ac:dyDescent="0.35">
      <c r="C29" t="s">
        <v>14</v>
      </c>
      <c r="D29">
        <v>53051501</v>
      </c>
      <c r="E29" t="s">
        <v>15</v>
      </c>
      <c r="F29" s="1">
        <v>3558750</v>
      </c>
      <c r="G29" t="s">
        <v>68</v>
      </c>
      <c r="H29" s="2">
        <v>45733</v>
      </c>
      <c r="I29" t="s">
        <v>69</v>
      </c>
      <c r="J29" t="s">
        <v>69</v>
      </c>
      <c r="K29" t="s">
        <v>42</v>
      </c>
      <c r="M29" t="s">
        <v>59</v>
      </c>
      <c r="O29">
        <f t="shared" si="0"/>
        <v>3</v>
      </c>
    </row>
    <row r="30" spans="3:15" x14ac:dyDescent="0.35">
      <c r="C30" t="s">
        <v>14</v>
      </c>
      <c r="D30">
        <v>53051501</v>
      </c>
      <c r="E30" t="s">
        <v>15</v>
      </c>
      <c r="F30" s="1">
        <v>3558750</v>
      </c>
      <c r="G30" t="s">
        <v>70</v>
      </c>
      <c r="H30" s="2">
        <v>45733</v>
      </c>
      <c r="I30" t="s">
        <v>71</v>
      </c>
      <c r="J30" t="s">
        <v>72</v>
      </c>
      <c r="K30" t="s">
        <v>44</v>
      </c>
      <c r="M30" t="s">
        <v>59</v>
      </c>
      <c r="O30">
        <f t="shared" si="0"/>
        <v>3</v>
      </c>
    </row>
    <row r="31" spans="3:15" x14ac:dyDescent="0.35">
      <c r="C31" t="s">
        <v>14</v>
      </c>
      <c r="D31">
        <v>53051501</v>
      </c>
      <c r="E31" t="s">
        <v>15</v>
      </c>
      <c r="F31" s="1">
        <v>1423500</v>
      </c>
      <c r="G31" t="s">
        <v>73</v>
      </c>
      <c r="H31" s="2">
        <v>45736</v>
      </c>
      <c r="I31" t="s">
        <v>74</v>
      </c>
      <c r="J31" t="s">
        <v>74</v>
      </c>
      <c r="K31" t="s">
        <v>75</v>
      </c>
      <c r="M31" t="s">
        <v>59</v>
      </c>
      <c r="O31">
        <f t="shared" si="0"/>
        <v>3</v>
      </c>
    </row>
    <row r="32" spans="3:15" x14ac:dyDescent="0.35">
      <c r="C32" t="s">
        <v>14</v>
      </c>
      <c r="D32">
        <v>53051501</v>
      </c>
      <c r="E32" t="s">
        <v>15</v>
      </c>
      <c r="F32" s="1">
        <v>2190</v>
      </c>
      <c r="G32" t="s">
        <v>76</v>
      </c>
      <c r="H32" s="2">
        <v>45664</v>
      </c>
      <c r="I32" t="s">
        <v>77</v>
      </c>
      <c r="J32" t="s">
        <v>77</v>
      </c>
      <c r="K32" t="s">
        <v>78</v>
      </c>
      <c r="M32" t="s">
        <v>59</v>
      </c>
      <c r="O32">
        <f t="shared" si="0"/>
        <v>1</v>
      </c>
    </row>
    <row r="33" spans="3:15" x14ac:dyDescent="0.35">
      <c r="C33" t="s">
        <v>14</v>
      </c>
      <c r="D33">
        <v>53051501</v>
      </c>
      <c r="E33" t="s">
        <v>15</v>
      </c>
      <c r="F33" s="1">
        <v>9600.49</v>
      </c>
      <c r="G33" t="s">
        <v>79</v>
      </c>
      <c r="H33" s="2">
        <v>45688</v>
      </c>
      <c r="I33" t="s">
        <v>80</v>
      </c>
      <c r="J33" t="s">
        <v>81</v>
      </c>
      <c r="K33" t="s">
        <v>29</v>
      </c>
      <c r="M33" t="s">
        <v>59</v>
      </c>
      <c r="O33">
        <f t="shared" si="0"/>
        <v>1</v>
      </c>
    </row>
    <row r="34" spans="3:15" x14ac:dyDescent="0.35">
      <c r="C34" t="s">
        <v>14</v>
      </c>
      <c r="D34">
        <v>53051501</v>
      </c>
      <c r="E34" t="s">
        <v>15</v>
      </c>
      <c r="F34" s="1">
        <v>1824</v>
      </c>
      <c r="G34" t="s">
        <v>79</v>
      </c>
      <c r="H34" s="2">
        <v>45688</v>
      </c>
      <c r="I34" t="s">
        <v>82</v>
      </c>
      <c r="J34" t="s">
        <v>81</v>
      </c>
      <c r="K34" t="s">
        <v>29</v>
      </c>
      <c r="M34" t="s">
        <v>59</v>
      </c>
      <c r="O34">
        <f t="shared" si="0"/>
        <v>1</v>
      </c>
    </row>
    <row r="35" spans="3:15" x14ac:dyDescent="0.35">
      <c r="C35" t="s">
        <v>14</v>
      </c>
      <c r="D35">
        <v>53051501</v>
      </c>
      <c r="E35" t="s">
        <v>15</v>
      </c>
      <c r="F35" s="1">
        <v>3867500</v>
      </c>
      <c r="G35" t="s">
        <v>83</v>
      </c>
      <c r="H35" s="2">
        <v>45688</v>
      </c>
      <c r="I35" t="s">
        <v>84</v>
      </c>
      <c r="J35" t="s">
        <v>85</v>
      </c>
      <c r="K35" t="s">
        <v>44</v>
      </c>
      <c r="M35" t="s">
        <v>59</v>
      </c>
      <c r="O35">
        <f t="shared" si="0"/>
        <v>1</v>
      </c>
    </row>
    <row r="36" spans="3:15" x14ac:dyDescent="0.35">
      <c r="C36" t="s">
        <v>14</v>
      </c>
      <c r="D36">
        <v>53051501</v>
      </c>
      <c r="E36" t="s">
        <v>15</v>
      </c>
      <c r="F36" s="1">
        <v>514829.43</v>
      </c>
      <c r="G36" t="s">
        <v>86</v>
      </c>
      <c r="H36" s="2">
        <v>45688</v>
      </c>
      <c r="I36" t="s">
        <v>87</v>
      </c>
      <c r="J36" t="s">
        <v>87</v>
      </c>
      <c r="K36" t="s">
        <v>46</v>
      </c>
      <c r="M36" t="s">
        <v>59</v>
      </c>
      <c r="O36">
        <f t="shared" si="0"/>
        <v>1</v>
      </c>
    </row>
    <row r="37" spans="3:15" x14ac:dyDescent="0.35">
      <c r="C37" t="s">
        <v>14</v>
      </c>
      <c r="D37">
        <v>53051501</v>
      </c>
      <c r="E37" t="s">
        <v>15</v>
      </c>
      <c r="F37" s="1">
        <v>4280613</v>
      </c>
      <c r="G37" t="s">
        <v>88</v>
      </c>
      <c r="H37" s="2">
        <v>45688</v>
      </c>
      <c r="I37" t="s">
        <v>89</v>
      </c>
      <c r="J37" t="s">
        <v>89</v>
      </c>
      <c r="K37" t="s">
        <v>19</v>
      </c>
      <c r="M37" t="s">
        <v>59</v>
      </c>
      <c r="O37">
        <f t="shared" si="0"/>
        <v>1</v>
      </c>
    </row>
    <row r="38" spans="3:15" x14ac:dyDescent="0.35">
      <c r="C38" t="s">
        <v>14</v>
      </c>
      <c r="D38">
        <v>53051501</v>
      </c>
      <c r="E38" t="s">
        <v>15</v>
      </c>
      <c r="F38" s="1">
        <v>4700320.55</v>
      </c>
      <c r="G38" t="s">
        <v>90</v>
      </c>
      <c r="H38" s="2">
        <v>45688</v>
      </c>
      <c r="I38" t="s">
        <v>91</v>
      </c>
      <c r="J38" t="s">
        <v>91</v>
      </c>
      <c r="K38" t="s">
        <v>29</v>
      </c>
      <c r="M38" t="s">
        <v>59</v>
      </c>
      <c r="O38">
        <f t="shared" si="0"/>
        <v>1</v>
      </c>
    </row>
    <row r="39" spans="3:15" x14ac:dyDescent="0.35">
      <c r="C39" t="s">
        <v>14</v>
      </c>
      <c r="D39">
        <v>53051501</v>
      </c>
      <c r="E39" t="s">
        <v>15</v>
      </c>
      <c r="F39" s="1">
        <v>2650</v>
      </c>
      <c r="G39" t="s">
        <v>92</v>
      </c>
      <c r="H39" s="2">
        <v>45674</v>
      </c>
      <c r="I39" t="s">
        <v>93</v>
      </c>
      <c r="J39" t="s">
        <v>93</v>
      </c>
      <c r="K39" t="s">
        <v>25</v>
      </c>
      <c r="M39" t="s">
        <v>59</v>
      </c>
      <c r="O39">
        <f t="shared" si="0"/>
        <v>1</v>
      </c>
    </row>
    <row r="40" spans="3:15" x14ac:dyDescent="0.35">
      <c r="C40" t="s">
        <v>14</v>
      </c>
      <c r="D40">
        <v>53051501</v>
      </c>
      <c r="E40" t="s">
        <v>15</v>
      </c>
      <c r="F40" s="1">
        <v>9801719</v>
      </c>
      <c r="G40" t="s">
        <v>94</v>
      </c>
      <c r="H40" s="2">
        <v>45688</v>
      </c>
      <c r="I40" t="s">
        <v>95</v>
      </c>
      <c r="J40" t="s">
        <v>95</v>
      </c>
      <c r="K40" t="s">
        <v>35</v>
      </c>
      <c r="M40" t="s">
        <v>59</v>
      </c>
      <c r="O40">
        <f t="shared" si="0"/>
        <v>1</v>
      </c>
    </row>
    <row r="41" spans="3:15" x14ac:dyDescent="0.35">
      <c r="C41" t="s">
        <v>14</v>
      </c>
      <c r="D41">
        <v>53051501</v>
      </c>
      <c r="E41" t="s">
        <v>15</v>
      </c>
      <c r="F41" s="1">
        <v>22436</v>
      </c>
      <c r="G41" t="s">
        <v>96</v>
      </c>
      <c r="H41" s="2">
        <v>45688</v>
      </c>
      <c r="I41" t="s">
        <v>97</v>
      </c>
      <c r="J41" t="s">
        <v>97</v>
      </c>
      <c r="K41" t="s">
        <v>19</v>
      </c>
      <c r="M41" t="s">
        <v>59</v>
      </c>
      <c r="O41">
        <f t="shared" si="0"/>
        <v>1</v>
      </c>
    </row>
    <row r="42" spans="3:15" x14ac:dyDescent="0.35">
      <c r="C42" t="s">
        <v>14</v>
      </c>
      <c r="D42">
        <v>53051501</v>
      </c>
      <c r="E42" t="s">
        <v>15</v>
      </c>
      <c r="F42" s="1">
        <v>11004</v>
      </c>
      <c r="G42" t="s">
        <v>98</v>
      </c>
      <c r="H42" s="2">
        <v>45695</v>
      </c>
      <c r="I42" t="s">
        <v>99</v>
      </c>
      <c r="J42" t="s">
        <v>99</v>
      </c>
      <c r="K42" t="s">
        <v>78</v>
      </c>
      <c r="M42" t="s">
        <v>59</v>
      </c>
      <c r="O42">
        <f t="shared" si="0"/>
        <v>2</v>
      </c>
    </row>
    <row r="43" spans="3:15" x14ac:dyDescent="0.35">
      <c r="C43" t="s">
        <v>14</v>
      </c>
      <c r="D43">
        <v>53051501</v>
      </c>
      <c r="E43" t="s">
        <v>15</v>
      </c>
      <c r="F43" s="1">
        <v>9600</v>
      </c>
      <c r="G43" t="s">
        <v>100</v>
      </c>
      <c r="H43" s="2">
        <v>45702</v>
      </c>
      <c r="I43" t="s">
        <v>101</v>
      </c>
      <c r="J43" t="s">
        <v>101</v>
      </c>
      <c r="K43" t="s">
        <v>78</v>
      </c>
      <c r="M43" t="s">
        <v>59</v>
      </c>
      <c r="O43">
        <f t="shared" si="0"/>
        <v>2</v>
      </c>
    </row>
    <row r="44" spans="3:15" x14ac:dyDescent="0.35">
      <c r="C44" t="s">
        <v>14</v>
      </c>
      <c r="D44">
        <v>53051501</v>
      </c>
      <c r="E44" t="s">
        <v>15</v>
      </c>
      <c r="F44" s="1">
        <v>1792877.05</v>
      </c>
      <c r="G44" t="s">
        <v>102</v>
      </c>
      <c r="H44" s="2">
        <v>45713</v>
      </c>
      <c r="I44" t="s">
        <v>103</v>
      </c>
      <c r="J44" t="s">
        <v>103</v>
      </c>
      <c r="K44" t="s">
        <v>40</v>
      </c>
      <c r="M44" t="s">
        <v>59</v>
      </c>
      <c r="O44">
        <f t="shared" si="0"/>
        <v>2</v>
      </c>
    </row>
    <row r="45" spans="3:15" x14ac:dyDescent="0.35">
      <c r="C45" t="s">
        <v>14</v>
      </c>
      <c r="D45">
        <v>53051501</v>
      </c>
      <c r="E45" t="s">
        <v>15</v>
      </c>
      <c r="F45" s="1">
        <v>9251104.7599999998</v>
      </c>
      <c r="G45" t="s">
        <v>104</v>
      </c>
      <c r="H45" s="2">
        <v>45715</v>
      </c>
      <c r="I45" t="s">
        <v>105</v>
      </c>
      <c r="J45" t="s">
        <v>105</v>
      </c>
      <c r="K45" t="s">
        <v>40</v>
      </c>
      <c r="M45" t="s">
        <v>59</v>
      </c>
      <c r="O45">
        <f t="shared" si="0"/>
        <v>2</v>
      </c>
    </row>
    <row r="46" spans="3:15" x14ac:dyDescent="0.35">
      <c r="C46" t="s">
        <v>14</v>
      </c>
      <c r="D46">
        <v>53051501</v>
      </c>
      <c r="E46" t="s">
        <v>15</v>
      </c>
      <c r="F46" s="1">
        <v>16300</v>
      </c>
      <c r="G46" t="s">
        <v>106</v>
      </c>
      <c r="H46" s="2">
        <v>45716</v>
      </c>
      <c r="I46" t="s">
        <v>107</v>
      </c>
      <c r="J46" t="s">
        <v>107</v>
      </c>
      <c r="K46" t="s">
        <v>19</v>
      </c>
      <c r="M46" t="s">
        <v>59</v>
      </c>
      <c r="O46">
        <f t="shared" si="0"/>
        <v>2</v>
      </c>
    </row>
    <row r="47" spans="3:15" x14ac:dyDescent="0.35">
      <c r="C47" t="s">
        <v>14</v>
      </c>
      <c r="D47">
        <v>53051501</v>
      </c>
      <c r="E47" t="s">
        <v>15</v>
      </c>
      <c r="F47" s="1">
        <v>1162707.26</v>
      </c>
      <c r="G47" t="s">
        <v>108</v>
      </c>
      <c r="H47" s="2">
        <v>45715</v>
      </c>
      <c r="I47" t="s">
        <v>109</v>
      </c>
      <c r="J47" t="s">
        <v>109</v>
      </c>
      <c r="K47" t="s">
        <v>40</v>
      </c>
      <c r="M47" t="s">
        <v>59</v>
      </c>
      <c r="O47">
        <f t="shared" si="0"/>
        <v>2</v>
      </c>
    </row>
    <row r="48" spans="3:15" x14ac:dyDescent="0.35">
      <c r="C48" t="s">
        <v>14</v>
      </c>
      <c r="D48">
        <v>53051501</v>
      </c>
      <c r="E48" t="s">
        <v>15</v>
      </c>
      <c r="F48" s="1">
        <v>284369.99</v>
      </c>
      <c r="G48" t="s">
        <v>110</v>
      </c>
      <c r="H48" s="2">
        <v>45716</v>
      </c>
      <c r="I48" t="s">
        <v>111</v>
      </c>
      <c r="J48" t="s">
        <v>111</v>
      </c>
      <c r="K48" t="s">
        <v>46</v>
      </c>
      <c r="M48" t="s">
        <v>59</v>
      </c>
      <c r="O48">
        <f t="shared" si="0"/>
        <v>2</v>
      </c>
    </row>
    <row r="49" spans="3:15" x14ac:dyDescent="0.35">
      <c r="C49" t="s">
        <v>14</v>
      </c>
      <c r="D49">
        <v>53051501</v>
      </c>
      <c r="E49" t="s">
        <v>15</v>
      </c>
      <c r="F49" s="1">
        <v>4199416.6399999997</v>
      </c>
      <c r="G49" t="s">
        <v>112</v>
      </c>
      <c r="H49" s="2">
        <v>45716</v>
      </c>
      <c r="I49" t="s">
        <v>113</v>
      </c>
      <c r="J49" t="s">
        <v>113</v>
      </c>
      <c r="K49" t="s">
        <v>29</v>
      </c>
      <c r="M49" t="s">
        <v>59</v>
      </c>
      <c r="O49">
        <f t="shared" si="0"/>
        <v>2</v>
      </c>
    </row>
    <row r="50" spans="3:15" x14ac:dyDescent="0.35">
      <c r="C50" t="s">
        <v>14</v>
      </c>
      <c r="D50">
        <v>53051501</v>
      </c>
      <c r="E50" t="s">
        <v>15</v>
      </c>
      <c r="F50" s="1">
        <v>1604625</v>
      </c>
      <c r="G50" t="s">
        <v>114</v>
      </c>
      <c r="H50" s="2">
        <v>45716</v>
      </c>
      <c r="I50" t="s">
        <v>115</v>
      </c>
      <c r="J50" t="s">
        <v>116</v>
      </c>
      <c r="K50" t="s">
        <v>19</v>
      </c>
      <c r="M50" t="s">
        <v>59</v>
      </c>
      <c r="O50">
        <f t="shared" si="0"/>
        <v>2</v>
      </c>
    </row>
    <row r="51" spans="3:15" x14ac:dyDescent="0.35">
      <c r="C51" t="s">
        <v>14</v>
      </c>
      <c r="D51">
        <v>53051501</v>
      </c>
      <c r="E51" t="s">
        <v>15</v>
      </c>
      <c r="F51" s="1">
        <v>54140</v>
      </c>
      <c r="G51" t="s">
        <v>117</v>
      </c>
      <c r="H51" s="2">
        <v>45716</v>
      </c>
      <c r="I51" t="s">
        <v>118</v>
      </c>
      <c r="J51" t="s">
        <v>118</v>
      </c>
      <c r="K51" t="s">
        <v>19</v>
      </c>
      <c r="M51" t="s">
        <v>59</v>
      </c>
      <c r="O51">
        <f t="shared" si="0"/>
        <v>2</v>
      </c>
    </row>
    <row r="52" spans="3:15" x14ac:dyDescent="0.35">
      <c r="C52" t="s">
        <v>14</v>
      </c>
      <c r="D52">
        <v>53051501</v>
      </c>
      <c r="E52" t="s">
        <v>15</v>
      </c>
      <c r="F52" s="1">
        <v>8162148</v>
      </c>
      <c r="G52" t="s">
        <v>119</v>
      </c>
      <c r="H52" s="2">
        <v>45716</v>
      </c>
      <c r="I52" t="s">
        <v>120</v>
      </c>
      <c r="J52" t="s">
        <v>120</v>
      </c>
      <c r="K52" t="s">
        <v>35</v>
      </c>
      <c r="M52" t="s">
        <v>59</v>
      </c>
      <c r="O52">
        <f t="shared" si="0"/>
        <v>2</v>
      </c>
    </row>
    <row r="53" spans="3:15" x14ac:dyDescent="0.35">
      <c r="C53" t="s">
        <v>14</v>
      </c>
      <c r="D53">
        <v>53051501</v>
      </c>
      <c r="E53" t="s">
        <v>15</v>
      </c>
      <c r="F53" s="1">
        <v>12052</v>
      </c>
      <c r="G53" t="s">
        <v>121</v>
      </c>
      <c r="H53" s="2">
        <v>45722</v>
      </c>
      <c r="I53" t="s">
        <v>122</v>
      </c>
      <c r="J53" t="s">
        <v>122</v>
      </c>
      <c r="K53" t="s">
        <v>37</v>
      </c>
      <c r="M53" t="s">
        <v>59</v>
      </c>
      <c r="O53">
        <f t="shared" si="0"/>
        <v>3</v>
      </c>
    </row>
    <row r="54" spans="3:15" x14ac:dyDescent="0.35">
      <c r="C54" t="s">
        <v>14</v>
      </c>
      <c r="D54">
        <v>53051501</v>
      </c>
      <c r="E54" t="s">
        <v>15</v>
      </c>
      <c r="F54" s="1">
        <v>1809003.04</v>
      </c>
      <c r="G54" t="s">
        <v>123</v>
      </c>
      <c r="H54" s="2">
        <v>45737</v>
      </c>
      <c r="I54" t="s">
        <v>124</v>
      </c>
      <c r="J54" t="s">
        <v>124</v>
      </c>
      <c r="K54" t="s">
        <v>40</v>
      </c>
      <c r="M54" t="s">
        <v>59</v>
      </c>
      <c r="O54">
        <f t="shared" si="0"/>
        <v>3</v>
      </c>
    </row>
    <row r="55" spans="3:15" x14ac:dyDescent="0.35">
      <c r="C55" t="s">
        <v>14</v>
      </c>
      <c r="D55">
        <v>53051501</v>
      </c>
      <c r="E55" t="s">
        <v>15</v>
      </c>
      <c r="F55" s="1">
        <v>1755101</v>
      </c>
      <c r="G55" t="s">
        <v>125</v>
      </c>
      <c r="H55" s="2">
        <v>45742</v>
      </c>
      <c r="I55" t="s">
        <v>126</v>
      </c>
      <c r="J55" t="s">
        <v>126</v>
      </c>
      <c r="K55" t="s">
        <v>127</v>
      </c>
      <c r="M55" t="s">
        <v>59</v>
      </c>
      <c r="O55">
        <f t="shared" si="0"/>
        <v>3</v>
      </c>
    </row>
    <row r="56" spans="3:15" x14ac:dyDescent="0.35">
      <c r="C56" t="s">
        <v>14</v>
      </c>
      <c r="D56">
        <v>53051501</v>
      </c>
      <c r="E56" t="s">
        <v>15</v>
      </c>
      <c r="F56" s="1">
        <v>475395.51</v>
      </c>
      <c r="G56" t="s">
        <v>128</v>
      </c>
      <c r="H56" s="2">
        <v>45747</v>
      </c>
      <c r="I56" t="s">
        <v>129</v>
      </c>
      <c r="J56" t="s">
        <v>129</v>
      </c>
      <c r="K56" t="s">
        <v>46</v>
      </c>
      <c r="M56" t="s">
        <v>59</v>
      </c>
      <c r="O56">
        <f t="shared" si="0"/>
        <v>3</v>
      </c>
    </row>
    <row r="57" spans="3:15" x14ac:dyDescent="0.35">
      <c r="C57" t="s">
        <v>14</v>
      </c>
      <c r="D57">
        <v>53051501</v>
      </c>
      <c r="E57" t="s">
        <v>15</v>
      </c>
      <c r="F57" s="1">
        <v>8069844</v>
      </c>
      <c r="G57" t="s">
        <v>130</v>
      </c>
      <c r="H57" s="2">
        <v>45747</v>
      </c>
      <c r="I57" t="s">
        <v>131</v>
      </c>
      <c r="J57" t="s">
        <v>131</v>
      </c>
      <c r="K57" t="s">
        <v>35</v>
      </c>
      <c r="M57" t="s">
        <v>59</v>
      </c>
      <c r="O57">
        <f t="shared" si="0"/>
        <v>3</v>
      </c>
    </row>
    <row r="58" spans="3:15" x14ac:dyDescent="0.35">
      <c r="C58" t="s">
        <v>14</v>
      </c>
      <c r="D58">
        <v>53051501</v>
      </c>
      <c r="E58" t="s">
        <v>15</v>
      </c>
      <c r="F58" s="1">
        <v>73668</v>
      </c>
      <c r="G58" t="s">
        <v>132</v>
      </c>
      <c r="H58" s="2">
        <v>45747</v>
      </c>
      <c r="I58" t="s">
        <v>133</v>
      </c>
      <c r="J58" t="s">
        <v>133</v>
      </c>
      <c r="K58" t="s">
        <v>19</v>
      </c>
      <c r="M58" t="s">
        <v>59</v>
      </c>
      <c r="O58">
        <f t="shared" si="0"/>
        <v>3</v>
      </c>
    </row>
    <row r="59" spans="3:15" x14ac:dyDescent="0.35">
      <c r="C59" t="s">
        <v>14</v>
      </c>
      <c r="D59">
        <v>53051501</v>
      </c>
      <c r="E59" t="s">
        <v>15</v>
      </c>
      <c r="F59" s="1">
        <v>1575534</v>
      </c>
      <c r="G59" t="s">
        <v>134</v>
      </c>
      <c r="H59" s="2">
        <v>45747</v>
      </c>
      <c r="I59" t="s">
        <v>135</v>
      </c>
      <c r="J59" t="s">
        <v>135</v>
      </c>
      <c r="K59" t="s">
        <v>19</v>
      </c>
      <c r="M59" t="s">
        <v>59</v>
      </c>
      <c r="O59">
        <f t="shared" si="0"/>
        <v>3</v>
      </c>
    </row>
    <row r="60" spans="3:15" x14ac:dyDescent="0.35">
      <c r="C60" t="s">
        <v>14</v>
      </c>
      <c r="D60">
        <v>53051501</v>
      </c>
      <c r="E60" t="s">
        <v>15</v>
      </c>
      <c r="F60" s="1">
        <v>846982.5</v>
      </c>
      <c r="G60" t="s">
        <v>136</v>
      </c>
      <c r="H60" s="2">
        <v>45743</v>
      </c>
      <c r="I60" t="s">
        <v>137</v>
      </c>
      <c r="J60" t="s">
        <v>137</v>
      </c>
      <c r="K60" t="s">
        <v>138</v>
      </c>
      <c r="M60" t="s">
        <v>59</v>
      </c>
      <c r="O60">
        <f t="shared" si="0"/>
        <v>3</v>
      </c>
    </row>
    <row r="61" spans="3:15" x14ac:dyDescent="0.35">
      <c r="C61" t="s">
        <v>14</v>
      </c>
      <c r="D61">
        <v>53051501</v>
      </c>
      <c r="E61" t="s">
        <v>15</v>
      </c>
      <c r="F61" s="1">
        <v>14754923.09</v>
      </c>
      <c r="G61" t="s">
        <v>139</v>
      </c>
      <c r="H61" s="2">
        <v>45744</v>
      </c>
      <c r="I61" t="s">
        <v>140</v>
      </c>
      <c r="J61" t="s">
        <v>140</v>
      </c>
      <c r="K61" t="s">
        <v>40</v>
      </c>
      <c r="M61" t="s">
        <v>59</v>
      </c>
      <c r="O61">
        <f t="shared" si="0"/>
        <v>3</v>
      </c>
    </row>
    <row r="62" spans="3:15" x14ac:dyDescent="0.35">
      <c r="C62" t="s">
        <v>14</v>
      </c>
      <c r="D62">
        <v>53051501</v>
      </c>
      <c r="E62" t="s">
        <v>15</v>
      </c>
      <c r="F62" s="1">
        <v>12271969.91</v>
      </c>
      <c r="G62" t="s">
        <v>141</v>
      </c>
      <c r="H62" s="2">
        <v>45737</v>
      </c>
      <c r="I62" t="s">
        <v>142</v>
      </c>
      <c r="J62" t="s">
        <v>143</v>
      </c>
      <c r="K62" t="s">
        <v>40</v>
      </c>
      <c r="M62" t="s">
        <v>59</v>
      </c>
      <c r="O62">
        <f t="shared" si="0"/>
        <v>3</v>
      </c>
    </row>
    <row r="63" spans="3:15" x14ac:dyDescent="0.35">
      <c r="C63" t="s">
        <v>14</v>
      </c>
      <c r="D63">
        <v>53051501</v>
      </c>
      <c r="E63" t="s">
        <v>15</v>
      </c>
      <c r="F63" s="1">
        <v>15900</v>
      </c>
      <c r="G63" t="s">
        <v>144</v>
      </c>
      <c r="H63" s="2">
        <v>45747</v>
      </c>
      <c r="I63" t="s">
        <v>145</v>
      </c>
      <c r="J63" t="s">
        <v>145</v>
      </c>
      <c r="K63" t="s">
        <v>25</v>
      </c>
      <c r="M63" t="s">
        <v>59</v>
      </c>
      <c r="O63">
        <f t="shared" si="0"/>
        <v>3</v>
      </c>
    </row>
    <row r="64" spans="3:15" x14ac:dyDescent="0.35">
      <c r="C64" t="s">
        <v>14</v>
      </c>
      <c r="D64">
        <v>53051501</v>
      </c>
      <c r="E64" t="s">
        <v>15</v>
      </c>
      <c r="F64" s="1">
        <v>0.5</v>
      </c>
      <c r="G64" t="s">
        <v>146</v>
      </c>
      <c r="H64" s="2">
        <v>45747</v>
      </c>
      <c r="I64" t="s">
        <v>147</v>
      </c>
      <c r="J64" t="s">
        <v>147</v>
      </c>
      <c r="K64" t="s">
        <v>44</v>
      </c>
      <c r="M64" t="s">
        <v>59</v>
      </c>
      <c r="O64">
        <f t="shared" si="0"/>
        <v>3</v>
      </c>
    </row>
    <row r="65" spans="3:15" x14ac:dyDescent="0.35">
      <c r="C65" t="s">
        <v>14</v>
      </c>
      <c r="D65">
        <v>53051501</v>
      </c>
      <c r="E65" t="s">
        <v>15</v>
      </c>
      <c r="F65" s="1">
        <v>-125906.09</v>
      </c>
      <c r="G65" t="s">
        <v>148</v>
      </c>
      <c r="H65" s="2">
        <v>45686</v>
      </c>
      <c r="I65" t="s">
        <v>27</v>
      </c>
      <c r="J65" t="s">
        <v>149</v>
      </c>
      <c r="K65" t="s">
        <v>29</v>
      </c>
      <c r="M65" t="s">
        <v>59</v>
      </c>
      <c r="O65">
        <f t="shared" si="0"/>
        <v>1</v>
      </c>
    </row>
    <row r="66" spans="3:15" x14ac:dyDescent="0.35">
      <c r="C66" t="s">
        <v>14</v>
      </c>
      <c r="D66">
        <v>53051501</v>
      </c>
      <c r="E66" t="s">
        <v>15</v>
      </c>
      <c r="F66" s="1">
        <v>-16560</v>
      </c>
      <c r="G66" t="s">
        <v>148</v>
      </c>
      <c r="H66" s="2">
        <v>45686</v>
      </c>
      <c r="I66" t="s">
        <v>30</v>
      </c>
      <c r="J66" t="s">
        <v>149</v>
      </c>
      <c r="K66" t="s">
        <v>29</v>
      </c>
      <c r="M66" t="s">
        <v>59</v>
      </c>
      <c r="O66">
        <f t="shared" si="0"/>
        <v>1</v>
      </c>
    </row>
    <row r="67" spans="3:15" x14ac:dyDescent="0.35">
      <c r="C67" t="s">
        <v>14</v>
      </c>
      <c r="D67">
        <v>53051501</v>
      </c>
      <c r="E67" t="s">
        <v>15</v>
      </c>
      <c r="F67" s="1">
        <v>-38140</v>
      </c>
      <c r="G67" t="s">
        <v>148</v>
      </c>
      <c r="H67" s="2">
        <v>45686</v>
      </c>
      <c r="I67" t="s">
        <v>17</v>
      </c>
      <c r="J67" t="s">
        <v>149</v>
      </c>
      <c r="K67" t="s">
        <v>19</v>
      </c>
      <c r="M67" t="s">
        <v>59</v>
      </c>
      <c r="O67">
        <f t="shared" si="0"/>
        <v>1</v>
      </c>
    </row>
    <row r="68" spans="3:15" x14ac:dyDescent="0.35">
      <c r="C68" t="s">
        <v>14</v>
      </c>
      <c r="D68">
        <v>53051501</v>
      </c>
      <c r="E68" t="s">
        <v>15</v>
      </c>
      <c r="F68" s="1">
        <v>-78520</v>
      </c>
      <c r="G68" t="s">
        <v>148</v>
      </c>
      <c r="H68" s="2">
        <v>45686</v>
      </c>
      <c r="I68" t="s">
        <v>21</v>
      </c>
      <c r="J68" t="s">
        <v>149</v>
      </c>
      <c r="K68" t="s">
        <v>19</v>
      </c>
      <c r="M68" t="s">
        <v>59</v>
      </c>
      <c r="O68">
        <f t="shared" ref="O68:O128" si="1">+MONTH(H68)</f>
        <v>1</v>
      </c>
    </row>
    <row r="69" spans="3:15" x14ac:dyDescent="0.35">
      <c r="C69" t="s">
        <v>14</v>
      </c>
      <c r="D69">
        <v>53051501</v>
      </c>
      <c r="E69" t="s">
        <v>15</v>
      </c>
      <c r="F69" s="1">
        <v>-2500</v>
      </c>
      <c r="G69" t="s">
        <v>148</v>
      </c>
      <c r="H69" s="2">
        <v>45686</v>
      </c>
      <c r="I69" t="s">
        <v>23</v>
      </c>
      <c r="J69" t="s">
        <v>149</v>
      </c>
      <c r="K69" t="s">
        <v>25</v>
      </c>
      <c r="M69" t="s">
        <v>59</v>
      </c>
      <c r="O69">
        <f t="shared" si="1"/>
        <v>1</v>
      </c>
    </row>
    <row r="70" spans="3:15" x14ac:dyDescent="0.35">
      <c r="C70" t="s">
        <v>14</v>
      </c>
      <c r="D70">
        <v>53051501</v>
      </c>
      <c r="E70" t="s">
        <v>15</v>
      </c>
      <c r="F70" s="1">
        <v>3529</v>
      </c>
      <c r="G70" t="s">
        <v>150</v>
      </c>
      <c r="H70" s="2">
        <v>45692</v>
      </c>
      <c r="I70" t="s">
        <v>151</v>
      </c>
      <c r="J70" t="s">
        <v>151</v>
      </c>
      <c r="K70" t="s">
        <v>29</v>
      </c>
      <c r="M70" t="s">
        <v>59</v>
      </c>
      <c r="O70">
        <f t="shared" si="1"/>
        <v>2</v>
      </c>
    </row>
    <row r="71" spans="3:15" x14ac:dyDescent="0.35">
      <c r="C71" t="s">
        <v>14</v>
      </c>
      <c r="D71">
        <v>53051501</v>
      </c>
      <c r="E71" t="s">
        <v>15</v>
      </c>
      <c r="F71" s="1">
        <v>3529</v>
      </c>
      <c r="G71" t="s">
        <v>152</v>
      </c>
      <c r="H71" s="2">
        <v>45692</v>
      </c>
      <c r="I71" t="s">
        <v>151</v>
      </c>
      <c r="J71" t="s">
        <v>153</v>
      </c>
      <c r="K71" t="s">
        <v>29</v>
      </c>
      <c r="M71" t="s">
        <v>59</v>
      </c>
      <c r="O71">
        <f t="shared" si="1"/>
        <v>2</v>
      </c>
    </row>
    <row r="72" spans="3:15" x14ac:dyDescent="0.35">
      <c r="C72" t="s">
        <v>14</v>
      </c>
      <c r="D72">
        <v>53051501</v>
      </c>
      <c r="E72" t="s">
        <v>15</v>
      </c>
      <c r="F72" s="1">
        <v>3529</v>
      </c>
      <c r="G72" t="s">
        <v>154</v>
      </c>
      <c r="H72" s="2">
        <v>45692</v>
      </c>
      <c r="I72" t="s">
        <v>151</v>
      </c>
      <c r="J72" t="s">
        <v>155</v>
      </c>
      <c r="K72" t="s">
        <v>29</v>
      </c>
      <c r="M72" t="s">
        <v>59</v>
      </c>
      <c r="O72">
        <f t="shared" si="1"/>
        <v>2</v>
      </c>
    </row>
    <row r="73" spans="3:15" x14ac:dyDescent="0.35">
      <c r="C73" t="s">
        <v>14</v>
      </c>
      <c r="D73">
        <v>53051501</v>
      </c>
      <c r="E73" t="s">
        <v>15</v>
      </c>
      <c r="F73" s="1">
        <v>7087724.7999999998</v>
      </c>
      <c r="G73" t="s">
        <v>156</v>
      </c>
      <c r="H73" s="2">
        <v>45688</v>
      </c>
      <c r="I73" t="s">
        <v>157</v>
      </c>
      <c r="J73" t="s">
        <v>158</v>
      </c>
      <c r="K73" t="s">
        <v>40</v>
      </c>
      <c r="M73" t="s">
        <v>59</v>
      </c>
      <c r="O73">
        <f t="shared" si="1"/>
        <v>1</v>
      </c>
    </row>
    <row r="74" spans="3:15" x14ac:dyDescent="0.35">
      <c r="C74" t="s">
        <v>14</v>
      </c>
      <c r="D74">
        <v>53051501</v>
      </c>
      <c r="E74" t="s">
        <v>15</v>
      </c>
      <c r="F74" s="1">
        <v>36839957.280000001</v>
      </c>
      <c r="G74" t="s">
        <v>156</v>
      </c>
      <c r="H74" s="2">
        <v>45688</v>
      </c>
      <c r="I74" t="s">
        <v>159</v>
      </c>
      <c r="J74" t="s">
        <v>158</v>
      </c>
      <c r="K74" t="s">
        <v>40</v>
      </c>
      <c r="M74" t="s">
        <v>59</v>
      </c>
      <c r="O74">
        <f t="shared" si="1"/>
        <v>1</v>
      </c>
    </row>
    <row r="75" spans="3:15" x14ac:dyDescent="0.35">
      <c r="C75" t="s">
        <v>14</v>
      </c>
      <c r="D75">
        <v>53051501</v>
      </c>
      <c r="E75" t="s">
        <v>15</v>
      </c>
      <c r="F75" s="1">
        <v>-2190</v>
      </c>
      <c r="G75" t="s">
        <v>160</v>
      </c>
      <c r="H75" s="2">
        <v>45707</v>
      </c>
      <c r="I75" t="s">
        <v>161</v>
      </c>
      <c r="J75" t="s">
        <v>161</v>
      </c>
      <c r="K75" t="s">
        <v>37</v>
      </c>
      <c r="M75" t="s">
        <v>59</v>
      </c>
      <c r="O75">
        <f t="shared" si="1"/>
        <v>2</v>
      </c>
    </row>
    <row r="76" spans="3:15" x14ac:dyDescent="0.35">
      <c r="C76" t="s">
        <v>14</v>
      </c>
      <c r="D76">
        <v>53051501</v>
      </c>
      <c r="E76" t="s">
        <v>15</v>
      </c>
      <c r="F76" s="1">
        <v>-4303049</v>
      </c>
      <c r="G76" t="s">
        <v>160</v>
      </c>
      <c r="H76" s="2">
        <v>45707</v>
      </c>
      <c r="I76" t="s">
        <v>161</v>
      </c>
      <c r="J76" t="s">
        <v>161</v>
      </c>
      <c r="K76" t="s">
        <v>19</v>
      </c>
      <c r="M76" t="s">
        <v>59</v>
      </c>
      <c r="O76">
        <f t="shared" si="1"/>
        <v>2</v>
      </c>
    </row>
    <row r="77" spans="3:15" x14ac:dyDescent="0.35">
      <c r="C77" t="s">
        <v>14</v>
      </c>
      <c r="D77">
        <v>53051501</v>
      </c>
      <c r="E77" t="s">
        <v>15</v>
      </c>
      <c r="F77" s="1">
        <v>-2650</v>
      </c>
      <c r="G77" t="s">
        <v>160</v>
      </c>
      <c r="H77" s="2">
        <v>45707</v>
      </c>
      <c r="I77" t="s">
        <v>161</v>
      </c>
      <c r="J77" t="s">
        <v>161</v>
      </c>
      <c r="K77" t="s">
        <v>25</v>
      </c>
      <c r="M77" t="s">
        <v>59</v>
      </c>
      <c r="O77">
        <f t="shared" si="1"/>
        <v>2</v>
      </c>
    </row>
    <row r="78" spans="3:15" x14ac:dyDescent="0.35">
      <c r="C78" t="s">
        <v>14</v>
      </c>
      <c r="D78">
        <v>53051501</v>
      </c>
      <c r="E78" t="s">
        <v>15</v>
      </c>
      <c r="F78" s="1">
        <v>-4739977.04</v>
      </c>
      <c r="G78" t="s">
        <v>160</v>
      </c>
      <c r="H78" s="2">
        <v>45707</v>
      </c>
      <c r="I78" t="s">
        <v>161</v>
      </c>
      <c r="J78" t="s">
        <v>161</v>
      </c>
      <c r="K78" t="s">
        <v>29</v>
      </c>
      <c r="M78" t="s">
        <v>59</v>
      </c>
      <c r="O78">
        <f t="shared" si="1"/>
        <v>2</v>
      </c>
    </row>
    <row r="79" spans="3:15" x14ac:dyDescent="0.35">
      <c r="C79" t="s">
        <v>14</v>
      </c>
      <c r="D79">
        <v>53051501</v>
      </c>
      <c r="E79" t="s">
        <v>15</v>
      </c>
      <c r="F79" s="1">
        <v>-514829.43</v>
      </c>
      <c r="G79" t="s">
        <v>160</v>
      </c>
      <c r="H79" s="2">
        <v>45707</v>
      </c>
      <c r="I79" t="s">
        <v>161</v>
      </c>
      <c r="J79" t="s">
        <v>161</v>
      </c>
      <c r="K79" t="s">
        <v>46</v>
      </c>
      <c r="M79" t="s">
        <v>59</v>
      </c>
      <c r="O79">
        <f t="shared" si="1"/>
        <v>2</v>
      </c>
    </row>
    <row r="80" spans="3:15" x14ac:dyDescent="0.35">
      <c r="C80" t="s">
        <v>14</v>
      </c>
      <c r="D80">
        <v>53051501</v>
      </c>
      <c r="E80" t="s">
        <v>15</v>
      </c>
      <c r="F80" s="1">
        <v>-43927682.079999998</v>
      </c>
      <c r="G80" t="s">
        <v>160</v>
      </c>
      <c r="H80" s="2">
        <v>45707</v>
      </c>
      <c r="I80" t="s">
        <v>161</v>
      </c>
      <c r="J80" t="s">
        <v>161</v>
      </c>
      <c r="K80" t="s">
        <v>40</v>
      </c>
      <c r="M80" t="s">
        <v>59</v>
      </c>
      <c r="O80">
        <f t="shared" si="1"/>
        <v>2</v>
      </c>
    </row>
    <row r="81" spans="3:15" x14ac:dyDescent="0.35">
      <c r="C81" t="s">
        <v>14</v>
      </c>
      <c r="D81">
        <v>53051501</v>
      </c>
      <c r="E81" t="s">
        <v>15</v>
      </c>
      <c r="F81" s="1">
        <v>-9801719</v>
      </c>
      <c r="G81" t="s">
        <v>160</v>
      </c>
      <c r="H81" s="2">
        <v>45707</v>
      </c>
      <c r="I81" t="s">
        <v>161</v>
      </c>
      <c r="J81" t="s">
        <v>161</v>
      </c>
      <c r="K81" t="s">
        <v>35</v>
      </c>
      <c r="M81" t="s">
        <v>59</v>
      </c>
      <c r="O81">
        <f t="shared" si="1"/>
        <v>2</v>
      </c>
    </row>
    <row r="82" spans="3:15" x14ac:dyDescent="0.35">
      <c r="C82" t="s">
        <v>14</v>
      </c>
      <c r="D82">
        <v>53051501</v>
      </c>
      <c r="E82" t="s">
        <v>15</v>
      </c>
      <c r="F82" s="1">
        <v>-7426250</v>
      </c>
      <c r="G82" t="s">
        <v>160</v>
      </c>
      <c r="H82" s="2">
        <v>45707</v>
      </c>
      <c r="I82" t="s">
        <v>161</v>
      </c>
      <c r="J82" t="s">
        <v>161</v>
      </c>
      <c r="K82" t="s">
        <v>44</v>
      </c>
      <c r="M82" t="s">
        <v>59</v>
      </c>
      <c r="O82">
        <f t="shared" si="1"/>
        <v>2</v>
      </c>
    </row>
    <row r="83" spans="3:15" x14ac:dyDescent="0.35">
      <c r="C83" t="s">
        <v>14</v>
      </c>
      <c r="D83">
        <v>53051501</v>
      </c>
      <c r="E83" t="s">
        <v>15</v>
      </c>
      <c r="F83" s="1">
        <v>-3558750</v>
      </c>
      <c r="G83" t="s">
        <v>160</v>
      </c>
      <c r="H83" s="2">
        <v>45707</v>
      </c>
      <c r="I83" t="s">
        <v>161</v>
      </c>
      <c r="J83" t="s">
        <v>161</v>
      </c>
      <c r="K83" t="s">
        <v>42</v>
      </c>
      <c r="M83" t="s">
        <v>59</v>
      </c>
      <c r="O83">
        <f t="shared" si="1"/>
        <v>2</v>
      </c>
    </row>
    <row r="84" spans="3:15" x14ac:dyDescent="0.35">
      <c r="C84" t="s">
        <v>14</v>
      </c>
      <c r="D84">
        <v>53051501</v>
      </c>
      <c r="E84" t="s">
        <v>15</v>
      </c>
      <c r="F84" s="1">
        <v>11424.49</v>
      </c>
      <c r="G84" t="s">
        <v>162</v>
      </c>
      <c r="H84" s="2">
        <v>45715</v>
      </c>
      <c r="I84" t="s">
        <v>163</v>
      </c>
      <c r="J84" t="s">
        <v>163</v>
      </c>
      <c r="K84" t="s">
        <v>37</v>
      </c>
      <c r="M84" t="s">
        <v>59</v>
      </c>
      <c r="O84">
        <f t="shared" si="1"/>
        <v>2</v>
      </c>
    </row>
    <row r="85" spans="3:15" x14ac:dyDescent="0.35">
      <c r="C85" t="s">
        <v>14</v>
      </c>
      <c r="D85">
        <v>53051501</v>
      </c>
      <c r="E85" t="s">
        <v>15</v>
      </c>
      <c r="F85" s="1">
        <v>-11424.49</v>
      </c>
      <c r="G85" t="s">
        <v>162</v>
      </c>
      <c r="H85" s="2">
        <v>45715</v>
      </c>
      <c r="I85" t="s">
        <v>163</v>
      </c>
      <c r="J85" t="s">
        <v>163</v>
      </c>
      <c r="K85" t="s">
        <v>29</v>
      </c>
      <c r="M85" t="s">
        <v>59</v>
      </c>
      <c r="O85">
        <f t="shared" si="1"/>
        <v>2</v>
      </c>
    </row>
    <row r="86" spans="3:15" x14ac:dyDescent="0.35">
      <c r="C86" t="s">
        <v>14</v>
      </c>
      <c r="D86">
        <v>53051501</v>
      </c>
      <c r="E86" t="s">
        <v>15</v>
      </c>
      <c r="F86" s="1">
        <v>239997.6</v>
      </c>
      <c r="G86" t="s">
        <v>164</v>
      </c>
      <c r="H86" s="2">
        <v>45715</v>
      </c>
      <c r="I86" t="s">
        <v>165</v>
      </c>
      <c r="J86" t="s">
        <v>166</v>
      </c>
      <c r="K86" t="s">
        <v>167</v>
      </c>
      <c r="M86" t="s">
        <v>59</v>
      </c>
      <c r="O86">
        <f t="shared" si="1"/>
        <v>2</v>
      </c>
    </row>
    <row r="87" spans="3:15" x14ac:dyDescent="0.35">
      <c r="C87" t="s">
        <v>14</v>
      </c>
      <c r="D87">
        <v>53051501</v>
      </c>
      <c r="E87" t="s">
        <v>15</v>
      </c>
      <c r="F87" s="1">
        <v>-639375</v>
      </c>
      <c r="G87" t="s">
        <v>168</v>
      </c>
      <c r="H87" s="2">
        <v>45716</v>
      </c>
      <c r="I87" t="s">
        <v>169</v>
      </c>
      <c r="J87" t="s">
        <v>169</v>
      </c>
      <c r="K87" t="s">
        <v>40</v>
      </c>
      <c r="M87" t="s">
        <v>59</v>
      </c>
      <c r="O87">
        <f t="shared" si="1"/>
        <v>2</v>
      </c>
    </row>
    <row r="88" spans="3:15" x14ac:dyDescent="0.35">
      <c r="C88" t="s">
        <v>14</v>
      </c>
      <c r="D88">
        <v>53051501</v>
      </c>
      <c r="E88" t="s">
        <v>15</v>
      </c>
      <c r="F88" s="1">
        <v>37562145.5</v>
      </c>
      <c r="G88" t="s">
        <v>170</v>
      </c>
      <c r="H88" s="2">
        <v>45716</v>
      </c>
      <c r="I88" t="s">
        <v>171</v>
      </c>
      <c r="J88" t="s">
        <v>171</v>
      </c>
      <c r="K88" t="s">
        <v>40</v>
      </c>
      <c r="M88" t="s">
        <v>59</v>
      </c>
      <c r="O88">
        <f t="shared" si="1"/>
        <v>2</v>
      </c>
    </row>
    <row r="89" spans="3:15" x14ac:dyDescent="0.35">
      <c r="C89" t="s">
        <v>14</v>
      </c>
      <c r="D89">
        <v>53051501</v>
      </c>
      <c r="E89" t="s">
        <v>15</v>
      </c>
      <c r="F89" s="1">
        <v>3496088</v>
      </c>
      <c r="G89" t="s">
        <v>170</v>
      </c>
      <c r="H89" s="2">
        <v>45716</v>
      </c>
      <c r="I89" t="s">
        <v>171</v>
      </c>
      <c r="J89" t="s">
        <v>171</v>
      </c>
      <c r="K89" t="s">
        <v>172</v>
      </c>
      <c r="M89" t="s">
        <v>59</v>
      </c>
      <c r="O89">
        <f t="shared" si="1"/>
        <v>2</v>
      </c>
    </row>
    <row r="90" spans="3:15" x14ac:dyDescent="0.35">
      <c r="C90" t="s">
        <v>14</v>
      </c>
      <c r="D90">
        <v>53051501</v>
      </c>
      <c r="E90" t="s">
        <v>15</v>
      </c>
      <c r="F90" s="1">
        <v>2230352.23</v>
      </c>
      <c r="G90" t="s">
        <v>173</v>
      </c>
      <c r="H90" s="2">
        <v>45716</v>
      </c>
      <c r="I90" t="s">
        <v>174</v>
      </c>
      <c r="J90" t="s">
        <v>174</v>
      </c>
      <c r="K90" t="s">
        <v>40</v>
      </c>
      <c r="M90" t="s">
        <v>59</v>
      </c>
      <c r="O90">
        <f t="shared" si="1"/>
        <v>2</v>
      </c>
    </row>
    <row r="91" spans="3:15" x14ac:dyDescent="0.35">
      <c r="C91" t="s">
        <v>14</v>
      </c>
      <c r="D91">
        <v>53051501</v>
      </c>
      <c r="E91" t="s">
        <v>15</v>
      </c>
      <c r="F91" s="1">
        <v>1069455.6299999999</v>
      </c>
      <c r="G91" t="s">
        <v>175</v>
      </c>
      <c r="H91" s="2">
        <v>45722</v>
      </c>
      <c r="I91" t="s">
        <v>176</v>
      </c>
      <c r="J91" t="s">
        <v>176</v>
      </c>
      <c r="K91" t="s">
        <v>40</v>
      </c>
      <c r="M91" t="s">
        <v>59</v>
      </c>
      <c r="O91">
        <f t="shared" si="1"/>
        <v>3</v>
      </c>
    </row>
    <row r="92" spans="3:15" x14ac:dyDescent="0.35">
      <c r="C92" t="s">
        <v>14</v>
      </c>
      <c r="D92">
        <v>53051501</v>
      </c>
      <c r="E92" t="s">
        <v>15</v>
      </c>
      <c r="F92" s="1">
        <v>59241903.100000001</v>
      </c>
      <c r="G92" t="s">
        <v>177</v>
      </c>
      <c r="H92" s="2">
        <v>45724</v>
      </c>
      <c r="I92" t="s">
        <v>178</v>
      </c>
      <c r="J92" t="s">
        <v>178</v>
      </c>
      <c r="K92" t="s">
        <v>40</v>
      </c>
      <c r="M92" t="s">
        <v>59</v>
      </c>
      <c r="O92">
        <f t="shared" si="1"/>
        <v>3</v>
      </c>
    </row>
    <row r="93" spans="3:15" x14ac:dyDescent="0.35">
      <c r="C93" t="s">
        <v>14</v>
      </c>
      <c r="D93">
        <v>53051501</v>
      </c>
      <c r="E93" t="s">
        <v>15</v>
      </c>
      <c r="F93" s="1">
        <v>153140</v>
      </c>
      <c r="G93" t="s">
        <v>179</v>
      </c>
      <c r="H93" s="2">
        <v>45737</v>
      </c>
      <c r="I93" t="s">
        <v>180</v>
      </c>
      <c r="J93" t="s">
        <v>181</v>
      </c>
      <c r="K93" t="s">
        <v>19</v>
      </c>
      <c r="M93" t="s">
        <v>59</v>
      </c>
      <c r="O93">
        <f t="shared" si="1"/>
        <v>3</v>
      </c>
    </row>
    <row r="94" spans="3:15" x14ac:dyDescent="0.35">
      <c r="C94" t="s">
        <v>14</v>
      </c>
      <c r="D94">
        <v>53051501</v>
      </c>
      <c r="E94" t="s">
        <v>15</v>
      </c>
      <c r="F94" s="1">
        <v>239997.6</v>
      </c>
      <c r="G94" t="s">
        <v>179</v>
      </c>
      <c r="H94" s="2">
        <v>45737</v>
      </c>
      <c r="I94" t="s">
        <v>182</v>
      </c>
      <c r="J94" t="s">
        <v>181</v>
      </c>
      <c r="K94" t="s">
        <v>167</v>
      </c>
      <c r="M94" t="s">
        <v>59</v>
      </c>
      <c r="O94">
        <f t="shared" si="1"/>
        <v>3</v>
      </c>
    </row>
    <row r="95" spans="3:15" x14ac:dyDescent="0.35">
      <c r="C95" t="s">
        <v>14</v>
      </c>
      <c r="D95">
        <v>53051501</v>
      </c>
      <c r="E95" t="s">
        <v>15</v>
      </c>
      <c r="F95" s="1">
        <v>9020.32</v>
      </c>
      <c r="G95" t="s">
        <v>179</v>
      </c>
      <c r="H95" s="2">
        <v>45737</v>
      </c>
      <c r="I95" t="s">
        <v>183</v>
      </c>
      <c r="J95" t="s">
        <v>181</v>
      </c>
      <c r="K95" t="s">
        <v>29</v>
      </c>
      <c r="M95" t="s">
        <v>59</v>
      </c>
      <c r="O95">
        <f t="shared" si="1"/>
        <v>3</v>
      </c>
    </row>
    <row r="96" spans="3:15" x14ac:dyDescent="0.35">
      <c r="C96" t="s">
        <v>14</v>
      </c>
      <c r="D96">
        <v>53051501</v>
      </c>
      <c r="E96" t="s">
        <v>15</v>
      </c>
      <c r="F96" s="1">
        <v>-32028.49</v>
      </c>
      <c r="G96" t="s">
        <v>184</v>
      </c>
      <c r="H96" s="2">
        <v>45737</v>
      </c>
      <c r="I96" t="s">
        <v>185</v>
      </c>
      <c r="J96" t="s">
        <v>185</v>
      </c>
      <c r="K96" t="s">
        <v>37</v>
      </c>
      <c r="M96" t="s">
        <v>59</v>
      </c>
      <c r="O96">
        <f t="shared" si="1"/>
        <v>3</v>
      </c>
    </row>
    <row r="97" spans="3:15" x14ac:dyDescent="0.35">
      <c r="C97" t="s">
        <v>14</v>
      </c>
      <c r="D97">
        <v>53051501</v>
      </c>
      <c r="E97" t="s">
        <v>15</v>
      </c>
      <c r="F97" s="1">
        <v>-1675065</v>
      </c>
      <c r="G97" t="s">
        <v>184</v>
      </c>
      <c r="H97" s="2">
        <v>45737</v>
      </c>
      <c r="I97" t="s">
        <v>185</v>
      </c>
      <c r="J97" t="s">
        <v>185</v>
      </c>
      <c r="K97" t="s">
        <v>19</v>
      </c>
      <c r="M97" t="s">
        <v>59</v>
      </c>
      <c r="O97">
        <f t="shared" si="1"/>
        <v>3</v>
      </c>
    </row>
    <row r="98" spans="3:15" x14ac:dyDescent="0.35">
      <c r="C98" t="s">
        <v>14</v>
      </c>
      <c r="D98">
        <v>53051501</v>
      </c>
      <c r="E98" t="s">
        <v>15</v>
      </c>
      <c r="F98" s="1">
        <v>-4209166.1500000004</v>
      </c>
      <c r="G98" t="s">
        <v>184</v>
      </c>
      <c r="H98" s="2">
        <v>45737</v>
      </c>
      <c r="I98" t="s">
        <v>185</v>
      </c>
      <c r="J98" t="s">
        <v>185</v>
      </c>
      <c r="K98" t="s">
        <v>29</v>
      </c>
      <c r="M98" t="s">
        <v>59</v>
      </c>
      <c r="O98">
        <f t="shared" si="1"/>
        <v>3</v>
      </c>
    </row>
    <row r="99" spans="3:15" x14ac:dyDescent="0.35">
      <c r="C99" t="s">
        <v>14</v>
      </c>
      <c r="D99">
        <v>53051501</v>
      </c>
      <c r="E99" t="s">
        <v>15</v>
      </c>
      <c r="F99" s="1">
        <v>-284369.99</v>
      </c>
      <c r="G99" t="s">
        <v>184</v>
      </c>
      <c r="H99" s="2">
        <v>45737</v>
      </c>
      <c r="I99" t="s">
        <v>185</v>
      </c>
      <c r="J99" t="s">
        <v>185</v>
      </c>
      <c r="K99" t="s">
        <v>46</v>
      </c>
      <c r="M99" t="s">
        <v>59</v>
      </c>
      <c r="O99">
        <f t="shared" si="1"/>
        <v>3</v>
      </c>
    </row>
    <row r="100" spans="3:15" x14ac:dyDescent="0.35">
      <c r="C100" t="s">
        <v>14</v>
      </c>
      <c r="D100">
        <v>53051501</v>
      </c>
      <c r="E100" t="s">
        <v>15</v>
      </c>
      <c r="F100" s="1">
        <v>-51359811.799999997</v>
      </c>
      <c r="G100" t="s">
        <v>184</v>
      </c>
      <c r="H100" s="2">
        <v>45737</v>
      </c>
      <c r="I100" t="s">
        <v>185</v>
      </c>
      <c r="J100" t="s">
        <v>185</v>
      </c>
      <c r="K100" t="s">
        <v>40</v>
      </c>
      <c r="M100" t="s">
        <v>59</v>
      </c>
      <c r="O100">
        <f t="shared" si="1"/>
        <v>3</v>
      </c>
    </row>
    <row r="101" spans="3:15" x14ac:dyDescent="0.35">
      <c r="C101" t="s">
        <v>14</v>
      </c>
      <c r="D101">
        <v>53051501</v>
      </c>
      <c r="E101" t="s">
        <v>15</v>
      </c>
      <c r="F101" s="1">
        <v>-8162148</v>
      </c>
      <c r="G101" t="s">
        <v>184</v>
      </c>
      <c r="H101" s="2">
        <v>45737</v>
      </c>
      <c r="I101" t="s">
        <v>185</v>
      </c>
      <c r="J101" t="s">
        <v>185</v>
      </c>
      <c r="K101" t="s">
        <v>35</v>
      </c>
      <c r="M101" t="s">
        <v>59</v>
      </c>
      <c r="O101">
        <f t="shared" si="1"/>
        <v>3</v>
      </c>
    </row>
    <row r="102" spans="3:15" x14ac:dyDescent="0.35">
      <c r="C102" t="s">
        <v>14</v>
      </c>
      <c r="D102">
        <v>53051501</v>
      </c>
      <c r="E102" t="s">
        <v>15</v>
      </c>
      <c r="F102" s="1">
        <v>-3558750</v>
      </c>
      <c r="G102" t="s">
        <v>184</v>
      </c>
      <c r="H102" s="2">
        <v>45737</v>
      </c>
      <c r="I102" t="s">
        <v>185</v>
      </c>
      <c r="J102" t="s">
        <v>185</v>
      </c>
      <c r="K102" t="s">
        <v>44</v>
      </c>
      <c r="M102" t="s">
        <v>59</v>
      </c>
      <c r="O102">
        <f t="shared" si="1"/>
        <v>3</v>
      </c>
    </row>
    <row r="103" spans="3:15" x14ac:dyDescent="0.35">
      <c r="C103" t="s">
        <v>14</v>
      </c>
      <c r="D103">
        <v>53051501</v>
      </c>
      <c r="E103" t="s">
        <v>15</v>
      </c>
      <c r="F103" s="1">
        <v>-3558750</v>
      </c>
      <c r="G103" t="s">
        <v>184</v>
      </c>
      <c r="H103" s="2">
        <v>45737</v>
      </c>
      <c r="I103" t="s">
        <v>185</v>
      </c>
      <c r="J103" t="s">
        <v>185</v>
      </c>
      <c r="K103" t="s">
        <v>42</v>
      </c>
      <c r="M103" t="s">
        <v>59</v>
      </c>
      <c r="O103">
        <f t="shared" si="1"/>
        <v>3</v>
      </c>
    </row>
    <row r="104" spans="3:15" x14ac:dyDescent="0.35">
      <c r="C104" t="s">
        <v>14</v>
      </c>
      <c r="D104">
        <v>53051501</v>
      </c>
      <c r="E104" t="s">
        <v>15</v>
      </c>
      <c r="F104" s="1">
        <v>16653281.57</v>
      </c>
      <c r="G104" t="s">
        <v>186</v>
      </c>
      <c r="H104" s="2">
        <v>45747</v>
      </c>
      <c r="I104" t="s">
        <v>187</v>
      </c>
      <c r="J104" t="s">
        <v>187</v>
      </c>
      <c r="K104" t="s">
        <v>40</v>
      </c>
      <c r="M104" t="s">
        <v>59</v>
      </c>
      <c r="O104">
        <f t="shared" si="1"/>
        <v>3</v>
      </c>
    </row>
    <row r="105" spans="3:15" x14ac:dyDescent="0.35">
      <c r="C105" t="s">
        <v>14</v>
      </c>
      <c r="D105">
        <v>53051501</v>
      </c>
      <c r="E105" t="s">
        <v>15</v>
      </c>
      <c r="F105" s="1">
        <v>3529</v>
      </c>
      <c r="G105" t="s">
        <v>188</v>
      </c>
      <c r="H105" s="2">
        <v>45665</v>
      </c>
      <c r="I105" t="s">
        <v>153</v>
      </c>
      <c r="J105" t="s">
        <v>153</v>
      </c>
      <c r="K105" t="s">
        <v>29</v>
      </c>
      <c r="M105" t="s">
        <v>59</v>
      </c>
      <c r="O105">
        <f t="shared" si="1"/>
        <v>1</v>
      </c>
    </row>
    <row r="106" spans="3:15" x14ac:dyDescent="0.35">
      <c r="C106" t="s">
        <v>14</v>
      </c>
      <c r="D106">
        <v>53051501</v>
      </c>
      <c r="E106" t="s">
        <v>15</v>
      </c>
      <c r="F106" s="1">
        <v>7058</v>
      </c>
      <c r="G106" t="s">
        <v>189</v>
      </c>
      <c r="H106" s="2">
        <v>45665</v>
      </c>
      <c r="I106" t="s">
        <v>153</v>
      </c>
      <c r="J106" t="s">
        <v>153</v>
      </c>
      <c r="K106" t="s">
        <v>29</v>
      </c>
      <c r="M106" t="s">
        <v>59</v>
      </c>
      <c r="O106">
        <f t="shared" si="1"/>
        <v>1</v>
      </c>
    </row>
    <row r="107" spans="3:15" x14ac:dyDescent="0.35">
      <c r="C107" t="s">
        <v>14</v>
      </c>
      <c r="D107">
        <v>53051501</v>
      </c>
      <c r="E107" t="s">
        <v>15</v>
      </c>
      <c r="F107" s="1">
        <v>3529</v>
      </c>
      <c r="G107" t="s">
        <v>190</v>
      </c>
      <c r="H107" s="2">
        <v>45671</v>
      </c>
      <c r="I107" t="s">
        <v>151</v>
      </c>
      <c r="J107" t="s">
        <v>151</v>
      </c>
      <c r="K107" t="s">
        <v>29</v>
      </c>
      <c r="M107" t="s">
        <v>59</v>
      </c>
      <c r="O107">
        <f t="shared" si="1"/>
        <v>1</v>
      </c>
    </row>
    <row r="108" spans="3:15" x14ac:dyDescent="0.35">
      <c r="C108" t="s">
        <v>14</v>
      </c>
      <c r="D108">
        <v>53051501</v>
      </c>
      <c r="E108" t="s">
        <v>15</v>
      </c>
      <c r="F108" s="1">
        <v>3529</v>
      </c>
      <c r="G108" t="s">
        <v>191</v>
      </c>
      <c r="H108" s="2">
        <v>45678</v>
      </c>
      <c r="I108" t="s">
        <v>192</v>
      </c>
      <c r="J108" t="s">
        <v>192</v>
      </c>
      <c r="K108" t="s">
        <v>29</v>
      </c>
      <c r="M108" t="s">
        <v>59</v>
      </c>
      <c r="O108">
        <f t="shared" si="1"/>
        <v>1</v>
      </c>
    </row>
    <row r="109" spans="3:15" x14ac:dyDescent="0.35">
      <c r="C109" t="s">
        <v>14</v>
      </c>
      <c r="D109">
        <v>53051501</v>
      </c>
      <c r="E109" t="s">
        <v>15</v>
      </c>
      <c r="F109" s="1">
        <v>3529</v>
      </c>
      <c r="G109" t="s">
        <v>193</v>
      </c>
      <c r="H109" s="2">
        <v>45679</v>
      </c>
      <c r="I109" t="s">
        <v>194</v>
      </c>
      <c r="J109" t="s">
        <v>194</v>
      </c>
      <c r="K109" t="s">
        <v>29</v>
      </c>
      <c r="M109" t="s">
        <v>59</v>
      </c>
      <c r="O109">
        <f t="shared" si="1"/>
        <v>1</v>
      </c>
    </row>
    <row r="110" spans="3:15" x14ac:dyDescent="0.35">
      <c r="C110" t="s">
        <v>14</v>
      </c>
      <c r="D110">
        <v>53051501</v>
      </c>
      <c r="E110" t="s">
        <v>15</v>
      </c>
      <c r="F110" s="1">
        <v>3529</v>
      </c>
      <c r="G110" t="s">
        <v>195</v>
      </c>
      <c r="H110" s="2">
        <v>45684</v>
      </c>
      <c r="I110" t="s">
        <v>151</v>
      </c>
      <c r="J110" t="s">
        <v>151</v>
      </c>
      <c r="K110" t="s">
        <v>29</v>
      </c>
      <c r="M110" t="s">
        <v>59</v>
      </c>
      <c r="O110">
        <f t="shared" si="1"/>
        <v>1</v>
      </c>
    </row>
    <row r="111" spans="3:15" x14ac:dyDescent="0.35">
      <c r="C111" t="s">
        <v>14</v>
      </c>
      <c r="D111">
        <v>53051501</v>
      </c>
      <c r="E111" t="s">
        <v>15</v>
      </c>
      <c r="F111" s="1">
        <v>3529</v>
      </c>
      <c r="G111" t="s">
        <v>196</v>
      </c>
      <c r="H111" s="2">
        <v>45686</v>
      </c>
      <c r="I111" t="s">
        <v>197</v>
      </c>
      <c r="J111" t="s">
        <v>197</v>
      </c>
      <c r="K111" t="s">
        <v>29</v>
      </c>
      <c r="M111" t="s">
        <v>59</v>
      </c>
      <c r="O111">
        <f t="shared" si="1"/>
        <v>1</v>
      </c>
    </row>
    <row r="112" spans="3:15" x14ac:dyDescent="0.35">
      <c r="C112" t="s">
        <v>14</v>
      </c>
      <c r="D112">
        <v>53051501</v>
      </c>
      <c r="E112" t="s">
        <v>15</v>
      </c>
      <c r="F112" s="1">
        <v>3529</v>
      </c>
      <c r="G112" t="s">
        <v>198</v>
      </c>
      <c r="H112" s="2">
        <v>45702</v>
      </c>
      <c r="I112" t="s">
        <v>151</v>
      </c>
      <c r="J112" t="s">
        <v>151</v>
      </c>
      <c r="K112" t="s">
        <v>29</v>
      </c>
      <c r="M112" t="s">
        <v>59</v>
      </c>
      <c r="O112">
        <f t="shared" si="1"/>
        <v>2</v>
      </c>
    </row>
    <row r="113" spans="1:15" x14ac:dyDescent="0.35">
      <c r="C113" t="s">
        <v>14</v>
      </c>
      <c r="D113">
        <v>53051501</v>
      </c>
      <c r="E113" t="s">
        <v>15</v>
      </c>
      <c r="F113" s="1">
        <v>3529</v>
      </c>
      <c r="G113" t="s">
        <v>199</v>
      </c>
      <c r="H113" s="2">
        <v>45706</v>
      </c>
      <c r="I113" t="s">
        <v>153</v>
      </c>
      <c r="J113" t="s">
        <v>153</v>
      </c>
      <c r="K113" t="s">
        <v>29</v>
      </c>
      <c r="M113" t="s">
        <v>59</v>
      </c>
      <c r="O113">
        <f t="shared" si="1"/>
        <v>2</v>
      </c>
    </row>
    <row r="114" spans="1:15" x14ac:dyDescent="0.35">
      <c r="C114" t="s">
        <v>14</v>
      </c>
      <c r="D114">
        <v>53051501</v>
      </c>
      <c r="E114" t="s">
        <v>15</v>
      </c>
      <c r="F114" s="1">
        <v>3529</v>
      </c>
      <c r="G114" t="s">
        <v>200</v>
      </c>
      <c r="H114" s="2">
        <v>45713</v>
      </c>
      <c r="I114" t="s">
        <v>153</v>
      </c>
      <c r="J114" t="s">
        <v>153</v>
      </c>
      <c r="K114" t="s">
        <v>29</v>
      </c>
      <c r="M114" t="s">
        <v>59</v>
      </c>
      <c r="O114">
        <f t="shared" si="1"/>
        <v>2</v>
      </c>
    </row>
    <row r="115" spans="1:15" x14ac:dyDescent="0.35">
      <c r="C115" t="s">
        <v>14</v>
      </c>
      <c r="D115">
        <v>53051501</v>
      </c>
      <c r="E115" t="s">
        <v>15</v>
      </c>
      <c r="F115" s="1">
        <v>5112511</v>
      </c>
      <c r="G115" t="s">
        <v>201</v>
      </c>
      <c r="H115" s="2">
        <v>45716</v>
      </c>
      <c r="I115" t="s">
        <v>202</v>
      </c>
      <c r="J115" t="s">
        <v>202</v>
      </c>
      <c r="K115" t="s">
        <v>203</v>
      </c>
      <c r="M115" t="s">
        <v>59</v>
      </c>
      <c r="O115">
        <f t="shared" si="1"/>
        <v>2</v>
      </c>
    </row>
    <row r="116" spans="1:15" x14ac:dyDescent="0.35">
      <c r="C116" t="s">
        <v>14</v>
      </c>
      <c r="D116">
        <v>53051501</v>
      </c>
      <c r="E116" t="s">
        <v>15</v>
      </c>
      <c r="F116" s="1">
        <v>17909491</v>
      </c>
      <c r="G116" t="s">
        <v>204</v>
      </c>
      <c r="H116" s="2">
        <v>45716</v>
      </c>
      <c r="I116" t="s">
        <v>205</v>
      </c>
      <c r="J116" t="s">
        <v>205</v>
      </c>
      <c r="K116" t="s">
        <v>203</v>
      </c>
      <c r="M116" t="s">
        <v>59</v>
      </c>
      <c r="O116">
        <f t="shared" si="1"/>
        <v>2</v>
      </c>
    </row>
    <row r="117" spans="1:15" x14ac:dyDescent="0.35">
      <c r="C117" t="s">
        <v>14</v>
      </c>
      <c r="D117">
        <v>53051501</v>
      </c>
      <c r="E117" t="s">
        <v>15</v>
      </c>
      <c r="F117" s="1">
        <v>3529</v>
      </c>
      <c r="G117" t="s">
        <v>206</v>
      </c>
      <c r="H117" s="2">
        <v>45720</v>
      </c>
      <c r="I117" t="s">
        <v>151</v>
      </c>
      <c r="J117" t="s">
        <v>151</v>
      </c>
      <c r="K117" t="s">
        <v>29</v>
      </c>
      <c r="M117" t="s">
        <v>59</v>
      </c>
      <c r="O117">
        <f t="shared" si="1"/>
        <v>3</v>
      </c>
    </row>
    <row r="118" spans="1:15" x14ac:dyDescent="0.35">
      <c r="C118" t="s">
        <v>14</v>
      </c>
      <c r="D118">
        <v>53051501</v>
      </c>
      <c r="E118" t="s">
        <v>15</v>
      </c>
      <c r="F118" s="1">
        <v>3529</v>
      </c>
      <c r="G118" t="s">
        <v>207</v>
      </c>
      <c r="H118" s="2">
        <v>45720</v>
      </c>
      <c r="I118" t="s">
        <v>208</v>
      </c>
      <c r="J118" t="s">
        <v>208</v>
      </c>
      <c r="K118" t="s">
        <v>29</v>
      </c>
      <c r="M118" t="s">
        <v>59</v>
      </c>
      <c r="O118">
        <f t="shared" si="1"/>
        <v>3</v>
      </c>
    </row>
    <row r="119" spans="1:15" x14ac:dyDescent="0.35">
      <c r="C119" t="s">
        <v>14</v>
      </c>
      <c r="D119">
        <v>53051501</v>
      </c>
      <c r="E119" t="s">
        <v>15</v>
      </c>
      <c r="F119" s="1">
        <v>3529</v>
      </c>
      <c r="G119" t="s">
        <v>209</v>
      </c>
      <c r="H119" s="2">
        <v>45721</v>
      </c>
      <c r="I119" t="s">
        <v>151</v>
      </c>
      <c r="J119" t="s">
        <v>151</v>
      </c>
      <c r="K119" t="s">
        <v>29</v>
      </c>
      <c r="M119" t="s">
        <v>59</v>
      </c>
      <c r="O119">
        <f t="shared" si="1"/>
        <v>3</v>
      </c>
    </row>
    <row r="120" spans="1:15" x14ac:dyDescent="0.35">
      <c r="C120" t="s">
        <v>14</v>
      </c>
      <c r="D120">
        <v>53051501</v>
      </c>
      <c r="E120" t="s">
        <v>15</v>
      </c>
      <c r="F120" s="1">
        <v>3529</v>
      </c>
      <c r="G120" t="s">
        <v>210</v>
      </c>
      <c r="H120" s="2">
        <v>45721</v>
      </c>
      <c r="I120" t="s">
        <v>194</v>
      </c>
      <c r="J120" t="s">
        <v>194</v>
      </c>
      <c r="K120" t="s">
        <v>29</v>
      </c>
      <c r="M120" t="s">
        <v>59</v>
      </c>
      <c r="O120">
        <f t="shared" si="1"/>
        <v>3</v>
      </c>
    </row>
    <row r="121" spans="1:15" x14ac:dyDescent="0.35">
      <c r="C121" t="s">
        <v>14</v>
      </c>
      <c r="D121">
        <v>53051501</v>
      </c>
      <c r="E121" t="s">
        <v>15</v>
      </c>
      <c r="F121" s="1">
        <v>3529</v>
      </c>
      <c r="G121" t="s">
        <v>211</v>
      </c>
      <c r="H121" s="2">
        <v>45727</v>
      </c>
      <c r="I121" t="s">
        <v>212</v>
      </c>
      <c r="J121" t="s">
        <v>213</v>
      </c>
      <c r="K121" t="s">
        <v>29</v>
      </c>
      <c r="M121" t="s">
        <v>59</v>
      </c>
      <c r="O121">
        <f t="shared" si="1"/>
        <v>3</v>
      </c>
    </row>
    <row r="122" spans="1:15" x14ac:dyDescent="0.35">
      <c r="C122" t="s">
        <v>14</v>
      </c>
      <c r="D122">
        <v>53051501</v>
      </c>
      <c r="E122" t="s">
        <v>15</v>
      </c>
      <c r="F122" s="1">
        <v>3529</v>
      </c>
      <c r="G122" t="s">
        <v>214</v>
      </c>
      <c r="H122" s="2">
        <v>45727</v>
      </c>
      <c r="I122" t="s">
        <v>151</v>
      </c>
      <c r="J122" t="s">
        <v>151</v>
      </c>
      <c r="K122" t="s">
        <v>29</v>
      </c>
      <c r="M122" t="s">
        <v>59</v>
      </c>
      <c r="O122">
        <f t="shared" si="1"/>
        <v>3</v>
      </c>
    </row>
    <row r="123" spans="1:15" x14ac:dyDescent="0.35">
      <c r="C123" t="s">
        <v>14</v>
      </c>
      <c r="D123">
        <v>53051501</v>
      </c>
      <c r="E123" t="s">
        <v>15</v>
      </c>
      <c r="F123" s="1">
        <v>3529</v>
      </c>
      <c r="G123" t="s">
        <v>215</v>
      </c>
      <c r="H123" s="2">
        <v>45737</v>
      </c>
      <c r="I123" t="s">
        <v>216</v>
      </c>
      <c r="J123" t="s">
        <v>216</v>
      </c>
      <c r="K123" t="s">
        <v>29</v>
      </c>
      <c r="M123" t="s">
        <v>59</v>
      </c>
      <c r="O123">
        <f t="shared" si="1"/>
        <v>3</v>
      </c>
    </row>
    <row r="124" spans="1:15" x14ac:dyDescent="0.35">
      <c r="C124" t="s">
        <v>14</v>
      </c>
      <c r="D124">
        <v>53051501</v>
      </c>
      <c r="E124" t="s">
        <v>15</v>
      </c>
      <c r="F124" s="1">
        <v>3529</v>
      </c>
      <c r="G124" t="s">
        <v>217</v>
      </c>
      <c r="H124" s="2">
        <v>45742</v>
      </c>
      <c r="I124" t="s">
        <v>208</v>
      </c>
      <c r="J124" t="s">
        <v>208</v>
      </c>
      <c r="K124" t="s">
        <v>29</v>
      </c>
      <c r="M124" t="s">
        <v>59</v>
      </c>
      <c r="O124">
        <f t="shared" si="1"/>
        <v>3</v>
      </c>
    </row>
    <row r="125" spans="1:15" x14ac:dyDescent="0.35">
      <c r="C125" t="s">
        <v>14</v>
      </c>
      <c r="D125">
        <v>53051501</v>
      </c>
      <c r="E125" t="s">
        <v>15</v>
      </c>
      <c r="F125" s="1">
        <v>3529</v>
      </c>
      <c r="G125" t="s">
        <v>218</v>
      </c>
      <c r="H125" s="2">
        <v>45742</v>
      </c>
      <c r="I125" t="s">
        <v>151</v>
      </c>
      <c r="J125" t="s">
        <v>151</v>
      </c>
      <c r="K125" t="s">
        <v>29</v>
      </c>
      <c r="M125" t="s">
        <v>59</v>
      </c>
      <c r="O125">
        <f t="shared" si="1"/>
        <v>3</v>
      </c>
    </row>
    <row r="126" spans="1:15" x14ac:dyDescent="0.35">
      <c r="C126" t="s">
        <v>14</v>
      </c>
      <c r="D126">
        <v>53051501</v>
      </c>
      <c r="E126" t="s">
        <v>15</v>
      </c>
      <c r="F126" s="1">
        <v>15186483</v>
      </c>
      <c r="G126" t="s">
        <v>219</v>
      </c>
      <c r="H126" s="2">
        <v>45747</v>
      </c>
      <c r="I126" t="s">
        <v>220</v>
      </c>
      <c r="J126" t="s">
        <v>220</v>
      </c>
      <c r="K126" t="s">
        <v>203</v>
      </c>
      <c r="M126" t="s">
        <v>59</v>
      </c>
      <c r="O126">
        <f t="shared" si="1"/>
        <v>3</v>
      </c>
    </row>
    <row r="127" spans="1:15" x14ac:dyDescent="0.35">
      <c r="C127" t="s">
        <v>14</v>
      </c>
      <c r="D127">
        <v>53051501</v>
      </c>
      <c r="E127" t="s">
        <v>15</v>
      </c>
      <c r="F127" s="1">
        <v>4782185</v>
      </c>
      <c r="G127" t="s">
        <v>221</v>
      </c>
      <c r="H127" s="2">
        <v>45747</v>
      </c>
      <c r="I127" t="s">
        <v>222</v>
      </c>
      <c r="J127" t="s">
        <v>222</v>
      </c>
      <c r="K127" t="s">
        <v>203</v>
      </c>
      <c r="M127" t="s">
        <v>59</v>
      </c>
      <c r="O127">
        <f t="shared" si="1"/>
        <v>3</v>
      </c>
    </row>
    <row r="128" spans="1:15" x14ac:dyDescent="0.35">
      <c r="A128" t="s">
        <v>223</v>
      </c>
      <c r="F128" s="1">
        <v>322155624.35000002</v>
      </c>
      <c r="O128">
        <f t="shared" si="1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12C48-C74F-4078-A5D3-9333B78491E9}">
  <dimension ref="A1:Y657"/>
  <sheetViews>
    <sheetView topLeftCell="G1" zoomScale="80" zoomScaleNormal="80" workbookViewId="0">
      <pane ySplit="1" topLeftCell="A607" activePane="bottomLeft" state="frozen"/>
      <selection pane="bottomLeft" activeCell="I634" sqref="I634"/>
    </sheetView>
  </sheetViews>
  <sheetFormatPr baseColWidth="10" defaultColWidth="8.7265625" defaultRowHeight="14.5" x14ac:dyDescent="0.35"/>
  <cols>
    <col min="3" max="3" width="18" bestFit="1" customWidth="1"/>
    <col min="4" max="4" width="10.1796875" bestFit="1" customWidth="1"/>
    <col min="5" max="5" width="29.1796875" bestFit="1" customWidth="1"/>
    <col min="6" max="6" width="16.54296875" bestFit="1" customWidth="1"/>
    <col min="7" max="7" width="14.54296875" bestFit="1" customWidth="1"/>
    <col min="8" max="8" width="12.26953125" bestFit="1" customWidth="1"/>
    <col min="10" max="10" width="98.81640625" customWidth="1"/>
    <col min="11" max="11" width="39.7265625" customWidth="1"/>
    <col min="16" max="16" width="12.54296875" bestFit="1" customWidth="1"/>
    <col min="25" max="25" width="11.453125" bestFit="1" customWidth="1"/>
  </cols>
  <sheetData>
    <row r="1" spans="1:25" s="19" customFormat="1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224</v>
      </c>
      <c r="P1" s="19" t="s">
        <v>238</v>
      </c>
      <c r="X1" s="19">
        <v>1</v>
      </c>
      <c r="Y1" s="19" t="s">
        <v>239</v>
      </c>
    </row>
    <row r="2" spans="1:25" x14ac:dyDescent="0.35">
      <c r="C2" t="s">
        <v>14</v>
      </c>
      <c r="D2">
        <v>53051501</v>
      </c>
      <c r="E2" t="s">
        <v>1308</v>
      </c>
      <c r="F2" s="29">
        <v>2190</v>
      </c>
      <c r="G2" t="s">
        <v>76</v>
      </c>
      <c r="H2" s="2">
        <v>45664</v>
      </c>
      <c r="I2" t="s">
        <v>77</v>
      </c>
      <c r="J2" t="s">
        <v>77</v>
      </c>
      <c r="K2" t="s">
        <v>1527</v>
      </c>
      <c r="M2" t="s">
        <v>20</v>
      </c>
      <c r="O2">
        <f>+MONTH(H2)</f>
        <v>1</v>
      </c>
      <c r="P2" t="str">
        <f>+VLOOKUP(O2,$X:$Y,2,0)</f>
        <v>Enero</v>
      </c>
      <c r="X2" s="19">
        <v>2</v>
      </c>
      <c r="Y2" s="19" t="s">
        <v>240</v>
      </c>
    </row>
    <row r="3" spans="1:25" x14ac:dyDescent="0.35">
      <c r="C3" t="s">
        <v>14</v>
      </c>
      <c r="D3">
        <v>53051501</v>
      </c>
      <c r="E3" t="s">
        <v>1308</v>
      </c>
      <c r="F3" s="29">
        <v>3529</v>
      </c>
      <c r="G3" t="s">
        <v>188</v>
      </c>
      <c r="H3" s="2">
        <v>45665</v>
      </c>
      <c r="I3" t="s">
        <v>153</v>
      </c>
      <c r="J3" t="s">
        <v>153</v>
      </c>
      <c r="K3" t="s">
        <v>29</v>
      </c>
      <c r="M3" t="s">
        <v>20</v>
      </c>
      <c r="O3">
        <f>+MONTH(H3)</f>
        <v>1</v>
      </c>
      <c r="P3" t="str">
        <f>+VLOOKUP(O3,X:Y,2,0)</f>
        <v>Enero</v>
      </c>
      <c r="X3" s="19">
        <v>3</v>
      </c>
      <c r="Y3" s="19" t="s">
        <v>241</v>
      </c>
    </row>
    <row r="4" spans="1:25" x14ac:dyDescent="0.35">
      <c r="C4" t="s">
        <v>14</v>
      </c>
      <c r="D4">
        <v>53051501</v>
      </c>
      <c r="E4" t="s">
        <v>1308</v>
      </c>
      <c r="F4" s="29">
        <v>7058</v>
      </c>
      <c r="G4" t="s">
        <v>189</v>
      </c>
      <c r="H4" s="2">
        <v>45665</v>
      </c>
      <c r="I4" t="s">
        <v>153</v>
      </c>
      <c r="J4" t="s">
        <v>153</v>
      </c>
      <c r="K4" t="s">
        <v>29</v>
      </c>
      <c r="M4" t="s">
        <v>20</v>
      </c>
      <c r="O4">
        <f t="shared" ref="O4:O67" si="0">+MONTH(H4)</f>
        <v>1</v>
      </c>
      <c r="P4" t="str">
        <f>+VLOOKUP(O4,X:Y,2,0)</f>
        <v>Enero</v>
      </c>
      <c r="X4" s="19">
        <v>4</v>
      </c>
      <c r="Y4" s="19" t="s">
        <v>242</v>
      </c>
    </row>
    <row r="5" spans="1:25" x14ac:dyDescent="0.35">
      <c r="C5" t="s">
        <v>14</v>
      </c>
      <c r="D5">
        <v>53051501</v>
      </c>
      <c r="E5" t="s">
        <v>1308</v>
      </c>
      <c r="F5" s="29">
        <v>3529</v>
      </c>
      <c r="G5" t="s">
        <v>190</v>
      </c>
      <c r="H5" s="2">
        <v>45671</v>
      </c>
      <c r="I5" t="s">
        <v>151</v>
      </c>
      <c r="J5" t="s">
        <v>151</v>
      </c>
      <c r="K5" t="s">
        <v>29</v>
      </c>
      <c r="M5" t="s">
        <v>20</v>
      </c>
      <c r="O5">
        <f t="shared" si="0"/>
        <v>1</v>
      </c>
      <c r="P5" t="str">
        <f>+VLOOKUP(O5,X:Y,2,0)</f>
        <v>Enero</v>
      </c>
      <c r="X5" s="19">
        <v>5</v>
      </c>
      <c r="Y5" s="19" t="s">
        <v>243</v>
      </c>
    </row>
    <row r="6" spans="1:25" x14ac:dyDescent="0.35">
      <c r="C6" t="s">
        <v>14</v>
      </c>
      <c r="D6">
        <v>53051501</v>
      </c>
      <c r="E6" t="s">
        <v>1308</v>
      </c>
      <c r="F6" s="29">
        <v>2650</v>
      </c>
      <c r="G6" t="s">
        <v>92</v>
      </c>
      <c r="H6" s="2">
        <v>45674</v>
      </c>
      <c r="I6" t="s">
        <v>93</v>
      </c>
      <c r="J6" t="s">
        <v>93</v>
      </c>
      <c r="K6" t="s">
        <v>25</v>
      </c>
      <c r="M6" t="s">
        <v>20</v>
      </c>
      <c r="O6">
        <f t="shared" si="0"/>
        <v>1</v>
      </c>
      <c r="P6" t="str">
        <f>+VLOOKUP(O6,X:Y,2,0)</f>
        <v>Enero</v>
      </c>
      <c r="X6" s="19">
        <v>6</v>
      </c>
      <c r="Y6" s="19" t="s">
        <v>244</v>
      </c>
    </row>
    <row r="7" spans="1:25" x14ac:dyDescent="0.35">
      <c r="C7" t="s">
        <v>14</v>
      </c>
      <c r="D7">
        <v>53051501</v>
      </c>
      <c r="E7" t="s">
        <v>1308</v>
      </c>
      <c r="F7" s="29">
        <v>3529</v>
      </c>
      <c r="G7" t="s">
        <v>191</v>
      </c>
      <c r="H7" s="2">
        <v>45678</v>
      </c>
      <c r="I7" t="s">
        <v>192</v>
      </c>
      <c r="J7" t="s">
        <v>192</v>
      </c>
      <c r="K7" t="s">
        <v>29</v>
      </c>
      <c r="M7" t="s">
        <v>20</v>
      </c>
      <c r="O7">
        <f t="shared" si="0"/>
        <v>1</v>
      </c>
      <c r="P7" t="str">
        <f>+VLOOKUP(O7,X:Y,2,0)</f>
        <v>Enero</v>
      </c>
      <c r="X7" s="19">
        <v>7</v>
      </c>
      <c r="Y7" s="19" t="s">
        <v>245</v>
      </c>
    </row>
    <row r="8" spans="1:25" x14ac:dyDescent="0.35">
      <c r="C8" t="s">
        <v>14</v>
      </c>
      <c r="D8">
        <v>53051501</v>
      </c>
      <c r="E8" t="s">
        <v>1308</v>
      </c>
      <c r="F8" s="29">
        <v>3529</v>
      </c>
      <c r="G8" t="s">
        <v>193</v>
      </c>
      <c r="H8" s="2">
        <v>45679</v>
      </c>
      <c r="I8" t="s">
        <v>194</v>
      </c>
      <c r="J8" t="s">
        <v>194</v>
      </c>
      <c r="K8" t="s">
        <v>29</v>
      </c>
      <c r="M8" t="s">
        <v>20</v>
      </c>
      <c r="O8">
        <f t="shared" si="0"/>
        <v>1</v>
      </c>
      <c r="P8" t="str">
        <f>+VLOOKUP(O8,X:Y,2,0)</f>
        <v>Enero</v>
      </c>
      <c r="X8" s="19">
        <v>8</v>
      </c>
      <c r="Y8" s="19" t="s">
        <v>246</v>
      </c>
    </row>
    <row r="9" spans="1:25" x14ac:dyDescent="0.35">
      <c r="C9" t="s">
        <v>14</v>
      </c>
      <c r="D9">
        <v>53051501</v>
      </c>
      <c r="E9" t="s">
        <v>1308</v>
      </c>
      <c r="F9" s="29">
        <v>3529</v>
      </c>
      <c r="G9" t="s">
        <v>195</v>
      </c>
      <c r="H9" s="2">
        <v>45684</v>
      </c>
      <c r="I9" t="s">
        <v>151</v>
      </c>
      <c r="J9" t="s">
        <v>151</v>
      </c>
      <c r="K9" t="s">
        <v>29</v>
      </c>
      <c r="M9" t="s">
        <v>20</v>
      </c>
      <c r="O9">
        <f t="shared" si="0"/>
        <v>1</v>
      </c>
      <c r="P9" t="str">
        <f>+VLOOKUP(O9,X:Y,2,0)</f>
        <v>Enero</v>
      </c>
      <c r="X9" s="19">
        <v>9</v>
      </c>
      <c r="Y9" s="19" t="s">
        <v>247</v>
      </c>
    </row>
    <row r="10" spans="1:25" x14ac:dyDescent="0.35">
      <c r="C10" t="s">
        <v>14</v>
      </c>
      <c r="D10">
        <v>53051501</v>
      </c>
      <c r="E10" t="s">
        <v>1308</v>
      </c>
      <c r="F10" s="29">
        <v>38140</v>
      </c>
      <c r="G10" t="s">
        <v>16</v>
      </c>
      <c r="H10" s="2">
        <v>45686</v>
      </c>
      <c r="I10" t="s">
        <v>17</v>
      </c>
      <c r="J10" t="s">
        <v>18</v>
      </c>
      <c r="K10" t="s">
        <v>19</v>
      </c>
      <c r="M10" t="s">
        <v>20</v>
      </c>
      <c r="O10">
        <f t="shared" si="0"/>
        <v>1</v>
      </c>
      <c r="P10" t="str">
        <f>+VLOOKUP(O10,X:Y,2,0)</f>
        <v>Enero</v>
      </c>
      <c r="X10" s="19">
        <v>10</v>
      </c>
      <c r="Y10" s="19" t="s">
        <v>248</v>
      </c>
    </row>
    <row r="11" spans="1:25" x14ac:dyDescent="0.35">
      <c r="C11" t="s">
        <v>14</v>
      </c>
      <c r="D11">
        <v>53051501</v>
      </c>
      <c r="E11" t="s">
        <v>1308</v>
      </c>
      <c r="F11" s="29">
        <v>78520</v>
      </c>
      <c r="G11" t="s">
        <v>16</v>
      </c>
      <c r="H11" s="2">
        <v>45686</v>
      </c>
      <c r="I11" t="s">
        <v>21</v>
      </c>
      <c r="J11" t="s">
        <v>18</v>
      </c>
      <c r="K11" t="s">
        <v>19</v>
      </c>
      <c r="M11" t="s">
        <v>20</v>
      </c>
      <c r="O11">
        <f t="shared" si="0"/>
        <v>1</v>
      </c>
      <c r="P11" t="str">
        <f>+VLOOKUP(O11,X:Y,2,0)</f>
        <v>Enero</v>
      </c>
      <c r="X11" s="19">
        <v>11</v>
      </c>
      <c r="Y11" s="19" t="s">
        <v>249</v>
      </c>
    </row>
    <row r="12" spans="1:25" x14ac:dyDescent="0.35">
      <c r="C12" t="s">
        <v>14</v>
      </c>
      <c r="D12">
        <v>53051501</v>
      </c>
      <c r="E12" t="s">
        <v>1308</v>
      </c>
      <c r="F12" s="29">
        <v>2500</v>
      </c>
      <c r="G12" t="s">
        <v>22</v>
      </c>
      <c r="H12" s="2">
        <v>45686</v>
      </c>
      <c r="I12" t="s">
        <v>23</v>
      </c>
      <c r="J12" t="s">
        <v>24</v>
      </c>
      <c r="K12" t="s">
        <v>25</v>
      </c>
      <c r="M12" t="s">
        <v>20</v>
      </c>
      <c r="O12">
        <f t="shared" si="0"/>
        <v>1</v>
      </c>
      <c r="P12" t="str">
        <f>+VLOOKUP(O12,X:Y,2,0)</f>
        <v>Enero</v>
      </c>
      <c r="X12" s="19">
        <v>12</v>
      </c>
      <c r="Y12" s="19" t="s">
        <v>250</v>
      </c>
    </row>
    <row r="13" spans="1:25" x14ac:dyDescent="0.35">
      <c r="C13" t="s">
        <v>14</v>
      </c>
      <c r="D13">
        <v>53051501</v>
      </c>
      <c r="E13" t="s">
        <v>1308</v>
      </c>
      <c r="F13" s="29">
        <v>125906.09</v>
      </c>
      <c r="G13" t="s">
        <v>26</v>
      </c>
      <c r="H13" s="2">
        <v>45686</v>
      </c>
      <c r="I13" t="s">
        <v>27</v>
      </c>
      <c r="J13" t="s">
        <v>28</v>
      </c>
      <c r="K13" t="s">
        <v>29</v>
      </c>
      <c r="M13" t="s">
        <v>20</v>
      </c>
      <c r="O13">
        <f t="shared" si="0"/>
        <v>1</v>
      </c>
      <c r="P13" t="str">
        <f>+VLOOKUP(O13,X:Y,2,0)</f>
        <v>Enero</v>
      </c>
    </row>
    <row r="14" spans="1:25" x14ac:dyDescent="0.35">
      <c r="C14" t="s">
        <v>14</v>
      </c>
      <c r="D14">
        <v>53051501</v>
      </c>
      <c r="E14" t="s">
        <v>1308</v>
      </c>
      <c r="F14" s="29">
        <v>16560</v>
      </c>
      <c r="G14" t="s">
        <v>26</v>
      </c>
      <c r="H14" s="2">
        <v>45686</v>
      </c>
      <c r="I14" t="s">
        <v>30</v>
      </c>
      <c r="J14" t="s">
        <v>28</v>
      </c>
      <c r="K14" t="s">
        <v>29</v>
      </c>
      <c r="M14" t="s">
        <v>20</v>
      </c>
      <c r="O14">
        <f t="shared" si="0"/>
        <v>1</v>
      </c>
      <c r="P14" t="str">
        <f>+VLOOKUP(O14,X:Y,2,0)</f>
        <v>Enero</v>
      </c>
    </row>
    <row r="15" spans="1:25" x14ac:dyDescent="0.35">
      <c r="C15" t="s">
        <v>14</v>
      </c>
      <c r="D15">
        <v>53051501</v>
      </c>
      <c r="E15" t="s">
        <v>1308</v>
      </c>
      <c r="F15" s="29">
        <v>-125906.09</v>
      </c>
      <c r="G15" t="s">
        <v>148</v>
      </c>
      <c r="H15" s="2">
        <v>45686</v>
      </c>
      <c r="I15" t="s">
        <v>27</v>
      </c>
      <c r="J15" t="s">
        <v>149</v>
      </c>
      <c r="K15" t="s">
        <v>29</v>
      </c>
      <c r="M15" t="s">
        <v>20</v>
      </c>
      <c r="O15">
        <f t="shared" si="0"/>
        <v>1</v>
      </c>
      <c r="P15" t="str">
        <f>+VLOOKUP(O15,X:Y,2,0)</f>
        <v>Enero</v>
      </c>
    </row>
    <row r="16" spans="1:25" x14ac:dyDescent="0.35">
      <c r="C16" t="s">
        <v>14</v>
      </c>
      <c r="D16">
        <v>53051501</v>
      </c>
      <c r="E16" t="s">
        <v>1308</v>
      </c>
      <c r="F16" s="29">
        <v>-16560</v>
      </c>
      <c r="G16" t="s">
        <v>148</v>
      </c>
      <c r="H16" s="2">
        <v>45686</v>
      </c>
      <c r="I16" t="s">
        <v>30</v>
      </c>
      <c r="J16" t="s">
        <v>149</v>
      </c>
      <c r="K16" t="s">
        <v>29</v>
      </c>
      <c r="M16" t="s">
        <v>20</v>
      </c>
      <c r="O16">
        <f t="shared" si="0"/>
        <v>1</v>
      </c>
      <c r="P16" t="str">
        <f>+VLOOKUP(O16,X:Y,2,0)</f>
        <v>Enero</v>
      </c>
    </row>
    <row r="17" spans="3:16" x14ac:dyDescent="0.35">
      <c r="C17" t="s">
        <v>14</v>
      </c>
      <c r="D17">
        <v>53051501</v>
      </c>
      <c r="E17" t="s">
        <v>1308</v>
      </c>
      <c r="F17" s="29">
        <v>-38140</v>
      </c>
      <c r="G17" t="s">
        <v>148</v>
      </c>
      <c r="H17" s="2">
        <v>45686</v>
      </c>
      <c r="I17" t="s">
        <v>17</v>
      </c>
      <c r="J17" t="s">
        <v>149</v>
      </c>
      <c r="K17" t="s">
        <v>19</v>
      </c>
      <c r="M17" t="s">
        <v>20</v>
      </c>
      <c r="O17">
        <f t="shared" si="0"/>
        <v>1</v>
      </c>
      <c r="P17" t="str">
        <f>+VLOOKUP(O17,X:Y,2,0)</f>
        <v>Enero</v>
      </c>
    </row>
    <row r="18" spans="3:16" x14ac:dyDescent="0.35">
      <c r="C18" t="s">
        <v>14</v>
      </c>
      <c r="D18">
        <v>53051501</v>
      </c>
      <c r="E18" t="s">
        <v>1308</v>
      </c>
      <c r="F18" s="29">
        <v>-78520</v>
      </c>
      <c r="G18" t="s">
        <v>148</v>
      </c>
      <c r="H18" s="2">
        <v>45686</v>
      </c>
      <c r="I18" t="s">
        <v>21</v>
      </c>
      <c r="J18" t="s">
        <v>149</v>
      </c>
      <c r="K18" t="s">
        <v>19</v>
      </c>
      <c r="M18" t="s">
        <v>20</v>
      </c>
      <c r="O18">
        <f t="shared" si="0"/>
        <v>1</v>
      </c>
      <c r="P18" t="str">
        <f>+VLOOKUP(O18,X:Y,2,0)</f>
        <v>Enero</v>
      </c>
    </row>
    <row r="19" spans="3:16" x14ac:dyDescent="0.35">
      <c r="C19" t="s">
        <v>14</v>
      </c>
      <c r="D19">
        <v>53051501</v>
      </c>
      <c r="E19" t="s">
        <v>1308</v>
      </c>
      <c r="F19" s="29">
        <v>-2500</v>
      </c>
      <c r="G19" t="s">
        <v>148</v>
      </c>
      <c r="H19" s="2">
        <v>45686</v>
      </c>
      <c r="I19" t="s">
        <v>23</v>
      </c>
      <c r="J19" t="s">
        <v>149</v>
      </c>
      <c r="K19" t="s">
        <v>25</v>
      </c>
      <c r="M19" t="s">
        <v>20</v>
      </c>
      <c r="O19">
        <f t="shared" si="0"/>
        <v>1</v>
      </c>
      <c r="P19" t="str">
        <f>+VLOOKUP(O19,X:Y,2,0)</f>
        <v>Enero</v>
      </c>
    </row>
    <row r="20" spans="3:16" x14ac:dyDescent="0.35">
      <c r="C20" t="s">
        <v>14</v>
      </c>
      <c r="D20">
        <v>53051501</v>
      </c>
      <c r="E20" t="s">
        <v>1308</v>
      </c>
      <c r="F20" s="29">
        <v>3529</v>
      </c>
      <c r="G20" t="s">
        <v>196</v>
      </c>
      <c r="H20" s="2">
        <v>45686</v>
      </c>
      <c r="I20" t="s">
        <v>197</v>
      </c>
      <c r="J20" t="s">
        <v>197</v>
      </c>
      <c r="K20" t="s">
        <v>29</v>
      </c>
      <c r="M20" t="s">
        <v>20</v>
      </c>
      <c r="O20">
        <f t="shared" si="0"/>
        <v>1</v>
      </c>
      <c r="P20" t="str">
        <f>+VLOOKUP(O20,X:Y,2,0)</f>
        <v>Enero</v>
      </c>
    </row>
    <row r="21" spans="3:16" x14ac:dyDescent="0.35">
      <c r="C21" t="s">
        <v>14</v>
      </c>
      <c r="D21">
        <v>53051501</v>
      </c>
      <c r="E21" t="s">
        <v>1308</v>
      </c>
      <c r="F21" s="29">
        <v>3558750</v>
      </c>
      <c r="G21" t="s">
        <v>57</v>
      </c>
      <c r="H21" s="2">
        <v>45688</v>
      </c>
      <c r="I21" t="s">
        <v>58</v>
      </c>
      <c r="J21" t="s">
        <v>58</v>
      </c>
      <c r="K21" t="s">
        <v>42</v>
      </c>
      <c r="M21" t="s">
        <v>20</v>
      </c>
      <c r="O21">
        <f t="shared" si="0"/>
        <v>1</v>
      </c>
      <c r="P21" t="str">
        <f>+VLOOKUP(O21,X:Y,2,0)</f>
        <v>Enero</v>
      </c>
    </row>
    <row r="22" spans="3:16" x14ac:dyDescent="0.35">
      <c r="C22" t="s">
        <v>14</v>
      </c>
      <c r="D22">
        <v>53051501</v>
      </c>
      <c r="E22" t="s">
        <v>1308</v>
      </c>
      <c r="F22" s="29">
        <v>3558750</v>
      </c>
      <c r="G22" t="s">
        <v>60</v>
      </c>
      <c r="H22" s="2">
        <v>45688</v>
      </c>
      <c r="I22" t="s">
        <v>61</v>
      </c>
      <c r="J22" t="s">
        <v>61</v>
      </c>
      <c r="K22" t="s">
        <v>44</v>
      </c>
      <c r="M22" t="s">
        <v>20</v>
      </c>
      <c r="O22">
        <f t="shared" si="0"/>
        <v>1</v>
      </c>
      <c r="P22" t="str">
        <f>+VLOOKUP(O22,X:Y,2,0)</f>
        <v>Enero</v>
      </c>
    </row>
    <row r="23" spans="3:16" x14ac:dyDescent="0.35">
      <c r="C23" t="s">
        <v>14</v>
      </c>
      <c r="D23">
        <v>53051501</v>
      </c>
      <c r="E23" t="s">
        <v>1308</v>
      </c>
      <c r="F23" s="29">
        <v>9600.49</v>
      </c>
      <c r="G23" t="s">
        <v>79</v>
      </c>
      <c r="H23" s="2">
        <v>45688</v>
      </c>
      <c r="I23" t="s">
        <v>80</v>
      </c>
      <c r="J23" t="s">
        <v>81</v>
      </c>
      <c r="K23" t="s">
        <v>29</v>
      </c>
      <c r="M23" t="s">
        <v>20</v>
      </c>
      <c r="O23">
        <f t="shared" si="0"/>
        <v>1</v>
      </c>
      <c r="P23" t="str">
        <f>+VLOOKUP(O23,X:Y,2,0)</f>
        <v>Enero</v>
      </c>
    </row>
    <row r="24" spans="3:16" x14ac:dyDescent="0.35">
      <c r="C24" t="s">
        <v>14</v>
      </c>
      <c r="D24">
        <v>53051501</v>
      </c>
      <c r="E24" t="s">
        <v>1308</v>
      </c>
      <c r="F24" s="29">
        <v>1824</v>
      </c>
      <c r="G24" t="s">
        <v>79</v>
      </c>
      <c r="H24" s="2">
        <v>45688</v>
      </c>
      <c r="I24" t="s">
        <v>82</v>
      </c>
      <c r="J24" t="s">
        <v>81</v>
      </c>
      <c r="K24" t="s">
        <v>29</v>
      </c>
      <c r="M24" t="s">
        <v>59</v>
      </c>
      <c r="O24">
        <f t="shared" si="0"/>
        <v>1</v>
      </c>
      <c r="P24" t="str">
        <f>+VLOOKUP(O24,X:Y,2,0)</f>
        <v>Enero</v>
      </c>
    </row>
    <row r="25" spans="3:16" x14ac:dyDescent="0.35">
      <c r="C25" t="s">
        <v>14</v>
      </c>
      <c r="D25">
        <v>53051501</v>
      </c>
      <c r="E25" t="s">
        <v>1308</v>
      </c>
      <c r="F25" s="29">
        <v>3867500</v>
      </c>
      <c r="G25" t="s">
        <v>83</v>
      </c>
      <c r="H25" s="2">
        <v>45688</v>
      </c>
      <c r="I25" t="s">
        <v>84</v>
      </c>
      <c r="J25" t="s">
        <v>85</v>
      </c>
      <c r="K25" t="s">
        <v>44</v>
      </c>
      <c r="M25" t="s">
        <v>59</v>
      </c>
      <c r="O25">
        <f t="shared" si="0"/>
        <v>1</v>
      </c>
      <c r="P25" t="str">
        <f>+VLOOKUP(O25,X:Y,2,0)</f>
        <v>Enero</v>
      </c>
    </row>
    <row r="26" spans="3:16" x14ac:dyDescent="0.35">
      <c r="C26" t="s">
        <v>14</v>
      </c>
      <c r="D26">
        <v>53051501</v>
      </c>
      <c r="E26" t="s">
        <v>1308</v>
      </c>
      <c r="F26" s="29">
        <v>514829.43</v>
      </c>
      <c r="G26" t="s">
        <v>86</v>
      </c>
      <c r="H26" s="2">
        <v>45688</v>
      </c>
      <c r="I26" t="s">
        <v>87</v>
      </c>
      <c r="J26" t="s">
        <v>87</v>
      </c>
      <c r="K26" t="s">
        <v>46</v>
      </c>
      <c r="M26" t="s">
        <v>59</v>
      </c>
      <c r="O26">
        <f t="shared" si="0"/>
        <v>1</v>
      </c>
      <c r="P26" t="str">
        <f>+VLOOKUP(O26,X:Y,2,0)</f>
        <v>Enero</v>
      </c>
    </row>
    <row r="27" spans="3:16" x14ac:dyDescent="0.35">
      <c r="C27" t="s">
        <v>14</v>
      </c>
      <c r="D27">
        <v>53051501</v>
      </c>
      <c r="E27" t="s">
        <v>1308</v>
      </c>
      <c r="F27" s="29">
        <v>4280613</v>
      </c>
      <c r="G27" t="s">
        <v>88</v>
      </c>
      <c r="H27" s="2">
        <v>45688</v>
      </c>
      <c r="I27" t="s">
        <v>89</v>
      </c>
      <c r="J27" t="s">
        <v>89</v>
      </c>
      <c r="K27" t="s">
        <v>19</v>
      </c>
      <c r="M27" t="s">
        <v>59</v>
      </c>
      <c r="O27">
        <f t="shared" si="0"/>
        <v>1</v>
      </c>
      <c r="P27" t="str">
        <f>+VLOOKUP(O27,X:Y,2,0)</f>
        <v>Enero</v>
      </c>
    </row>
    <row r="28" spans="3:16" x14ac:dyDescent="0.35">
      <c r="C28" t="s">
        <v>14</v>
      </c>
      <c r="D28">
        <v>53051501</v>
      </c>
      <c r="E28" t="s">
        <v>1308</v>
      </c>
      <c r="F28" s="29">
        <v>4700320.55</v>
      </c>
      <c r="G28" t="s">
        <v>90</v>
      </c>
      <c r="H28" s="2">
        <v>45688</v>
      </c>
      <c r="I28" t="s">
        <v>91</v>
      </c>
      <c r="J28" t="s">
        <v>91</v>
      </c>
      <c r="K28" t="s">
        <v>29</v>
      </c>
      <c r="M28" t="s">
        <v>59</v>
      </c>
      <c r="O28">
        <f t="shared" si="0"/>
        <v>1</v>
      </c>
      <c r="P28" t="str">
        <f>+VLOOKUP(O28,X:Y,2,0)</f>
        <v>Enero</v>
      </c>
    </row>
    <row r="29" spans="3:16" x14ac:dyDescent="0.35">
      <c r="C29" t="s">
        <v>14</v>
      </c>
      <c r="D29">
        <v>53051501</v>
      </c>
      <c r="E29" t="s">
        <v>1308</v>
      </c>
      <c r="F29" s="29">
        <v>9801719</v>
      </c>
      <c r="G29" t="s">
        <v>94</v>
      </c>
      <c r="H29" s="2">
        <v>45688</v>
      </c>
      <c r="I29" t="s">
        <v>95</v>
      </c>
      <c r="J29" t="s">
        <v>95</v>
      </c>
      <c r="K29" t="s">
        <v>1512</v>
      </c>
      <c r="M29" t="s">
        <v>59</v>
      </c>
      <c r="O29">
        <f t="shared" si="0"/>
        <v>1</v>
      </c>
      <c r="P29" t="str">
        <f>+VLOOKUP(O29,X:Y,2,0)</f>
        <v>Enero</v>
      </c>
    </row>
    <row r="30" spans="3:16" x14ac:dyDescent="0.35">
      <c r="C30" t="s">
        <v>14</v>
      </c>
      <c r="D30">
        <v>53051501</v>
      </c>
      <c r="E30" t="s">
        <v>1308</v>
      </c>
      <c r="F30" s="29">
        <v>22436</v>
      </c>
      <c r="G30" t="s">
        <v>96</v>
      </c>
      <c r="H30" s="2">
        <v>45688</v>
      </c>
      <c r="I30" t="s">
        <v>97</v>
      </c>
      <c r="J30" t="s">
        <v>97</v>
      </c>
      <c r="K30" t="s">
        <v>19</v>
      </c>
      <c r="M30" t="s">
        <v>59</v>
      </c>
      <c r="O30">
        <f t="shared" si="0"/>
        <v>1</v>
      </c>
      <c r="P30" t="str">
        <f>+VLOOKUP(O30,X:Y,2,0)</f>
        <v>Enero</v>
      </c>
    </row>
    <row r="31" spans="3:16" x14ac:dyDescent="0.35">
      <c r="C31" t="s">
        <v>14</v>
      </c>
      <c r="D31">
        <v>53051502</v>
      </c>
      <c r="E31" t="s">
        <v>1309</v>
      </c>
      <c r="F31" s="29">
        <v>7087724.7999999998</v>
      </c>
      <c r="G31" t="s">
        <v>156</v>
      </c>
      <c r="H31" s="2">
        <v>45688</v>
      </c>
      <c r="I31" t="s">
        <v>157</v>
      </c>
      <c r="J31" t="s">
        <v>158</v>
      </c>
      <c r="K31" t="s">
        <v>40</v>
      </c>
      <c r="M31" t="s">
        <v>59</v>
      </c>
      <c r="O31">
        <f t="shared" si="0"/>
        <v>1</v>
      </c>
      <c r="P31" t="str">
        <f>+VLOOKUP(O31,X:Y,2,0)</f>
        <v>Enero</v>
      </c>
    </row>
    <row r="32" spans="3:16" x14ac:dyDescent="0.35">
      <c r="C32" t="s">
        <v>14</v>
      </c>
      <c r="D32">
        <v>53051502</v>
      </c>
      <c r="E32" t="s">
        <v>1309</v>
      </c>
      <c r="F32" s="29">
        <v>36839957.280000001</v>
      </c>
      <c r="G32" t="s">
        <v>156</v>
      </c>
      <c r="H32" s="2">
        <v>45688</v>
      </c>
      <c r="I32" t="s">
        <v>159</v>
      </c>
      <c r="J32" t="s">
        <v>158</v>
      </c>
      <c r="K32" t="s">
        <v>40</v>
      </c>
      <c r="M32" t="s">
        <v>59</v>
      </c>
      <c r="O32">
        <f t="shared" si="0"/>
        <v>1</v>
      </c>
      <c r="P32" t="str">
        <f>+VLOOKUP(O32,X:Y,2,0)</f>
        <v>Enero</v>
      </c>
    </row>
    <row r="33" spans="3:16" x14ac:dyDescent="0.35">
      <c r="C33" t="s">
        <v>14</v>
      </c>
      <c r="D33">
        <v>53051501</v>
      </c>
      <c r="E33" t="s">
        <v>1308</v>
      </c>
      <c r="F33" s="29">
        <v>3529</v>
      </c>
      <c r="G33" t="s">
        <v>150</v>
      </c>
      <c r="H33" s="2">
        <v>45692</v>
      </c>
      <c r="I33" t="s">
        <v>151</v>
      </c>
      <c r="J33" t="s">
        <v>151</v>
      </c>
      <c r="K33" t="s">
        <v>29</v>
      </c>
      <c r="M33" t="s">
        <v>59</v>
      </c>
      <c r="O33">
        <f t="shared" si="0"/>
        <v>2</v>
      </c>
      <c r="P33" t="str">
        <f>+VLOOKUP(O33,X:Y,2,0)</f>
        <v>Febrero</v>
      </c>
    </row>
    <row r="34" spans="3:16" x14ac:dyDescent="0.35">
      <c r="C34" t="s">
        <v>14</v>
      </c>
      <c r="D34">
        <v>53051501</v>
      </c>
      <c r="E34" t="s">
        <v>1308</v>
      </c>
      <c r="F34" s="29">
        <v>3529</v>
      </c>
      <c r="G34" t="s">
        <v>152</v>
      </c>
      <c r="H34" s="2">
        <v>45692</v>
      </c>
      <c r="I34" t="s">
        <v>151</v>
      </c>
      <c r="J34" t="s">
        <v>153</v>
      </c>
      <c r="K34" t="s">
        <v>29</v>
      </c>
      <c r="M34" t="s">
        <v>59</v>
      </c>
      <c r="O34">
        <f t="shared" si="0"/>
        <v>2</v>
      </c>
      <c r="P34" t="str">
        <f>+VLOOKUP(O34,X:Y,2,0)</f>
        <v>Febrero</v>
      </c>
    </row>
    <row r="35" spans="3:16" x14ac:dyDescent="0.35">
      <c r="C35" t="s">
        <v>14</v>
      </c>
      <c r="D35">
        <v>53051501</v>
      </c>
      <c r="E35" t="s">
        <v>1308</v>
      </c>
      <c r="F35" s="29">
        <v>3529</v>
      </c>
      <c r="G35" t="s">
        <v>154</v>
      </c>
      <c r="H35" s="2">
        <v>45692</v>
      </c>
      <c r="I35" t="s">
        <v>151</v>
      </c>
      <c r="J35" t="s">
        <v>155</v>
      </c>
      <c r="K35" t="s">
        <v>29</v>
      </c>
      <c r="M35" t="s">
        <v>59</v>
      </c>
      <c r="O35">
        <f t="shared" si="0"/>
        <v>2</v>
      </c>
      <c r="P35" t="str">
        <f>+VLOOKUP(O35,X:Y,2,0)</f>
        <v>Febrero</v>
      </c>
    </row>
    <row r="36" spans="3:16" x14ac:dyDescent="0.35">
      <c r="C36" t="s">
        <v>14</v>
      </c>
      <c r="D36">
        <v>53051501</v>
      </c>
      <c r="E36" t="s">
        <v>1308</v>
      </c>
      <c r="F36" s="29">
        <v>11004</v>
      </c>
      <c r="G36" t="s">
        <v>98</v>
      </c>
      <c r="H36" s="2">
        <v>45695</v>
      </c>
      <c r="I36" t="s">
        <v>99</v>
      </c>
      <c r="J36" t="s">
        <v>99</v>
      </c>
      <c r="K36" t="s">
        <v>1527</v>
      </c>
      <c r="M36" t="s">
        <v>59</v>
      </c>
      <c r="O36">
        <f t="shared" si="0"/>
        <v>2</v>
      </c>
      <c r="P36" t="str">
        <f>+VLOOKUP(O36,X:Y,2,0)</f>
        <v>Febrero</v>
      </c>
    </row>
    <row r="37" spans="3:16" x14ac:dyDescent="0.35">
      <c r="C37" t="s">
        <v>14</v>
      </c>
      <c r="D37">
        <v>53051501</v>
      </c>
      <c r="E37" t="s">
        <v>1308</v>
      </c>
      <c r="F37" s="29">
        <v>9600</v>
      </c>
      <c r="G37" t="s">
        <v>100</v>
      </c>
      <c r="H37" s="2">
        <v>45702</v>
      </c>
      <c r="I37" t="s">
        <v>101</v>
      </c>
      <c r="J37" t="s">
        <v>101</v>
      </c>
      <c r="K37" t="s">
        <v>1527</v>
      </c>
      <c r="M37" t="s">
        <v>59</v>
      </c>
      <c r="O37">
        <f t="shared" si="0"/>
        <v>2</v>
      </c>
      <c r="P37" t="str">
        <f>+VLOOKUP(O37,X:Y,2,0)</f>
        <v>Febrero</v>
      </c>
    </row>
    <row r="38" spans="3:16" x14ac:dyDescent="0.35">
      <c r="C38" t="s">
        <v>14</v>
      </c>
      <c r="D38">
        <v>53051501</v>
      </c>
      <c r="E38" t="s">
        <v>1308</v>
      </c>
      <c r="F38" s="29">
        <v>3529</v>
      </c>
      <c r="G38" t="s">
        <v>198</v>
      </c>
      <c r="H38" s="2">
        <v>45702</v>
      </c>
      <c r="I38" t="s">
        <v>151</v>
      </c>
      <c r="J38" t="s">
        <v>151</v>
      </c>
      <c r="K38" t="s">
        <v>29</v>
      </c>
      <c r="M38" t="s">
        <v>59</v>
      </c>
      <c r="O38">
        <f t="shared" si="0"/>
        <v>2</v>
      </c>
      <c r="P38" t="str">
        <f>+VLOOKUP(O38,X:Y,2,0)</f>
        <v>Febrero</v>
      </c>
    </row>
    <row r="39" spans="3:16" x14ac:dyDescent="0.35">
      <c r="C39" t="s">
        <v>14</v>
      </c>
      <c r="D39">
        <v>53051501</v>
      </c>
      <c r="E39" t="s">
        <v>1308</v>
      </c>
      <c r="F39" s="29">
        <v>3529</v>
      </c>
      <c r="G39" t="s">
        <v>199</v>
      </c>
      <c r="H39" s="2">
        <v>45706</v>
      </c>
      <c r="I39" t="s">
        <v>153</v>
      </c>
      <c r="J39" t="s">
        <v>153</v>
      </c>
      <c r="K39" t="s">
        <v>29</v>
      </c>
      <c r="M39" t="s">
        <v>59</v>
      </c>
      <c r="O39">
        <f t="shared" si="0"/>
        <v>2</v>
      </c>
      <c r="P39" t="str">
        <f>+VLOOKUP(O39,X:Y,2,0)</f>
        <v>Febrero</v>
      </c>
    </row>
    <row r="40" spans="3:16" x14ac:dyDescent="0.35">
      <c r="C40" t="s">
        <v>14</v>
      </c>
      <c r="D40">
        <v>53051501</v>
      </c>
      <c r="E40" t="s">
        <v>1308</v>
      </c>
      <c r="F40" s="29">
        <v>4303049</v>
      </c>
      <c r="G40" t="s">
        <v>31</v>
      </c>
      <c r="H40" s="2">
        <v>45707</v>
      </c>
      <c r="I40" t="s">
        <v>32</v>
      </c>
      <c r="J40" t="s">
        <v>32</v>
      </c>
      <c r="K40" t="s">
        <v>19</v>
      </c>
      <c r="M40" t="s">
        <v>59</v>
      </c>
      <c r="O40">
        <f t="shared" si="0"/>
        <v>2</v>
      </c>
      <c r="P40" t="str">
        <f>+VLOOKUP(O40,X:Y,2,0)</f>
        <v>Febrero</v>
      </c>
    </row>
    <row r="41" spans="3:16" x14ac:dyDescent="0.35">
      <c r="C41" t="s">
        <v>14</v>
      </c>
      <c r="D41">
        <v>53051501</v>
      </c>
      <c r="E41" t="s">
        <v>1308</v>
      </c>
      <c r="F41" s="29">
        <v>4739977.04</v>
      </c>
      <c r="G41" t="s">
        <v>33</v>
      </c>
      <c r="H41" s="2">
        <v>45707</v>
      </c>
      <c r="I41" t="s">
        <v>32</v>
      </c>
      <c r="J41" t="s">
        <v>32</v>
      </c>
      <c r="K41" t="s">
        <v>29</v>
      </c>
      <c r="M41" t="s">
        <v>59</v>
      </c>
      <c r="O41">
        <f t="shared" si="0"/>
        <v>2</v>
      </c>
      <c r="P41" t="str">
        <f>+VLOOKUP(O41,X:Y,2,0)</f>
        <v>Febrero</v>
      </c>
    </row>
    <row r="42" spans="3:16" x14ac:dyDescent="0.35">
      <c r="C42" t="s">
        <v>14</v>
      </c>
      <c r="D42">
        <v>53051501</v>
      </c>
      <c r="E42" t="s">
        <v>1308</v>
      </c>
      <c r="F42" s="29">
        <v>9801719</v>
      </c>
      <c r="G42" t="s">
        <v>34</v>
      </c>
      <c r="H42" s="2">
        <v>45707</v>
      </c>
      <c r="I42" t="s">
        <v>32</v>
      </c>
      <c r="J42" t="s">
        <v>32</v>
      </c>
      <c r="K42" t="s">
        <v>1512</v>
      </c>
      <c r="M42" t="s">
        <v>59</v>
      </c>
      <c r="O42">
        <f t="shared" si="0"/>
        <v>2</v>
      </c>
      <c r="P42" t="str">
        <f>+VLOOKUP(O42,X:Y,2,0)</f>
        <v>Febrero</v>
      </c>
    </row>
    <row r="43" spans="3:16" x14ac:dyDescent="0.35">
      <c r="C43" t="s">
        <v>14</v>
      </c>
      <c r="D43">
        <v>53051501</v>
      </c>
      <c r="E43" t="s">
        <v>1308</v>
      </c>
      <c r="F43" s="29">
        <v>2190</v>
      </c>
      <c r="G43" t="s">
        <v>36</v>
      </c>
      <c r="H43" s="2">
        <v>45707</v>
      </c>
      <c r="I43" t="s">
        <v>32</v>
      </c>
      <c r="J43" t="s">
        <v>32</v>
      </c>
      <c r="K43" t="s">
        <v>1527</v>
      </c>
      <c r="M43" t="s">
        <v>59</v>
      </c>
      <c r="O43">
        <f t="shared" si="0"/>
        <v>2</v>
      </c>
      <c r="P43" t="str">
        <f>+VLOOKUP(O43,X:Y,2,0)</f>
        <v>Febrero</v>
      </c>
    </row>
    <row r="44" spans="3:16" x14ac:dyDescent="0.35">
      <c r="C44" t="s">
        <v>14</v>
      </c>
      <c r="D44">
        <v>53051501</v>
      </c>
      <c r="E44" t="s">
        <v>1308</v>
      </c>
      <c r="F44" s="29">
        <v>2650</v>
      </c>
      <c r="G44" t="s">
        <v>38</v>
      </c>
      <c r="H44" s="2">
        <v>45707</v>
      </c>
      <c r="I44" t="s">
        <v>32</v>
      </c>
      <c r="J44" t="s">
        <v>32</v>
      </c>
      <c r="K44" t="s">
        <v>25</v>
      </c>
      <c r="M44" t="s">
        <v>59</v>
      </c>
      <c r="O44">
        <f t="shared" si="0"/>
        <v>2</v>
      </c>
      <c r="P44" t="str">
        <f>+VLOOKUP(O44,X:Y,2,0)</f>
        <v>Febrero</v>
      </c>
    </row>
    <row r="45" spans="3:16" x14ac:dyDescent="0.35">
      <c r="C45" t="s">
        <v>14</v>
      </c>
      <c r="D45">
        <v>53051501</v>
      </c>
      <c r="E45" t="s">
        <v>1308</v>
      </c>
      <c r="F45" s="29">
        <v>43927682.079999998</v>
      </c>
      <c r="G45" t="s">
        <v>39</v>
      </c>
      <c r="H45" s="2">
        <v>45707</v>
      </c>
      <c r="I45" t="s">
        <v>32</v>
      </c>
      <c r="J45" t="s">
        <v>32</v>
      </c>
      <c r="K45" t="s">
        <v>40</v>
      </c>
      <c r="M45" t="s">
        <v>59</v>
      </c>
      <c r="O45">
        <f t="shared" si="0"/>
        <v>2</v>
      </c>
      <c r="P45" t="str">
        <f>+VLOOKUP(O45,X:Y,2,0)</f>
        <v>Febrero</v>
      </c>
    </row>
    <row r="46" spans="3:16" x14ac:dyDescent="0.35">
      <c r="C46" t="s">
        <v>14</v>
      </c>
      <c r="D46">
        <v>53051501</v>
      </c>
      <c r="E46" t="s">
        <v>1308</v>
      </c>
      <c r="F46" s="29">
        <v>3558750</v>
      </c>
      <c r="G46" t="s">
        <v>41</v>
      </c>
      <c r="H46" s="2">
        <v>45707</v>
      </c>
      <c r="I46" t="s">
        <v>32</v>
      </c>
      <c r="J46" t="s">
        <v>32</v>
      </c>
      <c r="K46" t="s">
        <v>42</v>
      </c>
      <c r="M46" t="s">
        <v>59</v>
      </c>
      <c r="O46">
        <f t="shared" si="0"/>
        <v>2</v>
      </c>
      <c r="P46" t="str">
        <f>+VLOOKUP(O46,X:Y,2,0)</f>
        <v>Febrero</v>
      </c>
    </row>
    <row r="47" spans="3:16" x14ac:dyDescent="0.35">
      <c r="C47" t="s">
        <v>14</v>
      </c>
      <c r="D47">
        <v>53051501</v>
      </c>
      <c r="E47" t="s">
        <v>1308</v>
      </c>
      <c r="F47" s="29">
        <v>7426250</v>
      </c>
      <c r="G47" t="s">
        <v>43</v>
      </c>
      <c r="H47" s="2">
        <v>45707</v>
      </c>
      <c r="I47" t="s">
        <v>32</v>
      </c>
      <c r="J47" t="s">
        <v>32</v>
      </c>
      <c r="K47" t="s">
        <v>44</v>
      </c>
      <c r="M47" t="s">
        <v>59</v>
      </c>
      <c r="O47">
        <f t="shared" si="0"/>
        <v>2</v>
      </c>
      <c r="P47" t="str">
        <f>+VLOOKUP(O47,X:Y,2,0)</f>
        <v>Febrero</v>
      </c>
    </row>
    <row r="48" spans="3:16" x14ac:dyDescent="0.35">
      <c r="C48" t="s">
        <v>14</v>
      </c>
      <c r="D48">
        <v>53051501</v>
      </c>
      <c r="E48" t="s">
        <v>1308</v>
      </c>
      <c r="F48" s="29">
        <v>514829.43</v>
      </c>
      <c r="G48" t="s">
        <v>45</v>
      </c>
      <c r="H48" s="2">
        <v>45707</v>
      </c>
      <c r="I48" t="s">
        <v>32</v>
      </c>
      <c r="J48" t="s">
        <v>32</v>
      </c>
      <c r="K48" t="s">
        <v>46</v>
      </c>
      <c r="M48" t="s">
        <v>59</v>
      </c>
      <c r="O48">
        <f t="shared" si="0"/>
        <v>2</v>
      </c>
      <c r="P48" t="str">
        <f>+VLOOKUP(O48,X:Y,2,0)</f>
        <v>Febrero</v>
      </c>
    </row>
    <row r="49" spans="3:16" x14ac:dyDescent="0.35">
      <c r="C49" t="s">
        <v>14</v>
      </c>
      <c r="D49">
        <v>53051501</v>
      </c>
      <c r="E49" t="s">
        <v>1308</v>
      </c>
      <c r="F49" s="29">
        <v>-2190</v>
      </c>
      <c r="G49" t="s">
        <v>160</v>
      </c>
      <c r="H49" s="2">
        <v>45707</v>
      </c>
      <c r="I49" t="s">
        <v>161</v>
      </c>
      <c r="J49" t="s">
        <v>161</v>
      </c>
      <c r="K49" t="s">
        <v>1527</v>
      </c>
      <c r="M49" t="s">
        <v>59</v>
      </c>
      <c r="O49">
        <f t="shared" si="0"/>
        <v>2</v>
      </c>
      <c r="P49" t="str">
        <f>+VLOOKUP(O49,X:Y,2,0)</f>
        <v>Febrero</v>
      </c>
    </row>
    <row r="50" spans="3:16" x14ac:dyDescent="0.35">
      <c r="C50" t="s">
        <v>14</v>
      </c>
      <c r="D50">
        <v>53051501</v>
      </c>
      <c r="E50" t="s">
        <v>1308</v>
      </c>
      <c r="F50" s="29">
        <v>-3558750</v>
      </c>
      <c r="G50" t="s">
        <v>160</v>
      </c>
      <c r="H50" s="2">
        <v>45707</v>
      </c>
      <c r="I50" t="s">
        <v>161</v>
      </c>
      <c r="J50" t="s">
        <v>161</v>
      </c>
      <c r="K50" t="s">
        <v>42</v>
      </c>
      <c r="M50" t="s">
        <v>59</v>
      </c>
      <c r="O50">
        <f t="shared" si="0"/>
        <v>2</v>
      </c>
      <c r="P50" t="str">
        <f>+VLOOKUP(O50,X:Y,2,0)</f>
        <v>Febrero</v>
      </c>
    </row>
    <row r="51" spans="3:16" x14ac:dyDescent="0.35">
      <c r="C51" t="s">
        <v>14</v>
      </c>
      <c r="D51">
        <v>53051501</v>
      </c>
      <c r="E51" t="s">
        <v>1308</v>
      </c>
      <c r="F51" s="29">
        <v>-7426250</v>
      </c>
      <c r="G51" t="s">
        <v>160</v>
      </c>
      <c r="H51" s="2">
        <v>45707</v>
      </c>
      <c r="I51" t="s">
        <v>161</v>
      </c>
      <c r="J51" t="s">
        <v>161</v>
      </c>
      <c r="K51" t="s">
        <v>44</v>
      </c>
      <c r="M51" t="s">
        <v>59</v>
      </c>
      <c r="O51">
        <f t="shared" si="0"/>
        <v>2</v>
      </c>
      <c r="P51" t="str">
        <f>+VLOOKUP(O51,X:Y,2,0)</f>
        <v>Febrero</v>
      </c>
    </row>
    <row r="52" spans="3:16" x14ac:dyDescent="0.35">
      <c r="C52" t="s">
        <v>14</v>
      </c>
      <c r="D52">
        <v>53051501</v>
      </c>
      <c r="E52" t="s">
        <v>1308</v>
      </c>
      <c r="F52" s="29">
        <v>-4303049</v>
      </c>
      <c r="G52" t="s">
        <v>160</v>
      </c>
      <c r="H52" s="2">
        <v>45707</v>
      </c>
      <c r="I52" t="s">
        <v>161</v>
      </c>
      <c r="J52" t="s">
        <v>161</v>
      </c>
      <c r="K52" t="s">
        <v>19</v>
      </c>
      <c r="M52" t="s">
        <v>59</v>
      </c>
      <c r="O52">
        <f t="shared" si="0"/>
        <v>2</v>
      </c>
      <c r="P52" t="str">
        <f>+VLOOKUP(O52,X:Y,2,0)</f>
        <v>Febrero</v>
      </c>
    </row>
    <row r="53" spans="3:16" x14ac:dyDescent="0.35">
      <c r="C53" t="s">
        <v>14</v>
      </c>
      <c r="D53">
        <v>53051501</v>
      </c>
      <c r="E53" t="s">
        <v>1308</v>
      </c>
      <c r="F53" s="29">
        <v>-43927682.079999998</v>
      </c>
      <c r="G53" t="s">
        <v>160</v>
      </c>
      <c r="H53" s="2">
        <v>45707</v>
      </c>
      <c r="I53" t="s">
        <v>161</v>
      </c>
      <c r="J53" t="s">
        <v>161</v>
      </c>
      <c r="K53" t="s">
        <v>40</v>
      </c>
      <c r="M53" t="s">
        <v>59</v>
      </c>
      <c r="O53">
        <f t="shared" si="0"/>
        <v>2</v>
      </c>
      <c r="P53" t="str">
        <f>+VLOOKUP(O53,X:Y,2,0)</f>
        <v>Febrero</v>
      </c>
    </row>
    <row r="54" spans="3:16" x14ac:dyDescent="0.35">
      <c r="C54" t="s">
        <v>14</v>
      </c>
      <c r="D54">
        <v>53051501</v>
      </c>
      <c r="E54" t="s">
        <v>1308</v>
      </c>
      <c r="F54" s="29">
        <v>-2650</v>
      </c>
      <c r="G54" t="s">
        <v>160</v>
      </c>
      <c r="H54" s="2">
        <v>45707</v>
      </c>
      <c r="I54" t="s">
        <v>161</v>
      </c>
      <c r="J54" t="s">
        <v>161</v>
      </c>
      <c r="K54" t="s">
        <v>25</v>
      </c>
      <c r="M54" t="s">
        <v>59</v>
      </c>
      <c r="O54">
        <f t="shared" si="0"/>
        <v>2</v>
      </c>
      <c r="P54" t="str">
        <f>+VLOOKUP(O54,X:Y,2,0)</f>
        <v>Febrero</v>
      </c>
    </row>
    <row r="55" spans="3:16" x14ac:dyDescent="0.35">
      <c r="C55" t="s">
        <v>14</v>
      </c>
      <c r="D55">
        <v>53051501</v>
      </c>
      <c r="E55" t="s">
        <v>1308</v>
      </c>
      <c r="F55" s="29">
        <v>-9801719</v>
      </c>
      <c r="G55" t="s">
        <v>160</v>
      </c>
      <c r="H55" s="2">
        <v>45707</v>
      </c>
      <c r="I55" t="s">
        <v>161</v>
      </c>
      <c r="J55" t="s">
        <v>161</v>
      </c>
      <c r="K55" t="s">
        <v>1512</v>
      </c>
      <c r="M55" t="s">
        <v>59</v>
      </c>
      <c r="O55">
        <f t="shared" si="0"/>
        <v>2</v>
      </c>
      <c r="P55" t="str">
        <f>+VLOOKUP(O55,X:Y,2,0)</f>
        <v>Febrero</v>
      </c>
    </row>
    <row r="56" spans="3:16" x14ac:dyDescent="0.35">
      <c r="C56" t="s">
        <v>14</v>
      </c>
      <c r="D56">
        <v>53051501</v>
      </c>
      <c r="E56" t="s">
        <v>1308</v>
      </c>
      <c r="F56" s="29">
        <v>-4739977.04</v>
      </c>
      <c r="G56" t="s">
        <v>160</v>
      </c>
      <c r="H56" s="2">
        <v>45707</v>
      </c>
      <c r="I56" t="s">
        <v>161</v>
      </c>
      <c r="J56" t="s">
        <v>161</v>
      </c>
      <c r="K56" t="s">
        <v>29</v>
      </c>
      <c r="M56" t="s">
        <v>59</v>
      </c>
      <c r="O56">
        <f t="shared" si="0"/>
        <v>2</v>
      </c>
      <c r="P56" t="str">
        <f>+VLOOKUP(O56,X:Y,2,0)</f>
        <v>Febrero</v>
      </c>
    </row>
    <row r="57" spans="3:16" x14ac:dyDescent="0.35">
      <c r="C57" t="s">
        <v>14</v>
      </c>
      <c r="D57">
        <v>53051501</v>
      </c>
      <c r="E57" t="s">
        <v>1308</v>
      </c>
      <c r="F57" s="29">
        <v>-514829.43</v>
      </c>
      <c r="G57" t="s">
        <v>160</v>
      </c>
      <c r="H57" s="2">
        <v>45707</v>
      </c>
      <c r="I57" t="s">
        <v>161</v>
      </c>
      <c r="J57" t="s">
        <v>161</v>
      </c>
      <c r="K57" t="s">
        <v>46</v>
      </c>
      <c r="M57" t="s">
        <v>59</v>
      </c>
      <c r="O57">
        <f t="shared" si="0"/>
        <v>2</v>
      </c>
      <c r="P57" t="str">
        <f>+VLOOKUP(O57,X:Y,2,0)</f>
        <v>Febrero</v>
      </c>
    </row>
    <row r="58" spans="3:16" x14ac:dyDescent="0.35">
      <c r="C58" t="s">
        <v>14</v>
      </c>
      <c r="D58">
        <v>53051502</v>
      </c>
      <c r="E58" t="s">
        <v>1309</v>
      </c>
      <c r="F58" s="29">
        <v>1792877.05</v>
      </c>
      <c r="G58" t="s">
        <v>102</v>
      </c>
      <c r="H58" s="2">
        <v>45713</v>
      </c>
      <c r="I58" t="s">
        <v>103</v>
      </c>
      <c r="J58" t="s">
        <v>103</v>
      </c>
      <c r="K58" t="s">
        <v>40</v>
      </c>
      <c r="M58" t="s">
        <v>59</v>
      </c>
      <c r="O58">
        <f t="shared" si="0"/>
        <v>2</v>
      </c>
      <c r="P58" t="str">
        <f>+VLOOKUP(O58,X:Y,2,0)</f>
        <v>Febrero</v>
      </c>
    </row>
    <row r="59" spans="3:16" x14ac:dyDescent="0.35">
      <c r="C59" t="s">
        <v>14</v>
      </c>
      <c r="D59">
        <v>53051501</v>
      </c>
      <c r="E59" t="s">
        <v>1308</v>
      </c>
      <c r="F59" s="29">
        <v>3529</v>
      </c>
      <c r="G59" t="s">
        <v>200</v>
      </c>
      <c r="H59" s="2">
        <v>45713</v>
      </c>
      <c r="I59" t="s">
        <v>153</v>
      </c>
      <c r="J59" t="s">
        <v>153</v>
      </c>
      <c r="K59" t="s">
        <v>29</v>
      </c>
      <c r="M59" t="s">
        <v>59</v>
      </c>
      <c r="O59">
        <f t="shared" si="0"/>
        <v>2</v>
      </c>
      <c r="P59" t="str">
        <f>+VLOOKUP(O59,X:Y,2,0)</f>
        <v>Febrero</v>
      </c>
    </row>
    <row r="60" spans="3:16" x14ac:dyDescent="0.35">
      <c r="C60" t="s">
        <v>14</v>
      </c>
      <c r="D60">
        <v>53051502</v>
      </c>
      <c r="E60" t="s">
        <v>1309</v>
      </c>
      <c r="F60" s="29">
        <v>9251104.7599999998</v>
      </c>
      <c r="G60" t="s">
        <v>104</v>
      </c>
      <c r="H60" s="2">
        <v>45715</v>
      </c>
      <c r="I60" t="s">
        <v>105</v>
      </c>
      <c r="J60" t="s">
        <v>105</v>
      </c>
      <c r="K60" t="s">
        <v>40</v>
      </c>
      <c r="M60" t="s">
        <v>59</v>
      </c>
      <c r="O60">
        <f t="shared" si="0"/>
        <v>2</v>
      </c>
      <c r="P60" t="str">
        <f>+VLOOKUP(O60,X:Y,2,0)</f>
        <v>Febrero</v>
      </c>
    </row>
    <row r="61" spans="3:16" x14ac:dyDescent="0.35">
      <c r="C61" t="s">
        <v>14</v>
      </c>
      <c r="D61">
        <v>53051502</v>
      </c>
      <c r="E61" t="s">
        <v>1309</v>
      </c>
      <c r="F61" s="29">
        <v>1162707.26</v>
      </c>
      <c r="G61" t="s">
        <v>108</v>
      </c>
      <c r="H61" s="2">
        <v>45715</v>
      </c>
      <c r="I61" t="s">
        <v>109</v>
      </c>
      <c r="J61" t="s">
        <v>109</v>
      </c>
      <c r="K61" t="s">
        <v>40</v>
      </c>
      <c r="M61" t="s">
        <v>59</v>
      </c>
      <c r="O61">
        <f t="shared" si="0"/>
        <v>2</v>
      </c>
      <c r="P61" t="str">
        <f>+VLOOKUP(O61,X:Y,2,0)</f>
        <v>Febrero</v>
      </c>
    </row>
    <row r="62" spans="3:16" x14ac:dyDescent="0.35">
      <c r="C62" t="s">
        <v>14</v>
      </c>
      <c r="D62">
        <v>53051501</v>
      </c>
      <c r="E62" t="s">
        <v>1308</v>
      </c>
      <c r="F62" s="29">
        <v>11424.49</v>
      </c>
      <c r="G62" t="s">
        <v>162</v>
      </c>
      <c r="H62" s="2">
        <v>45715</v>
      </c>
      <c r="I62" t="s">
        <v>163</v>
      </c>
      <c r="J62" t="s">
        <v>163</v>
      </c>
      <c r="K62" t="s">
        <v>1527</v>
      </c>
      <c r="M62" t="s">
        <v>59</v>
      </c>
      <c r="O62">
        <f t="shared" si="0"/>
        <v>2</v>
      </c>
      <c r="P62" t="str">
        <f>+VLOOKUP(O62,X:Y,2,0)</f>
        <v>Febrero</v>
      </c>
    </row>
    <row r="63" spans="3:16" x14ac:dyDescent="0.35">
      <c r="C63" t="s">
        <v>14</v>
      </c>
      <c r="D63">
        <v>53051501</v>
      </c>
      <c r="E63" t="s">
        <v>1308</v>
      </c>
      <c r="F63" s="29">
        <v>-11424.49</v>
      </c>
      <c r="G63" t="s">
        <v>162</v>
      </c>
      <c r="H63" s="2">
        <v>45715</v>
      </c>
      <c r="I63" t="s">
        <v>163</v>
      </c>
      <c r="J63" t="s">
        <v>163</v>
      </c>
      <c r="K63" t="s">
        <v>29</v>
      </c>
      <c r="M63" t="s">
        <v>59</v>
      </c>
      <c r="O63">
        <f t="shared" si="0"/>
        <v>2</v>
      </c>
      <c r="P63" t="str">
        <f>+VLOOKUP(O63,X:Y,2,0)</f>
        <v>Febrero</v>
      </c>
    </row>
    <row r="64" spans="3:16" x14ac:dyDescent="0.35">
      <c r="C64" t="s">
        <v>14</v>
      </c>
      <c r="D64">
        <v>53051501</v>
      </c>
      <c r="E64" t="s">
        <v>1308</v>
      </c>
      <c r="F64" s="29">
        <v>239997.6</v>
      </c>
      <c r="G64" t="s">
        <v>164</v>
      </c>
      <c r="H64" s="2">
        <v>45715</v>
      </c>
      <c r="I64" t="s">
        <v>165</v>
      </c>
      <c r="J64" t="s">
        <v>166</v>
      </c>
      <c r="K64" t="s">
        <v>167</v>
      </c>
      <c r="M64" t="s">
        <v>59</v>
      </c>
      <c r="O64">
        <f t="shared" si="0"/>
        <v>2</v>
      </c>
      <c r="P64" t="str">
        <f>+VLOOKUP(O64,X:Y,2,0)</f>
        <v>Febrero</v>
      </c>
    </row>
    <row r="65" spans="3:16" x14ac:dyDescent="0.35">
      <c r="C65" t="s">
        <v>14</v>
      </c>
      <c r="D65">
        <v>53051501</v>
      </c>
      <c r="E65" t="s">
        <v>1308</v>
      </c>
      <c r="F65" s="29">
        <v>3558750</v>
      </c>
      <c r="G65" t="s">
        <v>62</v>
      </c>
      <c r="H65" s="2">
        <v>45716</v>
      </c>
      <c r="I65" t="s">
        <v>63</v>
      </c>
      <c r="J65" t="s">
        <v>63</v>
      </c>
      <c r="K65" t="s">
        <v>44</v>
      </c>
      <c r="M65" t="s">
        <v>59</v>
      </c>
      <c r="O65">
        <f t="shared" si="0"/>
        <v>2</v>
      </c>
      <c r="P65" t="str">
        <f>+VLOOKUP(O65,X:Y,2,0)</f>
        <v>Febrero</v>
      </c>
    </row>
    <row r="66" spans="3:16" x14ac:dyDescent="0.35">
      <c r="C66" t="s">
        <v>14</v>
      </c>
      <c r="D66">
        <v>53051501</v>
      </c>
      <c r="E66" t="s">
        <v>1308</v>
      </c>
      <c r="F66" s="29">
        <v>3558750</v>
      </c>
      <c r="G66" t="s">
        <v>64</v>
      </c>
      <c r="H66" s="2">
        <v>45716</v>
      </c>
      <c r="I66" t="s">
        <v>65</v>
      </c>
      <c r="J66" t="s">
        <v>65</v>
      </c>
      <c r="K66" t="s">
        <v>42</v>
      </c>
      <c r="M66" t="s">
        <v>59</v>
      </c>
      <c r="O66">
        <f t="shared" si="0"/>
        <v>2</v>
      </c>
      <c r="P66" t="str">
        <f>+VLOOKUP(O66,X:Y,2,0)</f>
        <v>Febrero</v>
      </c>
    </row>
    <row r="67" spans="3:16" x14ac:dyDescent="0.35">
      <c r="C67" t="s">
        <v>14</v>
      </c>
      <c r="D67">
        <v>53051501</v>
      </c>
      <c r="E67" t="s">
        <v>1308</v>
      </c>
      <c r="F67" s="29">
        <v>16300</v>
      </c>
      <c r="G67" t="s">
        <v>106</v>
      </c>
      <c r="H67" s="2">
        <v>45716</v>
      </c>
      <c r="I67" t="s">
        <v>107</v>
      </c>
      <c r="J67" t="s">
        <v>107</v>
      </c>
      <c r="K67" t="s">
        <v>19</v>
      </c>
      <c r="M67" t="s">
        <v>59</v>
      </c>
      <c r="O67">
        <f t="shared" si="0"/>
        <v>2</v>
      </c>
      <c r="P67" t="str">
        <f>+VLOOKUP(O67,X:Y,2,0)</f>
        <v>Febrero</v>
      </c>
    </row>
    <row r="68" spans="3:16" x14ac:dyDescent="0.35">
      <c r="C68" t="s">
        <v>14</v>
      </c>
      <c r="D68">
        <v>53051501</v>
      </c>
      <c r="E68" t="s">
        <v>1308</v>
      </c>
      <c r="F68" s="29">
        <v>284369.99</v>
      </c>
      <c r="G68" t="s">
        <v>110</v>
      </c>
      <c r="H68" s="2">
        <v>45716</v>
      </c>
      <c r="I68" t="s">
        <v>111</v>
      </c>
      <c r="J68" t="s">
        <v>111</v>
      </c>
      <c r="K68" t="s">
        <v>46</v>
      </c>
      <c r="M68" t="s">
        <v>59</v>
      </c>
      <c r="O68">
        <f t="shared" ref="O68:O76" si="1">+MONTH(H68)</f>
        <v>2</v>
      </c>
      <c r="P68" t="str">
        <f>+VLOOKUP(O68,X:Y,2,0)</f>
        <v>Febrero</v>
      </c>
    </row>
    <row r="69" spans="3:16" x14ac:dyDescent="0.35">
      <c r="C69" t="s">
        <v>14</v>
      </c>
      <c r="D69">
        <v>53051501</v>
      </c>
      <c r="E69" t="s">
        <v>1308</v>
      </c>
      <c r="F69" s="29">
        <v>4199416.6399999997</v>
      </c>
      <c r="G69" t="s">
        <v>112</v>
      </c>
      <c r="H69" s="2">
        <v>45716</v>
      </c>
      <c r="I69" t="s">
        <v>113</v>
      </c>
      <c r="J69" t="s">
        <v>113</v>
      </c>
      <c r="K69" t="s">
        <v>29</v>
      </c>
      <c r="M69" t="s">
        <v>59</v>
      </c>
      <c r="O69">
        <f t="shared" si="1"/>
        <v>2</v>
      </c>
      <c r="P69" t="str">
        <f>+VLOOKUP(O69,X:Y,2,0)</f>
        <v>Febrero</v>
      </c>
    </row>
    <row r="70" spans="3:16" x14ac:dyDescent="0.35">
      <c r="C70" t="s">
        <v>14</v>
      </c>
      <c r="D70">
        <v>53051501</v>
      </c>
      <c r="E70" t="s">
        <v>1308</v>
      </c>
      <c r="F70" s="29">
        <v>1604625</v>
      </c>
      <c r="G70" t="s">
        <v>114</v>
      </c>
      <c r="H70" s="2">
        <v>45716</v>
      </c>
      <c r="I70" t="s">
        <v>115</v>
      </c>
      <c r="J70" t="s">
        <v>116</v>
      </c>
      <c r="K70" t="s">
        <v>19</v>
      </c>
      <c r="M70" t="s">
        <v>59</v>
      </c>
      <c r="O70">
        <f t="shared" si="1"/>
        <v>2</v>
      </c>
      <c r="P70" t="str">
        <f>+VLOOKUP(O70,X:Y,2,0)</f>
        <v>Febrero</v>
      </c>
    </row>
    <row r="71" spans="3:16" x14ac:dyDescent="0.35">
      <c r="C71" t="s">
        <v>14</v>
      </c>
      <c r="D71">
        <v>53051501</v>
      </c>
      <c r="E71" t="s">
        <v>1308</v>
      </c>
      <c r="F71" s="29">
        <v>54140</v>
      </c>
      <c r="G71" t="s">
        <v>117</v>
      </c>
      <c r="H71" s="2">
        <v>45716</v>
      </c>
      <c r="I71" t="s">
        <v>118</v>
      </c>
      <c r="J71" t="s">
        <v>118</v>
      </c>
      <c r="K71" t="s">
        <v>19</v>
      </c>
      <c r="M71" t="s">
        <v>59</v>
      </c>
      <c r="O71">
        <f t="shared" si="1"/>
        <v>2</v>
      </c>
      <c r="P71" t="str">
        <f>+VLOOKUP(O71,X:Y,2,0)</f>
        <v>Febrero</v>
      </c>
    </row>
    <row r="72" spans="3:16" x14ac:dyDescent="0.35">
      <c r="C72" t="s">
        <v>14</v>
      </c>
      <c r="D72">
        <v>53051501</v>
      </c>
      <c r="E72" t="s">
        <v>1308</v>
      </c>
      <c r="F72" s="29">
        <v>8162148</v>
      </c>
      <c r="G72" t="s">
        <v>119</v>
      </c>
      <c r="H72" s="2">
        <v>45716</v>
      </c>
      <c r="I72" t="s">
        <v>120</v>
      </c>
      <c r="J72" t="s">
        <v>120</v>
      </c>
      <c r="K72" t="s">
        <v>1512</v>
      </c>
      <c r="M72" t="s">
        <v>59</v>
      </c>
      <c r="O72">
        <f t="shared" si="1"/>
        <v>2</v>
      </c>
      <c r="P72" t="str">
        <f>+VLOOKUP(O72,X:Y,2,0)</f>
        <v>Febrero</v>
      </c>
    </row>
    <row r="73" spans="3:16" x14ac:dyDescent="0.35">
      <c r="C73" t="s">
        <v>14</v>
      </c>
      <c r="D73">
        <v>53051502</v>
      </c>
      <c r="E73" t="s">
        <v>1309</v>
      </c>
      <c r="F73" s="29">
        <v>-639375</v>
      </c>
      <c r="G73" t="s">
        <v>168</v>
      </c>
      <c r="H73" s="2">
        <v>45716</v>
      </c>
      <c r="I73" t="s">
        <v>169</v>
      </c>
      <c r="J73" t="s">
        <v>169</v>
      </c>
      <c r="K73" t="s">
        <v>40</v>
      </c>
      <c r="M73" t="s">
        <v>59</v>
      </c>
      <c r="O73">
        <f t="shared" si="1"/>
        <v>2</v>
      </c>
      <c r="P73" t="str">
        <f>+VLOOKUP(O73,X:Y,2,0)</f>
        <v>Febrero</v>
      </c>
    </row>
    <row r="74" spans="3:16" x14ac:dyDescent="0.35">
      <c r="C74" t="s">
        <v>14</v>
      </c>
      <c r="D74">
        <v>53051502</v>
      </c>
      <c r="E74" t="s">
        <v>1309</v>
      </c>
      <c r="F74" s="29">
        <v>37562145.5</v>
      </c>
      <c r="G74" t="s">
        <v>170</v>
      </c>
      <c r="H74" s="2">
        <v>45716</v>
      </c>
      <c r="I74" t="s">
        <v>171</v>
      </c>
      <c r="J74" t="s">
        <v>171</v>
      </c>
      <c r="K74" t="s">
        <v>40</v>
      </c>
      <c r="M74" t="s">
        <v>59</v>
      </c>
      <c r="O74">
        <f t="shared" si="1"/>
        <v>2</v>
      </c>
      <c r="P74" t="str">
        <f>+VLOOKUP(O74,X:Y,2,0)</f>
        <v>Febrero</v>
      </c>
    </row>
    <row r="75" spans="3:16" x14ac:dyDescent="0.35">
      <c r="C75" t="s">
        <v>14</v>
      </c>
      <c r="D75">
        <v>53051502</v>
      </c>
      <c r="E75" t="s">
        <v>1309</v>
      </c>
      <c r="F75" s="29">
        <v>3496088</v>
      </c>
      <c r="G75" t="s">
        <v>170</v>
      </c>
      <c r="H75" s="2">
        <v>45716</v>
      </c>
      <c r="I75" t="s">
        <v>171</v>
      </c>
      <c r="J75" t="s">
        <v>171</v>
      </c>
      <c r="K75" t="s">
        <v>172</v>
      </c>
      <c r="M75" t="s">
        <v>59</v>
      </c>
      <c r="O75">
        <f t="shared" si="1"/>
        <v>2</v>
      </c>
      <c r="P75" t="str">
        <f>+VLOOKUP(O75,X:Y,2,0)</f>
        <v>Febrero</v>
      </c>
    </row>
    <row r="76" spans="3:16" x14ac:dyDescent="0.35">
      <c r="C76" t="s">
        <v>14</v>
      </c>
      <c r="D76">
        <v>53051502</v>
      </c>
      <c r="E76" t="s">
        <v>1309</v>
      </c>
      <c r="F76" s="29">
        <v>2230352.23</v>
      </c>
      <c r="G76" t="s">
        <v>173</v>
      </c>
      <c r="H76" s="2">
        <v>45716</v>
      </c>
      <c r="I76" t="s">
        <v>174</v>
      </c>
      <c r="J76" t="s">
        <v>174</v>
      </c>
      <c r="K76" t="s">
        <v>40</v>
      </c>
      <c r="M76" t="s">
        <v>59</v>
      </c>
      <c r="O76">
        <f t="shared" si="1"/>
        <v>2</v>
      </c>
      <c r="P76" t="str">
        <f>+VLOOKUP(O76,X:Y,2,0)</f>
        <v>Febrero</v>
      </c>
    </row>
    <row r="77" spans="3:16" x14ac:dyDescent="0.35">
      <c r="C77" t="s">
        <v>14</v>
      </c>
      <c r="D77">
        <v>53051501</v>
      </c>
      <c r="E77" s="34" t="s">
        <v>1427</v>
      </c>
      <c r="F77" s="29">
        <v>5112511</v>
      </c>
      <c r="G77" t="s">
        <v>201</v>
      </c>
      <c r="H77" s="2">
        <v>45716</v>
      </c>
      <c r="I77" t="s">
        <v>202</v>
      </c>
      <c r="J77" t="s">
        <v>202</v>
      </c>
      <c r="K77" t="s">
        <v>203</v>
      </c>
      <c r="M77" t="s">
        <v>59</v>
      </c>
      <c r="O77">
        <f t="shared" ref="O77:O140" si="2">+MONTH(H77)</f>
        <v>2</v>
      </c>
      <c r="P77" t="str">
        <f>+VLOOKUP(O77,X:Y,2,0)</f>
        <v>Febrero</v>
      </c>
    </row>
    <row r="78" spans="3:16" x14ac:dyDescent="0.35">
      <c r="C78" t="s">
        <v>14</v>
      </c>
      <c r="D78">
        <v>53051501</v>
      </c>
      <c r="E78" s="34" t="s">
        <v>1427</v>
      </c>
      <c r="F78" s="29">
        <v>17909491</v>
      </c>
      <c r="G78" t="s">
        <v>204</v>
      </c>
      <c r="H78" s="2">
        <v>45716</v>
      </c>
      <c r="I78" t="s">
        <v>205</v>
      </c>
      <c r="J78" t="s">
        <v>205</v>
      </c>
      <c r="K78" t="s">
        <v>203</v>
      </c>
      <c r="M78" t="s">
        <v>59</v>
      </c>
      <c r="O78">
        <f t="shared" si="2"/>
        <v>2</v>
      </c>
      <c r="P78" t="str">
        <f>+VLOOKUP(O78,X:Y,2,0)</f>
        <v>Febrero</v>
      </c>
    </row>
    <row r="79" spans="3:16" x14ac:dyDescent="0.35">
      <c r="C79" t="s">
        <v>14</v>
      </c>
      <c r="D79">
        <v>53051501</v>
      </c>
      <c r="E79" t="s">
        <v>1308</v>
      </c>
      <c r="F79" s="29">
        <v>3529</v>
      </c>
      <c r="G79" t="s">
        <v>206</v>
      </c>
      <c r="H79" s="2">
        <v>45720</v>
      </c>
      <c r="I79" t="s">
        <v>151</v>
      </c>
      <c r="J79" t="s">
        <v>151</v>
      </c>
      <c r="K79" t="s">
        <v>29</v>
      </c>
      <c r="M79" t="s">
        <v>59</v>
      </c>
      <c r="O79">
        <f t="shared" si="2"/>
        <v>3</v>
      </c>
      <c r="P79" t="str">
        <f>+VLOOKUP(O79,X:Y,2,0)</f>
        <v>Marzo</v>
      </c>
    </row>
    <row r="80" spans="3:16" x14ac:dyDescent="0.35">
      <c r="C80" t="s">
        <v>14</v>
      </c>
      <c r="D80">
        <v>53051501</v>
      </c>
      <c r="E80" t="s">
        <v>1308</v>
      </c>
      <c r="F80" s="29">
        <v>3529</v>
      </c>
      <c r="G80" t="s">
        <v>207</v>
      </c>
      <c r="H80" s="2">
        <v>45720</v>
      </c>
      <c r="I80" t="s">
        <v>208</v>
      </c>
      <c r="J80" t="s">
        <v>208</v>
      </c>
      <c r="K80" t="s">
        <v>29</v>
      </c>
      <c r="M80" t="s">
        <v>59</v>
      </c>
      <c r="O80">
        <f t="shared" si="2"/>
        <v>3</v>
      </c>
      <c r="P80" t="str">
        <f>+VLOOKUP(O80,X:Y,2,0)</f>
        <v>Marzo</v>
      </c>
    </row>
    <row r="81" spans="3:16" x14ac:dyDescent="0.35">
      <c r="C81" t="s">
        <v>14</v>
      </c>
      <c r="D81">
        <v>53051501</v>
      </c>
      <c r="E81" t="s">
        <v>1308</v>
      </c>
      <c r="F81" s="29">
        <v>3529</v>
      </c>
      <c r="G81" t="s">
        <v>209</v>
      </c>
      <c r="H81" s="2">
        <v>45721</v>
      </c>
      <c r="I81" t="s">
        <v>151</v>
      </c>
      <c r="J81" t="s">
        <v>151</v>
      </c>
      <c r="K81" t="s">
        <v>29</v>
      </c>
      <c r="M81" t="s">
        <v>59</v>
      </c>
      <c r="O81">
        <f t="shared" si="2"/>
        <v>3</v>
      </c>
      <c r="P81" t="str">
        <f>+VLOOKUP(O81,X:Y,2,0)</f>
        <v>Marzo</v>
      </c>
    </row>
    <row r="82" spans="3:16" x14ac:dyDescent="0.35">
      <c r="C82" t="s">
        <v>14</v>
      </c>
      <c r="D82">
        <v>53051501</v>
      </c>
      <c r="E82" t="s">
        <v>1308</v>
      </c>
      <c r="F82" s="29">
        <v>3529</v>
      </c>
      <c r="G82" t="s">
        <v>210</v>
      </c>
      <c r="H82" s="2">
        <v>45721</v>
      </c>
      <c r="I82" t="s">
        <v>194</v>
      </c>
      <c r="J82" t="s">
        <v>194</v>
      </c>
      <c r="K82" t="s">
        <v>29</v>
      </c>
      <c r="M82" t="s">
        <v>59</v>
      </c>
      <c r="O82">
        <f t="shared" si="2"/>
        <v>3</v>
      </c>
      <c r="P82" t="str">
        <f>+VLOOKUP(O82,X:Y,2,0)</f>
        <v>Marzo</v>
      </c>
    </row>
    <row r="83" spans="3:16" x14ac:dyDescent="0.35">
      <c r="C83" t="s">
        <v>14</v>
      </c>
      <c r="D83">
        <v>53051501</v>
      </c>
      <c r="E83" t="s">
        <v>1308</v>
      </c>
      <c r="F83" s="29">
        <v>12052</v>
      </c>
      <c r="G83" t="s">
        <v>121</v>
      </c>
      <c r="H83" s="2">
        <v>45722</v>
      </c>
      <c r="I83" t="s">
        <v>122</v>
      </c>
      <c r="J83" t="s">
        <v>122</v>
      </c>
      <c r="K83" t="s">
        <v>1527</v>
      </c>
      <c r="M83" t="s">
        <v>59</v>
      </c>
      <c r="O83">
        <f t="shared" si="2"/>
        <v>3</v>
      </c>
      <c r="P83" t="str">
        <f>+VLOOKUP(O83,X:Y,2,0)</f>
        <v>Marzo</v>
      </c>
    </row>
    <row r="84" spans="3:16" x14ac:dyDescent="0.35">
      <c r="C84" t="s">
        <v>14</v>
      </c>
      <c r="D84">
        <v>53051502</v>
      </c>
      <c r="E84" t="s">
        <v>1309</v>
      </c>
      <c r="F84" s="29">
        <v>1069455.6299999999</v>
      </c>
      <c r="G84" t="s">
        <v>175</v>
      </c>
      <c r="H84" s="2">
        <v>45722</v>
      </c>
      <c r="I84" t="s">
        <v>176</v>
      </c>
      <c r="J84" t="s">
        <v>176</v>
      </c>
      <c r="K84" t="s">
        <v>40</v>
      </c>
      <c r="M84" t="s">
        <v>59</v>
      </c>
      <c r="O84">
        <f t="shared" si="2"/>
        <v>3</v>
      </c>
      <c r="P84" t="str">
        <f>+VLOOKUP(O84,X:Y,2,0)</f>
        <v>Marzo</v>
      </c>
    </row>
    <row r="85" spans="3:16" x14ac:dyDescent="0.35">
      <c r="C85" t="s">
        <v>14</v>
      </c>
      <c r="D85">
        <v>53051502</v>
      </c>
      <c r="E85" t="s">
        <v>1309</v>
      </c>
      <c r="F85" s="29">
        <v>59241903.100000001</v>
      </c>
      <c r="G85" t="s">
        <v>177</v>
      </c>
      <c r="H85" s="2">
        <v>45724</v>
      </c>
      <c r="I85" t="s">
        <v>178</v>
      </c>
      <c r="J85" t="s">
        <v>178</v>
      </c>
      <c r="K85" t="s">
        <v>40</v>
      </c>
      <c r="M85" t="s">
        <v>59</v>
      </c>
      <c r="O85">
        <f t="shared" si="2"/>
        <v>3</v>
      </c>
      <c r="P85" t="str">
        <f>+VLOOKUP(O85,X:Y,2,0)</f>
        <v>Marzo</v>
      </c>
    </row>
    <row r="86" spans="3:16" x14ac:dyDescent="0.35">
      <c r="C86" t="s">
        <v>14</v>
      </c>
      <c r="D86">
        <v>53051501</v>
      </c>
      <c r="E86" t="s">
        <v>1308</v>
      </c>
      <c r="F86" s="29">
        <v>3529</v>
      </c>
      <c r="G86" t="s">
        <v>211</v>
      </c>
      <c r="H86" s="2">
        <v>45727</v>
      </c>
      <c r="I86" t="s">
        <v>212</v>
      </c>
      <c r="J86" t="s">
        <v>213</v>
      </c>
      <c r="K86" t="s">
        <v>29</v>
      </c>
      <c r="M86" t="s">
        <v>59</v>
      </c>
      <c r="O86">
        <f t="shared" si="2"/>
        <v>3</v>
      </c>
      <c r="P86" t="str">
        <f>+VLOOKUP(O86,X:Y,2,0)</f>
        <v>Marzo</v>
      </c>
    </row>
    <row r="87" spans="3:16" x14ac:dyDescent="0.35">
      <c r="C87" t="s">
        <v>14</v>
      </c>
      <c r="D87">
        <v>53051501</v>
      </c>
      <c r="E87" t="s">
        <v>1308</v>
      </c>
      <c r="F87" s="29">
        <v>3529</v>
      </c>
      <c r="G87" t="s">
        <v>214</v>
      </c>
      <c r="H87" s="2">
        <v>45727</v>
      </c>
      <c r="I87" t="s">
        <v>151</v>
      </c>
      <c r="J87" t="s">
        <v>151</v>
      </c>
      <c r="K87" t="s">
        <v>29</v>
      </c>
      <c r="M87" t="s">
        <v>59</v>
      </c>
      <c r="O87">
        <f t="shared" si="2"/>
        <v>3</v>
      </c>
      <c r="P87" t="str">
        <f>+VLOOKUP(O87,X:Y,2,0)</f>
        <v>Marzo</v>
      </c>
    </row>
    <row r="88" spans="3:16" x14ac:dyDescent="0.35">
      <c r="C88" t="s">
        <v>14</v>
      </c>
      <c r="D88">
        <v>53051501</v>
      </c>
      <c r="E88" t="s">
        <v>1308</v>
      </c>
      <c r="F88" s="29">
        <v>711750</v>
      </c>
      <c r="G88" t="s">
        <v>66</v>
      </c>
      <c r="H88" s="2">
        <v>45733</v>
      </c>
      <c r="I88" t="s">
        <v>67</v>
      </c>
      <c r="J88" t="s">
        <v>67</v>
      </c>
      <c r="K88" t="s">
        <v>42</v>
      </c>
      <c r="M88" t="s">
        <v>59</v>
      </c>
      <c r="O88">
        <f t="shared" si="2"/>
        <v>3</v>
      </c>
      <c r="P88" t="str">
        <f>+VLOOKUP(O88,X:Y,2,0)</f>
        <v>Marzo</v>
      </c>
    </row>
    <row r="89" spans="3:16" x14ac:dyDescent="0.35">
      <c r="C89" t="s">
        <v>14</v>
      </c>
      <c r="D89">
        <v>53051501</v>
      </c>
      <c r="E89" t="s">
        <v>1308</v>
      </c>
      <c r="F89" s="29">
        <v>3558750</v>
      </c>
      <c r="G89" t="s">
        <v>68</v>
      </c>
      <c r="H89" s="2">
        <v>45733</v>
      </c>
      <c r="I89" t="s">
        <v>69</v>
      </c>
      <c r="J89" t="s">
        <v>69</v>
      </c>
      <c r="K89" t="s">
        <v>42</v>
      </c>
      <c r="M89" t="s">
        <v>59</v>
      </c>
      <c r="O89">
        <f t="shared" si="2"/>
        <v>3</v>
      </c>
      <c r="P89" t="str">
        <f>+VLOOKUP(O89,X:Y,2,0)</f>
        <v>Marzo</v>
      </c>
    </row>
    <row r="90" spans="3:16" x14ac:dyDescent="0.35">
      <c r="C90" t="s">
        <v>14</v>
      </c>
      <c r="D90">
        <v>53051501</v>
      </c>
      <c r="E90" t="s">
        <v>1308</v>
      </c>
      <c r="F90" s="29">
        <v>3558750</v>
      </c>
      <c r="G90" t="s">
        <v>70</v>
      </c>
      <c r="H90" s="2">
        <v>45733</v>
      </c>
      <c r="I90" t="s">
        <v>71</v>
      </c>
      <c r="J90" t="s">
        <v>72</v>
      </c>
      <c r="K90" t="s">
        <v>44</v>
      </c>
      <c r="M90" t="s">
        <v>59</v>
      </c>
      <c r="O90">
        <f t="shared" si="2"/>
        <v>3</v>
      </c>
      <c r="P90" t="str">
        <f>+VLOOKUP(O90,X:Y,2,0)</f>
        <v>Marzo</v>
      </c>
    </row>
    <row r="91" spans="3:16" x14ac:dyDescent="0.35">
      <c r="C91" t="s">
        <v>14</v>
      </c>
      <c r="D91">
        <v>53051501</v>
      </c>
      <c r="E91" t="s">
        <v>1308</v>
      </c>
      <c r="F91" s="29">
        <v>1423500</v>
      </c>
      <c r="G91" t="s">
        <v>73</v>
      </c>
      <c r="H91" s="2">
        <v>45736</v>
      </c>
      <c r="I91" t="s">
        <v>74</v>
      </c>
      <c r="J91" t="s">
        <v>74</v>
      </c>
      <c r="K91" t="s">
        <v>75</v>
      </c>
      <c r="M91" t="s">
        <v>59</v>
      </c>
      <c r="O91">
        <f t="shared" si="2"/>
        <v>3</v>
      </c>
      <c r="P91" t="str">
        <f>+VLOOKUP(O91,X:Y,2,0)</f>
        <v>Marzo</v>
      </c>
    </row>
    <row r="92" spans="3:16" x14ac:dyDescent="0.35">
      <c r="C92" t="s">
        <v>14</v>
      </c>
      <c r="D92">
        <v>53051501</v>
      </c>
      <c r="E92" t="s">
        <v>1308</v>
      </c>
      <c r="F92" s="29">
        <v>1675065</v>
      </c>
      <c r="G92" t="s">
        <v>47</v>
      </c>
      <c r="H92" s="2">
        <v>45737</v>
      </c>
      <c r="I92" t="s">
        <v>48</v>
      </c>
      <c r="J92" t="s">
        <v>48</v>
      </c>
      <c r="K92" t="s">
        <v>19</v>
      </c>
      <c r="M92" t="s">
        <v>59</v>
      </c>
      <c r="O92">
        <f t="shared" si="2"/>
        <v>3</v>
      </c>
      <c r="P92" t="str">
        <f>+VLOOKUP(O92,X:Y,2,0)</f>
        <v>Marzo</v>
      </c>
    </row>
    <row r="93" spans="3:16" x14ac:dyDescent="0.35">
      <c r="C93" t="s">
        <v>14</v>
      </c>
      <c r="D93">
        <v>53051501</v>
      </c>
      <c r="E93" t="s">
        <v>1308</v>
      </c>
      <c r="F93" s="29">
        <v>4209166.1500000004</v>
      </c>
      <c r="G93" t="s">
        <v>49</v>
      </c>
      <c r="H93" s="2">
        <v>45737</v>
      </c>
      <c r="I93" t="s">
        <v>48</v>
      </c>
      <c r="J93" t="s">
        <v>48</v>
      </c>
      <c r="K93" t="s">
        <v>29</v>
      </c>
      <c r="M93" t="s">
        <v>59</v>
      </c>
      <c r="O93">
        <f t="shared" si="2"/>
        <v>3</v>
      </c>
      <c r="P93" t="str">
        <f>+VLOOKUP(O93,X:Y,2,0)</f>
        <v>Marzo</v>
      </c>
    </row>
    <row r="94" spans="3:16" x14ac:dyDescent="0.35">
      <c r="C94" t="s">
        <v>14</v>
      </c>
      <c r="D94">
        <v>53051501</v>
      </c>
      <c r="E94" t="s">
        <v>1308</v>
      </c>
      <c r="F94" s="29">
        <v>8162148</v>
      </c>
      <c r="G94" t="s">
        <v>50</v>
      </c>
      <c r="H94" s="2">
        <v>45737</v>
      </c>
      <c r="I94" t="s">
        <v>51</v>
      </c>
      <c r="J94" t="s">
        <v>51</v>
      </c>
      <c r="K94" t="s">
        <v>1512</v>
      </c>
      <c r="M94" t="s">
        <v>59</v>
      </c>
      <c r="O94">
        <f t="shared" si="2"/>
        <v>3</v>
      </c>
      <c r="P94" t="str">
        <f>+VLOOKUP(O94,X:Y,2,0)</f>
        <v>Marzo</v>
      </c>
    </row>
    <row r="95" spans="3:16" x14ac:dyDescent="0.35">
      <c r="C95" t="s">
        <v>14</v>
      </c>
      <c r="D95">
        <v>53051501</v>
      </c>
      <c r="E95" t="s">
        <v>1308</v>
      </c>
      <c r="F95" s="29">
        <v>32028.49</v>
      </c>
      <c r="G95" t="s">
        <v>52</v>
      </c>
      <c r="H95" s="2">
        <v>45737</v>
      </c>
      <c r="I95" t="s">
        <v>48</v>
      </c>
      <c r="J95" t="s">
        <v>48</v>
      </c>
      <c r="K95" t="s">
        <v>1527</v>
      </c>
      <c r="M95" t="s">
        <v>59</v>
      </c>
      <c r="O95">
        <f t="shared" si="2"/>
        <v>3</v>
      </c>
      <c r="P95" t="str">
        <f>+VLOOKUP(O95,X:Y,2,0)</f>
        <v>Marzo</v>
      </c>
    </row>
    <row r="96" spans="3:16" x14ac:dyDescent="0.35">
      <c r="C96" t="s">
        <v>14</v>
      </c>
      <c r="D96">
        <v>53051501</v>
      </c>
      <c r="E96" s="31" t="s">
        <v>1308</v>
      </c>
      <c r="F96" s="30">
        <v>51359811.799999997</v>
      </c>
      <c r="G96" t="s">
        <v>53</v>
      </c>
      <c r="H96" s="2">
        <v>45737</v>
      </c>
      <c r="I96" t="s">
        <v>48</v>
      </c>
      <c r="J96" t="s">
        <v>48</v>
      </c>
      <c r="K96" t="s">
        <v>40</v>
      </c>
      <c r="M96" t="s">
        <v>59</v>
      </c>
      <c r="O96">
        <f t="shared" si="2"/>
        <v>3</v>
      </c>
      <c r="P96" t="str">
        <f>+VLOOKUP(O96,X:Y,2,0)</f>
        <v>Marzo</v>
      </c>
    </row>
    <row r="97" spans="3:16" x14ac:dyDescent="0.35">
      <c r="C97" t="s">
        <v>14</v>
      </c>
      <c r="D97">
        <v>53051501</v>
      </c>
      <c r="E97" t="s">
        <v>1308</v>
      </c>
      <c r="F97" s="29">
        <v>3558750</v>
      </c>
      <c r="G97" t="s">
        <v>54</v>
      </c>
      <c r="H97" s="2">
        <v>45737</v>
      </c>
      <c r="I97" t="s">
        <v>48</v>
      </c>
      <c r="J97" t="s">
        <v>48</v>
      </c>
      <c r="K97" t="s">
        <v>42</v>
      </c>
      <c r="M97" t="s">
        <v>59</v>
      </c>
      <c r="O97">
        <f t="shared" si="2"/>
        <v>3</v>
      </c>
      <c r="P97" t="str">
        <f>+VLOOKUP(O97,X:Y,2,0)</f>
        <v>Marzo</v>
      </c>
    </row>
    <row r="98" spans="3:16" x14ac:dyDescent="0.35">
      <c r="C98" t="s">
        <v>14</v>
      </c>
      <c r="D98">
        <v>53051501</v>
      </c>
      <c r="E98" t="s">
        <v>1308</v>
      </c>
      <c r="F98" s="29">
        <v>3558750</v>
      </c>
      <c r="G98" t="s">
        <v>55</v>
      </c>
      <c r="H98" s="2">
        <v>45737</v>
      </c>
      <c r="I98" t="s">
        <v>48</v>
      </c>
      <c r="J98" t="s">
        <v>48</v>
      </c>
      <c r="K98" t="s">
        <v>44</v>
      </c>
      <c r="M98" t="s">
        <v>59</v>
      </c>
      <c r="O98">
        <f t="shared" si="2"/>
        <v>3</v>
      </c>
      <c r="P98" t="str">
        <f>+VLOOKUP(O98,X:Y,2,0)</f>
        <v>Marzo</v>
      </c>
    </row>
    <row r="99" spans="3:16" x14ac:dyDescent="0.35">
      <c r="C99" t="s">
        <v>14</v>
      </c>
      <c r="D99">
        <v>53051501</v>
      </c>
      <c r="E99" t="s">
        <v>1308</v>
      </c>
      <c r="F99" s="29">
        <v>284369.99</v>
      </c>
      <c r="G99" t="s">
        <v>56</v>
      </c>
      <c r="H99" s="2">
        <v>45737</v>
      </c>
      <c r="I99" t="s">
        <v>48</v>
      </c>
      <c r="J99" t="s">
        <v>48</v>
      </c>
      <c r="K99" t="s">
        <v>46</v>
      </c>
      <c r="M99" t="s">
        <v>59</v>
      </c>
      <c r="O99">
        <f t="shared" si="2"/>
        <v>3</v>
      </c>
      <c r="P99" t="str">
        <f>+VLOOKUP(O99,X:Y,2,0)</f>
        <v>Marzo</v>
      </c>
    </row>
    <row r="100" spans="3:16" x14ac:dyDescent="0.35">
      <c r="C100" t="s">
        <v>14</v>
      </c>
      <c r="D100">
        <v>53051502</v>
      </c>
      <c r="E100" t="s">
        <v>1309</v>
      </c>
      <c r="F100" s="29">
        <v>1809003.04</v>
      </c>
      <c r="G100" t="s">
        <v>123</v>
      </c>
      <c r="H100" s="2">
        <v>45737</v>
      </c>
      <c r="I100" t="s">
        <v>124</v>
      </c>
      <c r="J100" t="s">
        <v>124</v>
      </c>
      <c r="K100" t="s">
        <v>40</v>
      </c>
      <c r="M100" t="s">
        <v>59</v>
      </c>
      <c r="O100">
        <f t="shared" si="2"/>
        <v>3</v>
      </c>
      <c r="P100" t="str">
        <f>+VLOOKUP(O100,X:Y,2,0)</f>
        <v>Marzo</v>
      </c>
    </row>
    <row r="101" spans="3:16" x14ac:dyDescent="0.35">
      <c r="C101" t="s">
        <v>14</v>
      </c>
      <c r="D101">
        <v>53051502</v>
      </c>
      <c r="E101" t="s">
        <v>1309</v>
      </c>
      <c r="F101" s="29">
        <v>12271969.91</v>
      </c>
      <c r="G101" t="s">
        <v>141</v>
      </c>
      <c r="H101" s="2">
        <v>45737</v>
      </c>
      <c r="I101" t="s">
        <v>142</v>
      </c>
      <c r="J101" t="s">
        <v>143</v>
      </c>
      <c r="K101" t="s">
        <v>40</v>
      </c>
      <c r="M101" t="s">
        <v>59</v>
      </c>
      <c r="O101">
        <f t="shared" si="2"/>
        <v>3</v>
      </c>
      <c r="P101" t="str">
        <f>+VLOOKUP(O101,X:Y,2,0)</f>
        <v>Marzo</v>
      </c>
    </row>
    <row r="102" spans="3:16" x14ac:dyDescent="0.35">
      <c r="C102" t="s">
        <v>14</v>
      </c>
      <c r="D102">
        <v>53051501</v>
      </c>
      <c r="E102" t="s">
        <v>1308</v>
      </c>
      <c r="F102" s="29">
        <v>153140</v>
      </c>
      <c r="G102" t="s">
        <v>179</v>
      </c>
      <c r="H102" s="2">
        <v>45737</v>
      </c>
      <c r="I102" t="s">
        <v>180</v>
      </c>
      <c r="J102" t="s">
        <v>181</v>
      </c>
      <c r="K102" t="s">
        <v>19</v>
      </c>
      <c r="M102" t="s">
        <v>59</v>
      </c>
      <c r="O102">
        <f t="shared" si="2"/>
        <v>3</v>
      </c>
      <c r="P102" t="str">
        <f>+VLOOKUP(O102,X:Y,2,0)</f>
        <v>Marzo</v>
      </c>
    </row>
    <row r="103" spans="3:16" x14ac:dyDescent="0.35">
      <c r="C103" t="s">
        <v>14</v>
      </c>
      <c r="D103">
        <v>53051501</v>
      </c>
      <c r="E103" t="s">
        <v>1308</v>
      </c>
      <c r="F103" s="29">
        <v>239997.6</v>
      </c>
      <c r="G103" t="s">
        <v>179</v>
      </c>
      <c r="H103" s="2">
        <v>45737</v>
      </c>
      <c r="I103" t="s">
        <v>182</v>
      </c>
      <c r="J103" t="s">
        <v>181</v>
      </c>
      <c r="K103" t="s">
        <v>167</v>
      </c>
      <c r="M103" t="s">
        <v>59</v>
      </c>
      <c r="O103">
        <f t="shared" si="2"/>
        <v>3</v>
      </c>
      <c r="P103" t="str">
        <f>+VLOOKUP(O103,X:Y,2,0)</f>
        <v>Marzo</v>
      </c>
    </row>
    <row r="104" spans="3:16" x14ac:dyDescent="0.35">
      <c r="C104" t="s">
        <v>14</v>
      </c>
      <c r="D104">
        <v>53051501</v>
      </c>
      <c r="E104" t="s">
        <v>1308</v>
      </c>
      <c r="F104" s="29">
        <v>9020.32</v>
      </c>
      <c r="G104" t="s">
        <v>179</v>
      </c>
      <c r="H104" s="2">
        <v>45737</v>
      </c>
      <c r="I104" t="s">
        <v>183</v>
      </c>
      <c r="J104" t="s">
        <v>181</v>
      </c>
      <c r="K104" t="s">
        <v>29</v>
      </c>
      <c r="M104" t="s">
        <v>59</v>
      </c>
      <c r="O104">
        <f t="shared" si="2"/>
        <v>3</v>
      </c>
      <c r="P104" t="str">
        <f>+VLOOKUP(O104,X:Y,2,0)</f>
        <v>Marzo</v>
      </c>
    </row>
    <row r="105" spans="3:16" x14ac:dyDescent="0.35">
      <c r="C105" t="s">
        <v>14</v>
      </c>
      <c r="D105">
        <v>53051501</v>
      </c>
      <c r="E105" t="s">
        <v>1308</v>
      </c>
      <c r="F105" s="29">
        <v>-32028.49</v>
      </c>
      <c r="G105" t="s">
        <v>184</v>
      </c>
      <c r="H105" s="2">
        <v>45737</v>
      </c>
      <c r="I105" t="s">
        <v>185</v>
      </c>
      <c r="J105" t="s">
        <v>185</v>
      </c>
      <c r="K105" t="s">
        <v>1527</v>
      </c>
      <c r="M105" t="s">
        <v>59</v>
      </c>
      <c r="O105">
        <f t="shared" si="2"/>
        <v>3</v>
      </c>
      <c r="P105" t="str">
        <f>+VLOOKUP(O105,X:Y,2,0)</f>
        <v>Marzo</v>
      </c>
    </row>
    <row r="106" spans="3:16" x14ac:dyDescent="0.35">
      <c r="C106" t="s">
        <v>14</v>
      </c>
      <c r="D106">
        <v>53051501</v>
      </c>
      <c r="E106" t="s">
        <v>1308</v>
      </c>
      <c r="F106" s="29">
        <v>-3558750</v>
      </c>
      <c r="G106" t="s">
        <v>184</v>
      </c>
      <c r="H106" s="2">
        <v>45737</v>
      </c>
      <c r="I106" t="s">
        <v>185</v>
      </c>
      <c r="J106" t="s">
        <v>185</v>
      </c>
      <c r="K106" t="s">
        <v>42</v>
      </c>
      <c r="M106" t="s">
        <v>59</v>
      </c>
      <c r="O106">
        <f t="shared" si="2"/>
        <v>3</v>
      </c>
      <c r="P106" t="str">
        <f>+VLOOKUP(O106,X:Y,2,0)</f>
        <v>Marzo</v>
      </c>
    </row>
    <row r="107" spans="3:16" x14ac:dyDescent="0.35">
      <c r="C107" t="s">
        <v>14</v>
      </c>
      <c r="D107">
        <v>53051501</v>
      </c>
      <c r="E107" t="s">
        <v>1308</v>
      </c>
      <c r="F107" s="29">
        <v>-3558750</v>
      </c>
      <c r="G107" t="s">
        <v>184</v>
      </c>
      <c r="H107" s="2">
        <v>45737</v>
      </c>
      <c r="I107" t="s">
        <v>185</v>
      </c>
      <c r="J107" t="s">
        <v>185</v>
      </c>
      <c r="K107" t="s">
        <v>44</v>
      </c>
      <c r="M107" t="s">
        <v>59</v>
      </c>
      <c r="O107">
        <f t="shared" si="2"/>
        <v>3</v>
      </c>
      <c r="P107" t="str">
        <f>+VLOOKUP(O107,X:Y,2,0)</f>
        <v>Marzo</v>
      </c>
    </row>
    <row r="108" spans="3:16" x14ac:dyDescent="0.35">
      <c r="C108" t="s">
        <v>14</v>
      </c>
      <c r="D108">
        <v>53051501</v>
      </c>
      <c r="E108" t="s">
        <v>1308</v>
      </c>
      <c r="F108" s="29">
        <v>-1675065</v>
      </c>
      <c r="G108" t="s">
        <v>184</v>
      </c>
      <c r="H108" s="2">
        <v>45737</v>
      </c>
      <c r="I108" t="s">
        <v>185</v>
      </c>
      <c r="J108" t="s">
        <v>185</v>
      </c>
      <c r="K108" t="s">
        <v>19</v>
      </c>
      <c r="M108" t="s">
        <v>59</v>
      </c>
      <c r="O108">
        <f t="shared" si="2"/>
        <v>3</v>
      </c>
      <c r="P108" t="str">
        <f>+VLOOKUP(O108,X:Y,2,0)</f>
        <v>Marzo</v>
      </c>
    </row>
    <row r="109" spans="3:16" x14ac:dyDescent="0.35">
      <c r="C109" t="s">
        <v>14</v>
      </c>
      <c r="D109">
        <v>53051501</v>
      </c>
      <c r="E109" s="31" t="s">
        <v>1308</v>
      </c>
      <c r="F109" s="30">
        <v>-51359811.799999997</v>
      </c>
      <c r="G109" t="s">
        <v>184</v>
      </c>
      <c r="H109" s="2">
        <v>45737</v>
      </c>
      <c r="I109" t="s">
        <v>185</v>
      </c>
      <c r="J109" t="s">
        <v>185</v>
      </c>
      <c r="K109" t="s">
        <v>40</v>
      </c>
      <c r="M109" t="s">
        <v>59</v>
      </c>
      <c r="O109">
        <f t="shared" si="2"/>
        <v>3</v>
      </c>
      <c r="P109" t="str">
        <f>+VLOOKUP(O109,X:Y,2,0)</f>
        <v>Marzo</v>
      </c>
    </row>
    <row r="110" spans="3:16" x14ac:dyDescent="0.35">
      <c r="C110" t="s">
        <v>14</v>
      </c>
      <c r="D110">
        <v>53051501</v>
      </c>
      <c r="E110" t="s">
        <v>1308</v>
      </c>
      <c r="F110" s="29">
        <v>-8162148</v>
      </c>
      <c r="G110" t="s">
        <v>184</v>
      </c>
      <c r="H110" s="2">
        <v>45737</v>
      </c>
      <c r="I110" t="s">
        <v>185</v>
      </c>
      <c r="J110" t="s">
        <v>185</v>
      </c>
      <c r="K110" t="s">
        <v>1512</v>
      </c>
      <c r="M110" t="s">
        <v>59</v>
      </c>
      <c r="O110">
        <f t="shared" si="2"/>
        <v>3</v>
      </c>
      <c r="P110" t="str">
        <f>+VLOOKUP(O110,X:Y,2,0)</f>
        <v>Marzo</v>
      </c>
    </row>
    <row r="111" spans="3:16" x14ac:dyDescent="0.35">
      <c r="C111" t="s">
        <v>14</v>
      </c>
      <c r="D111">
        <v>53051501</v>
      </c>
      <c r="E111" t="s">
        <v>1308</v>
      </c>
      <c r="F111" s="29">
        <v>-4209166.1500000004</v>
      </c>
      <c r="G111" t="s">
        <v>184</v>
      </c>
      <c r="H111" s="2">
        <v>45737</v>
      </c>
      <c r="I111" t="s">
        <v>185</v>
      </c>
      <c r="J111" t="s">
        <v>185</v>
      </c>
      <c r="K111" t="s">
        <v>29</v>
      </c>
      <c r="M111" t="s">
        <v>59</v>
      </c>
      <c r="O111">
        <f t="shared" si="2"/>
        <v>3</v>
      </c>
      <c r="P111" t="str">
        <f>+VLOOKUP(O111,X:Y,2,0)</f>
        <v>Marzo</v>
      </c>
    </row>
    <row r="112" spans="3:16" x14ac:dyDescent="0.35">
      <c r="C112" t="s">
        <v>14</v>
      </c>
      <c r="D112">
        <v>53051501</v>
      </c>
      <c r="E112" t="s">
        <v>1308</v>
      </c>
      <c r="F112" s="29">
        <v>-284369.99</v>
      </c>
      <c r="G112" t="s">
        <v>184</v>
      </c>
      <c r="H112" s="2">
        <v>45737</v>
      </c>
      <c r="I112" t="s">
        <v>185</v>
      </c>
      <c r="J112" t="s">
        <v>185</v>
      </c>
      <c r="K112" t="s">
        <v>46</v>
      </c>
      <c r="M112" t="s">
        <v>59</v>
      </c>
      <c r="O112">
        <f t="shared" si="2"/>
        <v>3</v>
      </c>
      <c r="P112" t="str">
        <f>+VLOOKUP(O112,X:Y,2,0)</f>
        <v>Marzo</v>
      </c>
    </row>
    <row r="113" spans="3:16" x14ac:dyDescent="0.35">
      <c r="C113" t="s">
        <v>14</v>
      </c>
      <c r="D113">
        <v>53051501</v>
      </c>
      <c r="E113" t="s">
        <v>1308</v>
      </c>
      <c r="F113" s="29">
        <v>3529</v>
      </c>
      <c r="G113" t="s">
        <v>215</v>
      </c>
      <c r="H113" s="2">
        <v>45737</v>
      </c>
      <c r="I113" t="s">
        <v>216</v>
      </c>
      <c r="J113" t="s">
        <v>216</v>
      </c>
      <c r="K113" t="s">
        <v>29</v>
      </c>
      <c r="M113" t="s">
        <v>59</v>
      </c>
      <c r="O113">
        <f t="shared" si="2"/>
        <v>3</v>
      </c>
      <c r="P113" t="str">
        <f>+VLOOKUP(O113,X:Y,2,0)</f>
        <v>Marzo</v>
      </c>
    </row>
    <row r="114" spans="3:16" x14ac:dyDescent="0.35">
      <c r="C114" t="s">
        <v>14</v>
      </c>
      <c r="D114">
        <v>53051502</v>
      </c>
      <c r="E114" t="s">
        <v>1309</v>
      </c>
      <c r="F114" s="29">
        <v>1755101</v>
      </c>
      <c r="G114" t="s">
        <v>125</v>
      </c>
      <c r="H114" s="2">
        <v>45742</v>
      </c>
      <c r="I114" t="s">
        <v>126</v>
      </c>
      <c r="J114" t="s">
        <v>126</v>
      </c>
      <c r="K114" t="s">
        <v>127</v>
      </c>
      <c r="M114" t="s">
        <v>59</v>
      </c>
      <c r="O114">
        <f t="shared" si="2"/>
        <v>3</v>
      </c>
      <c r="P114" t="str">
        <f>+VLOOKUP(O114,X:Y,2,0)</f>
        <v>Marzo</v>
      </c>
    </row>
    <row r="115" spans="3:16" x14ac:dyDescent="0.35">
      <c r="C115" t="s">
        <v>14</v>
      </c>
      <c r="D115">
        <v>53051501</v>
      </c>
      <c r="E115" t="s">
        <v>1308</v>
      </c>
      <c r="F115" s="29">
        <v>3529</v>
      </c>
      <c r="G115" t="s">
        <v>217</v>
      </c>
      <c r="H115" s="2">
        <v>45742</v>
      </c>
      <c r="I115" t="s">
        <v>208</v>
      </c>
      <c r="J115" t="s">
        <v>208</v>
      </c>
      <c r="K115" t="s">
        <v>29</v>
      </c>
      <c r="M115" t="s">
        <v>59</v>
      </c>
      <c r="O115">
        <f t="shared" si="2"/>
        <v>3</v>
      </c>
      <c r="P115" t="str">
        <f>+VLOOKUP(O115,X:Y,2,0)</f>
        <v>Marzo</v>
      </c>
    </row>
    <row r="116" spans="3:16" x14ac:dyDescent="0.35">
      <c r="C116" t="s">
        <v>14</v>
      </c>
      <c r="D116">
        <v>53051501</v>
      </c>
      <c r="E116" t="s">
        <v>1308</v>
      </c>
      <c r="F116" s="29">
        <v>3529</v>
      </c>
      <c r="G116" t="s">
        <v>218</v>
      </c>
      <c r="H116" s="2">
        <v>45742</v>
      </c>
      <c r="I116" t="s">
        <v>151</v>
      </c>
      <c r="J116" t="s">
        <v>151</v>
      </c>
      <c r="K116" t="s">
        <v>29</v>
      </c>
      <c r="M116" t="s">
        <v>59</v>
      </c>
      <c r="O116">
        <f t="shared" si="2"/>
        <v>3</v>
      </c>
      <c r="P116" t="str">
        <f>+VLOOKUP(O116,X:Y,2,0)</f>
        <v>Marzo</v>
      </c>
    </row>
    <row r="117" spans="3:16" x14ac:dyDescent="0.35">
      <c r="C117" t="s">
        <v>14</v>
      </c>
      <c r="D117">
        <v>53051501</v>
      </c>
      <c r="E117" t="s">
        <v>1308</v>
      </c>
      <c r="F117" s="29">
        <v>846982.5</v>
      </c>
      <c r="G117" t="s">
        <v>136</v>
      </c>
      <c r="H117" s="2">
        <v>45743</v>
      </c>
      <c r="I117" t="s">
        <v>137</v>
      </c>
      <c r="J117" t="s">
        <v>137</v>
      </c>
      <c r="K117" t="s">
        <v>138</v>
      </c>
      <c r="M117" t="s">
        <v>59</v>
      </c>
      <c r="O117">
        <f t="shared" si="2"/>
        <v>3</v>
      </c>
      <c r="P117" t="str">
        <f>+VLOOKUP(O117,X:Y,2,0)</f>
        <v>Marzo</v>
      </c>
    </row>
    <row r="118" spans="3:16" x14ac:dyDescent="0.35">
      <c r="C118" t="s">
        <v>14</v>
      </c>
      <c r="D118">
        <v>53051502</v>
      </c>
      <c r="E118" s="31" t="s">
        <v>1309</v>
      </c>
      <c r="F118" s="30">
        <v>14754923.09</v>
      </c>
      <c r="G118" t="s">
        <v>139</v>
      </c>
      <c r="H118" s="2">
        <v>45744</v>
      </c>
      <c r="I118" t="s">
        <v>140</v>
      </c>
      <c r="J118" t="s">
        <v>140</v>
      </c>
      <c r="K118" t="s">
        <v>40</v>
      </c>
      <c r="M118" t="s">
        <v>59</v>
      </c>
      <c r="O118">
        <f t="shared" si="2"/>
        <v>3</v>
      </c>
      <c r="P118" t="str">
        <f>+VLOOKUP(O118,X:Y,2,0)</f>
        <v>Marzo</v>
      </c>
    </row>
    <row r="119" spans="3:16" x14ac:dyDescent="0.35">
      <c r="C119" t="s">
        <v>14</v>
      </c>
      <c r="D119">
        <v>53051501</v>
      </c>
      <c r="E119" t="s">
        <v>1308</v>
      </c>
      <c r="F119" s="29">
        <v>475395.51</v>
      </c>
      <c r="G119" t="s">
        <v>128</v>
      </c>
      <c r="H119" s="2">
        <v>45747</v>
      </c>
      <c r="I119" t="s">
        <v>129</v>
      </c>
      <c r="J119" t="s">
        <v>129</v>
      </c>
      <c r="K119" t="s">
        <v>46</v>
      </c>
      <c r="M119" t="s">
        <v>59</v>
      </c>
      <c r="O119">
        <f t="shared" si="2"/>
        <v>3</v>
      </c>
      <c r="P119" t="str">
        <f>+VLOOKUP(O119,X:Y,2,0)</f>
        <v>Marzo</v>
      </c>
    </row>
    <row r="120" spans="3:16" x14ac:dyDescent="0.35">
      <c r="C120" t="s">
        <v>14</v>
      </c>
      <c r="D120">
        <v>53051501</v>
      </c>
      <c r="E120" t="s">
        <v>1308</v>
      </c>
      <c r="F120" s="29">
        <v>8069844</v>
      </c>
      <c r="G120" t="s">
        <v>130</v>
      </c>
      <c r="H120" s="2">
        <v>45747</v>
      </c>
      <c r="I120" t="s">
        <v>131</v>
      </c>
      <c r="J120" t="s">
        <v>131</v>
      </c>
      <c r="K120" t="s">
        <v>1512</v>
      </c>
      <c r="M120" t="s">
        <v>59</v>
      </c>
      <c r="O120">
        <f t="shared" si="2"/>
        <v>3</v>
      </c>
      <c r="P120" t="str">
        <f>+VLOOKUP(O120,X:Y,2,0)</f>
        <v>Marzo</v>
      </c>
    </row>
    <row r="121" spans="3:16" x14ac:dyDescent="0.35">
      <c r="C121" t="s">
        <v>14</v>
      </c>
      <c r="D121">
        <v>53051501</v>
      </c>
      <c r="E121" t="s">
        <v>1308</v>
      </c>
      <c r="F121" s="29">
        <v>73668</v>
      </c>
      <c r="G121" t="s">
        <v>132</v>
      </c>
      <c r="H121" s="2">
        <v>45747</v>
      </c>
      <c r="I121" t="s">
        <v>133</v>
      </c>
      <c r="J121" t="s">
        <v>133</v>
      </c>
      <c r="K121" t="s">
        <v>19</v>
      </c>
      <c r="M121" t="s">
        <v>59</v>
      </c>
      <c r="O121">
        <f t="shared" si="2"/>
        <v>3</v>
      </c>
      <c r="P121" t="str">
        <f>+VLOOKUP(O121,X:Y,2,0)</f>
        <v>Marzo</v>
      </c>
    </row>
    <row r="122" spans="3:16" x14ac:dyDescent="0.35">
      <c r="C122" t="s">
        <v>14</v>
      </c>
      <c r="D122">
        <v>53051501</v>
      </c>
      <c r="E122" t="s">
        <v>1308</v>
      </c>
      <c r="F122" s="29">
        <v>1575534</v>
      </c>
      <c r="G122" t="s">
        <v>134</v>
      </c>
      <c r="H122" s="2">
        <v>45747</v>
      </c>
      <c r="I122" t="s">
        <v>135</v>
      </c>
      <c r="J122" t="s">
        <v>135</v>
      </c>
      <c r="K122" t="s">
        <v>19</v>
      </c>
      <c r="M122" t="s">
        <v>59</v>
      </c>
      <c r="O122">
        <f t="shared" si="2"/>
        <v>3</v>
      </c>
      <c r="P122" t="str">
        <f>+VLOOKUP(O122,X:Y,2,0)</f>
        <v>Marzo</v>
      </c>
    </row>
    <row r="123" spans="3:16" x14ac:dyDescent="0.35">
      <c r="C123" t="s">
        <v>14</v>
      </c>
      <c r="D123">
        <v>53051501</v>
      </c>
      <c r="E123" t="s">
        <v>1308</v>
      </c>
      <c r="F123" s="29">
        <v>15900</v>
      </c>
      <c r="G123" t="s">
        <v>144</v>
      </c>
      <c r="H123" s="2">
        <v>45747</v>
      </c>
      <c r="I123" t="s">
        <v>145</v>
      </c>
      <c r="J123" t="s">
        <v>145</v>
      </c>
      <c r="K123" t="s">
        <v>25</v>
      </c>
      <c r="M123" t="s">
        <v>59</v>
      </c>
      <c r="O123">
        <f t="shared" si="2"/>
        <v>3</v>
      </c>
      <c r="P123" t="str">
        <f>+VLOOKUP(O123,X:Y,2,0)</f>
        <v>Marzo</v>
      </c>
    </row>
    <row r="124" spans="3:16" x14ac:dyDescent="0.35">
      <c r="C124" t="s">
        <v>14</v>
      </c>
      <c r="D124">
        <v>53051501</v>
      </c>
      <c r="E124" t="s">
        <v>1308</v>
      </c>
      <c r="F124" s="29">
        <v>0.5</v>
      </c>
      <c r="G124" t="s">
        <v>146</v>
      </c>
      <c r="H124" s="2">
        <v>45747</v>
      </c>
      <c r="I124" t="s">
        <v>147</v>
      </c>
      <c r="J124" t="s">
        <v>147</v>
      </c>
      <c r="K124" t="s">
        <v>44</v>
      </c>
      <c r="M124" t="s">
        <v>59</v>
      </c>
      <c r="O124">
        <f t="shared" si="2"/>
        <v>3</v>
      </c>
      <c r="P124" t="str">
        <f>+VLOOKUP(O124,X:Y,2,0)</f>
        <v>Marzo</v>
      </c>
    </row>
    <row r="125" spans="3:16" x14ac:dyDescent="0.35">
      <c r="C125" t="s">
        <v>14</v>
      </c>
      <c r="D125">
        <v>53051502</v>
      </c>
      <c r="E125" t="s">
        <v>1309</v>
      </c>
      <c r="F125" s="29">
        <v>16653281.57</v>
      </c>
      <c r="G125" t="s">
        <v>186</v>
      </c>
      <c r="H125" s="2">
        <v>45747</v>
      </c>
      <c r="I125" t="s">
        <v>187</v>
      </c>
      <c r="J125" t="s">
        <v>187</v>
      </c>
      <c r="K125" t="s">
        <v>40</v>
      </c>
      <c r="M125" t="s">
        <v>59</v>
      </c>
      <c r="O125">
        <f t="shared" si="2"/>
        <v>3</v>
      </c>
      <c r="P125" t="str">
        <f>+VLOOKUP(O125,X:Y,2,0)</f>
        <v>Marzo</v>
      </c>
    </row>
    <row r="126" spans="3:16" x14ac:dyDescent="0.35">
      <c r="C126" t="s">
        <v>14</v>
      </c>
      <c r="D126">
        <v>53051502</v>
      </c>
      <c r="E126" t="s">
        <v>1309</v>
      </c>
      <c r="F126" s="29">
        <v>-25012459.350000001</v>
      </c>
      <c r="G126" t="s">
        <v>234</v>
      </c>
      <c r="H126" s="2">
        <v>45747</v>
      </c>
      <c r="I126" t="s">
        <v>235</v>
      </c>
      <c r="J126" t="s">
        <v>235</v>
      </c>
      <c r="K126" t="s">
        <v>40</v>
      </c>
      <c r="M126" t="s">
        <v>59</v>
      </c>
      <c r="O126">
        <f t="shared" si="2"/>
        <v>3</v>
      </c>
      <c r="P126" t="str">
        <f>+VLOOKUP(O126,X:Y,2,0)</f>
        <v>Marzo</v>
      </c>
    </row>
    <row r="127" spans="3:16" x14ac:dyDescent="0.35">
      <c r="C127" t="s">
        <v>14</v>
      </c>
      <c r="D127">
        <v>53051502</v>
      </c>
      <c r="E127" t="s">
        <v>1309</v>
      </c>
      <c r="F127" s="29">
        <v>-16510024.09</v>
      </c>
      <c r="G127" t="s">
        <v>234</v>
      </c>
      <c r="H127" s="2">
        <v>45747</v>
      </c>
      <c r="I127" t="s">
        <v>235</v>
      </c>
      <c r="J127" t="s">
        <v>235</v>
      </c>
      <c r="K127" t="s">
        <v>127</v>
      </c>
      <c r="M127" t="s">
        <v>59</v>
      </c>
      <c r="O127">
        <f t="shared" si="2"/>
        <v>3</v>
      </c>
      <c r="P127" t="str">
        <f>+VLOOKUP(O127,X:Y,2,0)</f>
        <v>Marzo</v>
      </c>
    </row>
    <row r="128" spans="3:16" x14ac:dyDescent="0.35">
      <c r="C128" t="s">
        <v>14</v>
      </c>
      <c r="D128">
        <v>53051502</v>
      </c>
      <c r="E128" s="31" t="s">
        <v>1309</v>
      </c>
      <c r="F128" s="30">
        <v>-14754923.09</v>
      </c>
      <c r="G128" t="s">
        <v>236</v>
      </c>
      <c r="H128" s="2">
        <v>45747</v>
      </c>
      <c r="I128" t="s">
        <v>237</v>
      </c>
      <c r="J128" t="s">
        <v>237</v>
      </c>
      <c r="K128" t="s">
        <v>40</v>
      </c>
      <c r="M128" t="s">
        <v>59</v>
      </c>
      <c r="O128">
        <f t="shared" si="2"/>
        <v>3</v>
      </c>
      <c r="P128" t="str">
        <f>+VLOOKUP(O128,X:Y,2,0)</f>
        <v>Marzo</v>
      </c>
    </row>
    <row r="129" spans="3:16" x14ac:dyDescent="0.35">
      <c r="C129" t="s">
        <v>14</v>
      </c>
      <c r="D129">
        <v>53051502</v>
      </c>
      <c r="E129" t="s">
        <v>1309</v>
      </c>
      <c r="F129" s="29">
        <v>14754923.09</v>
      </c>
      <c r="G129" t="s">
        <v>236</v>
      </c>
      <c r="H129" s="2">
        <v>45747</v>
      </c>
      <c r="I129" t="s">
        <v>237</v>
      </c>
      <c r="J129" t="s">
        <v>237</v>
      </c>
      <c r="K129" t="s">
        <v>127</v>
      </c>
      <c r="M129" t="s">
        <v>59</v>
      </c>
      <c r="O129">
        <f t="shared" si="2"/>
        <v>3</v>
      </c>
      <c r="P129" t="str">
        <f>+VLOOKUP(O129,X:Y,2,0)</f>
        <v>Marzo</v>
      </c>
    </row>
    <row r="130" spans="3:16" x14ac:dyDescent="0.35">
      <c r="C130" t="s">
        <v>14</v>
      </c>
      <c r="D130">
        <v>53051501</v>
      </c>
      <c r="E130" t="s">
        <v>1308</v>
      </c>
      <c r="F130" s="29">
        <v>3949585.86</v>
      </c>
      <c r="G130" t="s">
        <v>251</v>
      </c>
      <c r="H130" s="2">
        <v>45747</v>
      </c>
      <c r="I130" t="s">
        <v>252</v>
      </c>
      <c r="J130" t="s">
        <v>252</v>
      </c>
      <c r="K130" t="s">
        <v>29</v>
      </c>
      <c r="M130" t="s">
        <v>59</v>
      </c>
      <c r="O130">
        <f t="shared" si="2"/>
        <v>3</v>
      </c>
      <c r="P130" t="str">
        <f>+VLOOKUP(O130,X:Y,2,0)</f>
        <v>Marzo</v>
      </c>
    </row>
    <row r="131" spans="3:16" x14ac:dyDescent="0.35">
      <c r="C131" t="s">
        <v>14</v>
      </c>
      <c r="D131">
        <v>53051501</v>
      </c>
      <c r="E131" s="34" t="s">
        <v>1427</v>
      </c>
      <c r="F131" s="29">
        <v>15186483</v>
      </c>
      <c r="G131" t="s">
        <v>219</v>
      </c>
      <c r="H131" s="2">
        <v>45747</v>
      </c>
      <c r="I131" t="s">
        <v>220</v>
      </c>
      <c r="J131" t="s">
        <v>220</v>
      </c>
      <c r="K131" t="s">
        <v>203</v>
      </c>
      <c r="M131" t="s">
        <v>59</v>
      </c>
      <c r="O131">
        <f t="shared" si="2"/>
        <v>3</v>
      </c>
      <c r="P131" t="str">
        <f>+VLOOKUP(O131,X:Y,2,0)</f>
        <v>Marzo</v>
      </c>
    </row>
    <row r="132" spans="3:16" x14ac:dyDescent="0.35">
      <c r="C132" t="s">
        <v>14</v>
      </c>
      <c r="D132">
        <v>53051501</v>
      </c>
      <c r="E132" s="34" t="s">
        <v>1427</v>
      </c>
      <c r="F132" s="29">
        <v>4782185</v>
      </c>
      <c r="G132" t="s">
        <v>221</v>
      </c>
      <c r="H132" s="2">
        <v>45747</v>
      </c>
      <c r="I132" t="s">
        <v>222</v>
      </c>
      <c r="J132" t="s">
        <v>222</v>
      </c>
      <c r="K132" t="s">
        <v>203</v>
      </c>
      <c r="M132" t="s">
        <v>59</v>
      </c>
      <c r="O132">
        <f t="shared" si="2"/>
        <v>3</v>
      </c>
      <c r="P132" t="str">
        <f>+VLOOKUP(O132,X:Y,2,0)</f>
        <v>Marzo</v>
      </c>
    </row>
    <row r="133" spans="3:16" x14ac:dyDescent="0.35">
      <c r="C133" t="s">
        <v>14</v>
      </c>
      <c r="D133">
        <v>53051501</v>
      </c>
      <c r="E133" t="s">
        <v>1308</v>
      </c>
      <c r="F133" s="29">
        <v>3529</v>
      </c>
      <c r="G133" t="s">
        <v>311</v>
      </c>
      <c r="H133" s="2">
        <v>45749</v>
      </c>
      <c r="I133" t="s">
        <v>151</v>
      </c>
      <c r="J133" t="s">
        <v>151</v>
      </c>
      <c r="K133" t="s">
        <v>29</v>
      </c>
      <c r="M133" t="s">
        <v>20</v>
      </c>
      <c r="O133">
        <f t="shared" si="2"/>
        <v>4</v>
      </c>
      <c r="P133" t="str">
        <f>+VLOOKUP(O133,X:Y,2,0)</f>
        <v>Abril</v>
      </c>
    </row>
    <row r="134" spans="3:16" x14ac:dyDescent="0.35">
      <c r="C134" t="s">
        <v>14</v>
      </c>
      <c r="D134">
        <v>53051501</v>
      </c>
      <c r="E134" t="s">
        <v>1308</v>
      </c>
      <c r="F134" s="29">
        <v>3529</v>
      </c>
      <c r="G134" t="s">
        <v>312</v>
      </c>
      <c r="H134" s="2">
        <v>45749</v>
      </c>
      <c r="I134" t="s">
        <v>151</v>
      </c>
      <c r="J134" t="s">
        <v>151</v>
      </c>
      <c r="K134" t="s">
        <v>29</v>
      </c>
      <c r="M134" t="s">
        <v>20</v>
      </c>
      <c r="O134">
        <f t="shared" si="2"/>
        <v>4</v>
      </c>
      <c r="P134" t="str">
        <f>+VLOOKUP(O134,X:Y,2,0)</f>
        <v>Abril</v>
      </c>
    </row>
    <row r="135" spans="3:16" x14ac:dyDescent="0.35">
      <c r="C135" t="s">
        <v>14</v>
      </c>
      <c r="D135">
        <v>53051501</v>
      </c>
      <c r="E135" t="s">
        <v>1308</v>
      </c>
      <c r="F135" s="29">
        <v>3529</v>
      </c>
      <c r="G135" t="s">
        <v>313</v>
      </c>
      <c r="H135" s="2">
        <v>45749</v>
      </c>
      <c r="I135" t="s">
        <v>151</v>
      </c>
      <c r="J135" t="s">
        <v>151</v>
      </c>
      <c r="K135" t="s">
        <v>29</v>
      </c>
      <c r="M135" t="s">
        <v>20</v>
      </c>
      <c r="O135">
        <f t="shared" si="2"/>
        <v>4</v>
      </c>
      <c r="P135" t="str">
        <f>+VLOOKUP(O135,X:Y,2,0)</f>
        <v>Abril</v>
      </c>
    </row>
    <row r="136" spans="3:16" x14ac:dyDescent="0.35">
      <c r="C136" t="s">
        <v>14</v>
      </c>
      <c r="D136">
        <v>53051501</v>
      </c>
      <c r="E136" t="s">
        <v>1308</v>
      </c>
      <c r="F136" s="29">
        <v>13140</v>
      </c>
      <c r="G136" t="s">
        <v>275</v>
      </c>
      <c r="H136" s="2">
        <v>45754</v>
      </c>
      <c r="I136" t="s">
        <v>276</v>
      </c>
      <c r="J136" t="s">
        <v>276</v>
      </c>
      <c r="K136" t="s">
        <v>1527</v>
      </c>
      <c r="M136" t="s">
        <v>20</v>
      </c>
      <c r="O136">
        <f t="shared" si="2"/>
        <v>4</v>
      </c>
      <c r="P136" t="str">
        <f>+VLOOKUP(O136,X:Y,2,0)</f>
        <v>Abril</v>
      </c>
    </row>
    <row r="137" spans="3:16" x14ac:dyDescent="0.35">
      <c r="C137" t="s">
        <v>14</v>
      </c>
      <c r="D137">
        <v>53051502</v>
      </c>
      <c r="E137" t="s">
        <v>1309</v>
      </c>
      <c r="F137" s="29">
        <v>23550215.649999999</v>
      </c>
      <c r="G137" t="s">
        <v>277</v>
      </c>
      <c r="H137" s="2">
        <v>45755</v>
      </c>
      <c r="I137" t="s">
        <v>278</v>
      </c>
      <c r="J137" t="s">
        <v>278</v>
      </c>
      <c r="K137" t="s">
        <v>40</v>
      </c>
      <c r="M137" t="s">
        <v>20</v>
      </c>
      <c r="O137">
        <f t="shared" si="2"/>
        <v>4</v>
      </c>
      <c r="P137" t="str">
        <f>+VLOOKUP(O137,X:Y,2,0)</f>
        <v>Abril</v>
      </c>
    </row>
    <row r="138" spans="3:16" x14ac:dyDescent="0.35">
      <c r="C138" t="s">
        <v>14</v>
      </c>
      <c r="D138">
        <v>53051502</v>
      </c>
      <c r="E138" t="s">
        <v>1309</v>
      </c>
      <c r="F138" s="29">
        <v>629958.5</v>
      </c>
      <c r="G138" t="s">
        <v>297</v>
      </c>
      <c r="H138" s="2">
        <v>45755</v>
      </c>
      <c r="I138" t="s">
        <v>298</v>
      </c>
      <c r="J138" t="s">
        <v>298</v>
      </c>
      <c r="K138" t="s">
        <v>172</v>
      </c>
      <c r="M138" t="s">
        <v>20</v>
      </c>
      <c r="O138">
        <f t="shared" si="2"/>
        <v>4</v>
      </c>
      <c r="P138" t="str">
        <f>+VLOOKUP(O138,X:Y,2,0)</f>
        <v>Abril</v>
      </c>
    </row>
    <row r="139" spans="3:16" x14ac:dyDescent="0.35">
      <c r="C139" t="s">
        <v>14</v>
      </c>
      <c r="D139">
        <v>53051501</v>
      </c>
      <c r="E139" t="s">
        <v>1308</v>
      </c>
      <c r="F139" s="29">
        <v>3529</v>
      </c>
      <c r="G139" t="s">
        <v>314</v>
      </c>
      <c r="H139" s="2">
        <v>45756</v>
      </c>
      <c r="I139" t="s">
        <v>151</v>
      </c>
      <c r="J139" t="s">
        <v>151</v>
      </c>
      <c r="K139" t="s">
        <v>29</v>
      </c>
      <c r="M139" t="s">
        <v>20</v>
      </c>
      <c r="O139">
        <f t="shared" si="2"/>
        <v>4</v>
      </c>
      <c r="P139" t="str">
        <f>+VLOOKUP(O139,X:Y,2,0)</f>
        <v>Abril</v>
      </c>
    </row>
    <row r="140" spans="3:16" x14ac:dyDescent="0.35">
      <c r="C140" t="s">
        <v>14</v>
      </c>
      <c r="D140">
        <v>53051502</v>
      </c>
      <c r="E140" t="s">
        <v>1309</v>
      </c>
      <c r="F140" s="29">
        <v>10931486.4</v>
      </c>
      <c r="G140" t="s">
        <v>303</v>
      </c>
      <c r="H140" s="2">
        <v>45757</v>
      </c>
      <c r="I140" t="s">
        <v>304</v>
      </c>
      <c r="J140" t="s">
        <v>304</v>
      </c>
      <c r="K140" t="s">
        <v>40</v>
      </c>
      <c r="M140" t="s">
        <v>20</v>
      </c>
      <c r="O140">
        <f t="shared" si="2"/>
        <v>4</v>
      </c>
      <c r="P140" t="str">
        <f>+VLOOKUP(O140,X:Y,2,0)</f>
        <v>Abril</v>
      </c>
    </row>
    <row r="141" spans="3:16" x14ac:dyDescent="0.35">
      <c r="C141" t="s">
        <v>14</v>
      </c>
      <c r="D141">
        <v>53051502</v>
      </c>
      <c r="E141" t="s">
        <v>1309</v>
      </c>
      <c r="F141" s="29">
        <v>26254603.52</v>
      </c>
      <c r="G141" t="s">
        <v>307</v>
      </c>
      <c r="H141" s="2">
        <v>45757</v>
      </c>
      <c r="I141" t="s">
        <v>308</v>
      </c>
      <c r="J141" t="s">
        <v>176</v>
      </c>
      <c r="K141" t="s">
        <v>40</v>
      </c>
      <c r="M141" t="s">
        <v>20</v>
      </c>
      <c r="O141">
        <f t="shared" ref="O141:O204" si="3">+MONTH(H141)</f>
        <v>4</v>
      </c>
      <c r="P141" t="str">
        <f>+VLOOKUP(O141,X:Y,2,0)</f>
        <v>Abril</v>
      </c>
    </row>
    <row r="142" spans="3:16" x14ac:dyDescent="0.35">
      <c r="C142" t="s">
        <v>14</v>
      </c>
      <c r="D142">
        <v>53051501</v>
      </c>
      <c r="E142" s="34" t="s">
        <v>1427</v>
      </c>
      <c r="F142" s="29">
        <v>-271584</v>
      </c>
      <c r="G142" t="s">
        <v>269</v>
      </c>
      <c r="H142" s="2">
        <v>45761</v>
      </c>
      <c r="I142" t="s">
        <v>270</v>
      </c>
      <c r="J142" t="s">
        <v>270</v>
      </c>
      <c r="K142" t="s">
        <v>203</v>
      </c>
      <c r="M142" t="s">
        <v>20</v>
      </c>
      <c r="O142">
        <f t="shared" si="3"/>
        <v>4</v>
      </c>
      <c r="P142" t="str">
        <f>+VLOOKUP(O142,X:Y,2,0)</f>
        <v>Abril</v>
      </c>
    </row>
    <row r="143" spans="3:16" x14ac:dyDescent="0.35">
      <c r="C143" t="s">
        <v>14</v>
      </c>
      <c r="D143">
        <v>53051501</v>
      </c>
      <c r="E143" s="34" t="s">
        <v>1427</v>
      </c>
      <c r="F143" s="29">
        <v>-87576</v>
      </c>
      <c r="G143" t="s">
        <v>271</v>
      </c>
      <c r="H143" s="2">
        <v>45761</v>
      </c>
      <c r="I143" t="s">
        <v>272</v>
      </c>
      <c r="J143" t="s">
        <v>272</v>
      </c>
      <c r="K143" t="s">
        <v>203</v>
      </c>
      <c r="M143" t="s">
        <v>20</v>
      </c>
      <c r="O143">
        <f t="shared" si="3"/>
        <v>4</v>
      </c>
      <c r="P143" t="str">
        <f>+VLOOKUP(O143,X:Y,2,0)</f>
        <v>Abril</v>
      </c>
    </row>
    <row r="144" spans="3:16" x14ac:dyDescent="0.35">
      <c r="C144" t="s">
        <v>14</v>
      </c>
      <c r="D144">
        <v>53051501</v>
      </c>
      <c r="E144" s="34" t="s">
        <v>1427</v>
      </c>
      <c r="F144" s="29">
        <v>-266910</v>
      </c>
      <c r="G144" t="s">
        <v>273</v>
      </c>
      <c r="H144" s="2">
        <v>45761</v>
      </c>
      <c r="I144" t="s">
        <v>274</v>
      </c>
      <c r="J144" t="s">
        <v>274</v>
      </c>
      <c r="K144" t="s">
        <v>203</v>
      </c>
      <c r="M144" t="s">
        <v>20</v>
      </c>
      <c r="O144">
        <f t="shared" si="3"/>
        <v>4</v>
      </c>
      <c r="P144" t="str">
        <f>+VLOOKUP(O144,X:Y,2,0)</f>
        <v>Abril</v>
      </c>
    </row>
    <row r="145" spans="3:16" x14ac:dyDescent="0.35">
      <c r="C145" t="s">
        <v>14</v>
      </c>
      <c r="D145">
        <v>53051501</v>
      </c>
      <c r="E145" t="s">
        <v>1308</v>
      </c>
      <c r="F145" s="29">
        <v>3529</v>
      </c>
      <c r="G145" t="s">
        <v>315</v>
      </c>
      <c r="H145" s="2">
        <v>45761</v>
      </c>
      <c r="I145" t="s">
        <v>208</v>
      </c>
      <c r="J145" t="s">
        <v>208</v>
      </c>
      <c r="K145" t="s">
        <v>29</v>
      </c>
      <c r="M145" t="s">
        <v>59</v>
      </c>
      <c r="O145">
        <f t="shared" si="3"/>
        <v>4</v>
      </c>
      <c r="P145" t="str">
        <f>+VLOOKUP(O145,X:Y,2,0)</f>
        <v>Abril</v>
      </c>
    </row>
    <row r="146" spans="3:16" x14ac:dyDescent="0.35">
      <c r="C146" t="s">
        <v>14</v>
      </c>
      <c r="D146">
        <v>53051501</v>
      </c>
      <c r="E146" t="s">
        <v>1308</v>
      </c>
      <c r="F146" s="29">
        <v>1802342</v>
      </c>
      <c r="G146" t="s">
        <v>253</v>
      </c>
      <c r="H146" s="2">
        <v>45762</v>
      </c>
      <c r="I146" t="s">
        <v>254</v>
      </c>
      <c r="J146" t="s">
        <v>254</v>
      </c>
      <c r="K146" t="s">
        <v>19</v>
      </c>
      <c r="M146" t="s">
        <v>59</v>
      </c>
      <c r="O146">
        <f t="shared" si="3"/>
        <v>4</v>
      </c>
      <c r="P146" t="str">
        <f>+VLOOKUP(O146,X:Y,2,0)</f>
        <v>Abril</v>
      </c>
    </row>
    <row r="147" spans="3:16" x14ac:dyDescent="0.35">
      <c r="C147" t="s">
        <v>14</v>
      </c>
      <c r="D147">
        <v>53051501</v>
      </c>
      <c r="E147" t="s">
        <v>1308</v>
      </c>
      <c r="F147" s="29">
        <v>3990367.18</v>
      </c>
      <c r="G147" t="s">
        <v>255</v>
      </c>
      <c r="H147" s="2">
        <v>45762</v>
      </c>
      <c r="I147" t="s">
        <v>254</v>
      </c>
      <c r="J147" t="s">
        <v>254</v>
      </c>
      <c r="K147" t="s">
        <v>29</v>
      </c>
      <c r="M147" t="s">
        <v>59</v>
      </c>
      <c r="O147">
        <f t="shared" si="3"/>
        <v>4</v>
      </c>
      <c r="P147" t="str">
        <f>+VLOOKUP(O147,X:Y,2,0)</f>
        <v>Abril</v>
      </c>
    </row>
    <row r="148" spans="3:16" x14ac:dyDescent="0.35">
      <c r="C148" t="s">
        <v>14</v>
      </c>
      <c r="D148">
        <v>53051501</v>
      </c>
      <c r="E148" t="s">
        <v>1308</v>
      </c>
      <c r="F148" s="29">
        <v>8069844</v>
      </c>
      <c r="G148" t="s">
        <v>256</v>
      </c>
      <c r="H148" s="2">
        <v>45762</v>
      </c>
      <c r="I148" t="s">
        <v>254</v>
      </c>
      <c r="J148" t="s">
        <v>254</v>
      </c>
      <c r="K148" t="s">
        <v>1512</v>
      </c>
      <c r="M148" t="s">
        <v>59</v>
      </c>
      <c r="O148">
        <f t="shared" si="3"/>
        <v>4</v>
      </c>
      <c r="P148" t="str">
        <f>+VLOOKUP(O148,X:Y,2,0)</f>
        <v>Abril</v>
      </c>
    </row>
    <row r="149" spans="3:16" x14ac:dyDescent="0.35">
      <c r="C149" t="s">
        <v>14</v>
      </c>
      <c r="D149">
        <v>53051501</v>
      </c>
      <c r="E149" t="s">
        <v>1308</v>
      </c>
      <c r="F149" s="29">
        <v>12052</v>
      </c>
      <c r="G149" t="s">
        <v>257</v>
      </c>
      <c r="H149" s="2">
        <v>45762</v>
      </c>
      <c r="I149" t="s">
        <v>254</v>
      </c>
      <c r="J149" t="s">
        <v>254</v>
      </c>
      <c r="K149" t="s">
        <v>1527</v>
      </c>
      <c r="M149" t="s">
        <v>59</v>
      </c>
      <c r="O149">
        <f t="shared" si="3"/>
        <v>4</v>
      </c>
      <c r="P149" t="str">
        <f>+VLOOKUP(O149,X:Y,2,0)</f>
        <v>Abril</v>
      </c>
    </row>
    <row r="150" spans="3:16" x14ac:dyDescent="0.35">
      <c r="C150" t="s">
        <v>14</v>
      </c>
      <c r="D150">
        <v>53051501</v>
      </c>
      <c r="E150" t="s">
        <v>1308</v>
      </c>
      <c r="F150" s="29">
        <v>15900</v>
      </c>
      <c r="G150" t="s">
        <v>258</v>
      </c>
      <c r="H150" s="2">
        <v>45762</v>
      </c>
      <c r="I150" t="s">
        <v>254</v>
      </c>
      <c r="J150" t="s">
        <v>254</v>
      </c>
      <c r="K150" t="s">
        <v>25</v>
      </c>
      <c r="M150" t="s">
        <v>59</v>
      </c>
      <c r="O150">
        <f t="shared" si="3"/>
        <v>4</v>
      </c>
      <c r="P150" t="str">
        <f>+VLOOKUP(O150,X:Y,2,0)</f>
        <v>Abril</v>
      </c>
    </row>
    <row r="151" spans="3:16" x14ac:dyDescent="0.35">
      <c r="C151" t="s">
        <v>14</v>
      </c>
      <c r="D151">
        <v>53051501</v>
      </c>
      <c r="E151" t="s">
        <v>1308</v>
      </c>
      <c r="F151" s="29">
        <v>1423500</v>
      </c>
      <c r="G151" t="s">
        <v>259</v>
      </c>
      <c r="H151" s="2">
        <v>45762</v>
      </c>
      <c r="I151" t="s">
        <v>254</v>
      </c>
      <c r="J151" t="s">
        <v>254</v>
      </c>
      <c r="K151" t="s">
        <v>75</v>
      </c>
      <c r="M151" t="s">
        <v>59</v>
      </c>
      <c r="O151">
        <f t="shared" si="3"/>
        <v>4</v>
      </c>
      <c r="P151" t="str">
        <f>+VLOOKUP(O151,X:Y,2,0)</f>
        <v>Abril</v>
      </c>
    </row>
    <row r="152" spans="3:16" x14ac:dyDescent="0.35">
      <c r="C152" t="s">
        <v>14</v>
      </c>
      <c r="D152">
        <v>53051501</v>
      </c>
      <c r="E152" t="s">
        <v>1308</v>
      </c>
      <c r="F152" s="29">
        <v>846982.5</v>
      </c>
      <c r="G152" t="s">
        <v>260</v>
      </c>
      <c r="H152" s="2">
        <v>45762</v>
      </c>
      <c r="I152" t="s">
        <v>254</v>
      </c>
      <c r="J152" t="s">
        <v>254</v>
      </c>
      <c r="K152" t="s">
        <v>138</v>
      </c>
      <c r="M152" t="s">
        <v>59</v>
      </c>
      <c r="O152">
        <f t="shared" si="3"/>
        <v>4</v>
      </c>
      <c r="P152" t="str">
        <f>+VLOOKUP(O152,X:Y,2,0)</f>
        <v>Abril</v>
      </c>
    </row>
    <row r="153" spans="3:16" x14ac:dyDescent="0.35">
      <c r="C153" t="s">
        <v>14</v>
      </c>
      <c r="D153">
        <v>53051501</v>
      </c>
      <c r="E153" s="31" t="s">
        <v>1308</v>
      </c>
      <c r="F153" s="30">
        <v>66033153.899999999</v>
      </c>
      <c r="G153" t="s">
        <v>261</v>
      </c>
      <c r="H153" s="2">
        <v>45762</v>
      </c>
      <c r="I153" t="s">
        <v>262</v>
      </c>
      <c r="J153" t="s">
        <v>262</v>
      </c>
      <c r="K153" t="s">
        <v>40</v>
      </c>
      <c r="M153" t="s">
        <v>59</v>
      </c>
      <c r="O153">
        <f t="shared" si="3"/>
        <v>4</v>
      </c>
      <c r="P153" t="str">
        <f>+VLOOKUP(O153,X:Y,2,0)</f>
        <v>Abril</v>
      </c>
    </row>
    <row r="154" spans="3:16" x14ac:dyDescent="0.35">
      <c r="C154" t="s">
        <v>14</v>
      </c>
      <c r="D154">
        <v>53051501</v>
      </c>
      <c r="E154" t="s">
        <v>1308</v>
      </c>
      <c r="F154" s="29">
        <v>4270500</v>
      </c>
      <c r="G154" t="s">
        <v>263</v>
      </c>
      <c r="H154" s="2">
        <v>45762</v>
      </c>
      <c r="I154" t="s">
        <v>254</v>
      </c>
      <c r="J154" t="s">
        <v>254</v>
      </c>
      <c r="K154" t="s">
        <v>42</v>
      </c>
      <c r="M154" t="s">
        <v>59</v>
      </c>
      <c r="O154">
        <f t="shared" si="3"/>
        <v>4</v>
      </c>
      <c r="P154" t="str">
        <f>+VLOOKUP(O154,X:Y,2,0)</f>
        <v>Abril</v>
      </c>
    </row>
    <row r="155" spans="3:16" x14ac:dyDescent="0.35">
      <c r="C155" t="s">
        <v>14</v>
      </c>
      <c r="D155">
        <v>53051501</v>
      </c>
      <c r="E155" t="s">
        <v>1308</v>
      </c>
      <c r="F155" s="29">
        <v>3558750.5</v>
      </c>
      <c r="G155" t="s">
        <v>264</v>
      </c>
      <c r="H155" s="2">
        <v>45762</v>
      </c>
      <c r="I155" t="s">
        <v>254</v>
      </c>
      <c r="J155" t="s">
        <v>254</v>
      </c>
      <c r="K155" t="s">
        <v>44</v>
      </c>
      <c r="M155" t="s">
        <v>59</v>
      </c>
      <c r="O155">
        <f t="shared" si="3"/>
        <v>4</v>
      </c>
      <c r="P155" t="str">
        <f>+VLOOKUP(O155,X:Y,2,0)</f>
        <v>Abril</v>
      </c>
    </row>
    <row r="156" spans="3:16" x14ac:dyDescent="0.35">
      <c r="C156" t="s">
        <v>14</v>
      </c>
      <c r="D156">
        <v>53051501</v>
      </c>
      <c r="E156" t="s">
        <v>1308</v>
      </c>
      <c r="F156" s="29">
        <v>475395.51</v>
      </c>
      <c r="G156" t="s">
        <v>265</v>
      </c>
      <c r="H156" s="2">
        <v>45762</v>
      </c>
      <c r="I156" t="s">
        <v>254</v>
      </c>
      <c r="J156" t="s">
        <v>254</v>
      </c>
      <c r="K156" t="s">
        <v>46</v>
      </c>
      <c r="M156" t="s">
        <v>59</v>
      </c>
      <c r="O156">
        <f t="shared" si="3"/>
        <v>4</v>
      </c>
      <c r="P156" t="str">
        <f>+VLOOKUP(O156,X:Y,2,0)</f>
        <v>Abril</v>
      </c>
    </row>
    <row r="157" spans="3:16" x14ac:dyDescent="0.35">
      <c r="C157" t="s">
        <v>14</v>
      </c>
      <c r="D157">
        <v>53051501</v>
      </c>
      <c r="E157" t="s">
        <v>1308</v>
      </c>
      <c r="F157" s="29">
        <v>239997.6</v>
      </c>
      <c r="G157" t="s">
        <v>266</v>
      </c>
      <c r="H157" s="2">
        <v>45762</v>
      </c>
      <c r="I157" t="s">
        <v>254</v>
      </c>
      <c r="J157" t="s">
        <v>254</v>
      </c>
      <c r="K157" t="s">
        <v>167</v>
      </c>
      <c r="M157" t="s">
        <v>59</v>
      </c>
      <c r="O157">
        <f t="shared" si="3"/>
        <v>4</v>
      </c>
      <c r="P157" t="str">
        <f>+VLOOKUP(O157,X:Y,2,0)</f>
        <v>Abril</v>
      </c>
    </row>
    <row r="158" spans="3:16" x14ac:dyDescent="0.35">
      <c r="C158" t="s">
        <v>14</v>
      </c>
      <c r="D158">
        <v>53051501</v>
      </c>
      <c r="E158" t="s">
        <v>1308</v>
      </c>
      <c r="F158" s="29">
        <v>-12052</v>
      </c>
      <c r="G158" t="s">
        <v>301</v>
      </c>
      <c r="H158" s="2">
        <v>45762</v>
      </c>
      <c r="I158" t="s">
        <v>302</v>
      </c>
      <c r="J158" t="s">
        <v>302</v>
      </c>
      <c r="K158" t="s">
        <v>1527</v>
      </c>
      <c r="M158" t="s">
        <v>59</v>
      </c>
      <c r="O158">
        <f t="shared" si="3"/>
        <v>4</v>
      </c>
      <c r="P158" t="str">
        <f>+VLOOKUP(O158,X:Y,2,0)</f>
        <v>Abril</v>
      </c>
    </row>
    <row r="159" spans="3:16" x14ac:dyDescent="0.35">
      <c r="C159" t="s">
        <v>14</v>
      </c>
      <c r="D159">
        <v>53051501</v>
      </c>
      <c r="E159" t="s">
        <v>1308</v>
      </c>
      <c r="F159" s="29">
        <v>-4270500</v>
      </c>
      <c r="G159" t="s">
        <v>301</v>
      </c>
      <c r="H159" s="2">
        <v>45762</v>
      </c>
      <c r="I159" t="s">
        <v>302</v>
      </c>
      <c r="J159" t="s">
        <v>302</v>
      </c>
      <c r="K159" t="s">
        <v>42</v>
      </c>
      <c r="M159" t="s">
        <v>59</v>
      </c>
      <c r="O159">
        <f t="shared" si="3"/>
        <v>4</v>
      </c>
      <c r="P159" t="str">
        <f>+VLOOKUP(O159,X:Y,2,0)</f>
        <v>Abril</v>
      </c>
    </row>
    <row r="160" spans="3:16" x14ac:dyDescent="0.35">
      <c r="C160" t="s">
        <v>14</v>
      </c>
      <c r="D160">
        <v>53051501</v>
      </c>
      <c r="E160" t="s">
        <v>1308</v>
      </c>
      <c r="F160" s="29">
        <v>-3558750.5</v>
      </c>
      <c r="G160" t="s">
        <v>301</v>
      </c>
      <c r="H160" s="2">
        <v>45762</v>
      </c>
      <c r="I160" t="s">
        <v>302</v>
      </c>
      <c r="J160" t="s">
        <v>302</v>
      </c>
      <c r="K160" t="s">
        <v>44</v>
      </c>
      <c r="M160" t="s">
        <v>59</v>
      </c>
      <c r="O160">
        <f t="shared" si="3"/>
        <v>4</v>
      </c>
      <c r="P160" t="str">
        <f>+VLOOKUP(O160,X:Y,2,0)</f>
        <v>Abril</v>
      </c>
    </row>
    <row r="161" spans="3:16" x14ac:dyDescent="0.35">
      <c r="C161" t="s">
        <v>14</v>
      </c>
      <c r="D161">
        <v>53051501</v>
      </c>
      <c r="E161" t="s">
        <v>1308</v>
      </c>
      <c r="F161" s="29">
        <v>-1802342</v>
      </c>
      <c r="G161" t="s">
        <v>301</v>
      </c>
      <c r="H161" s="2">
        <v>45762</v>
      </c>
      <c r="I161" t="s">
        <v>302</v>
      </c>
      <c r="J161" t="s">
        <v>302</v>
      </c>
      <c r="K161" t="s">
        <v>19</v>
      </c>
      <c r="M161" t="s">
        <v>59</v>
      </c>
      <c r="O161">
        <f t="shared" si="3"/>
        <v>4</v>
      </c>
      <c r="P161" t="str">
        <f>+VLOOKUP(O161,X:Y,2,0)</f>
        <v>Abril</v>
      </c>
    </row>
    <row r="162" spans="3:16" x14ac:dyDescent="0.35">
      <c r="C162" t="s">
        <v>14</v>
      </c>
      <c r="D162">
        <v>53051501</v>
      </c>
      <c r="E162" s="31" t="s">
        <v>1308</v>
      </c>
      <c r="F162" s="30">
        <v>-66033153.899999999</v>
      </c>
      <c r="G162" t="s">
        <v>301</v>
      </c>
      <c r="H162" s="2">
        <v>45762</v>
      </c>
      <c r="I162" t="s">
        <v>302</v>
      </c>
      <c r="J162" t="s">
        <v>302</v>
      </c>
      <c r="K162" t="s">
        <v>40</v>
      </c>
      <c r="M162" t="s">
        <v>59</v>
      </c>
      <c r="O162">
        <f t="shared" si="3"/>
        <v>4</v>
      </c>
      <c r="P162" t="str">
        <f>+VLOOKUP(O162,X:Y,2,0)</f>
        <v>Abril</v>
      </c>
    </row>
    <row r="163" spans="3:16" x14ac:dyDescent="0.35">
      <c r="C163" t="s">
        <v>14</v>
      </c>
      <c r="D163">
        <v>53051501</v>
      </c>
      <c r="E163" t="s">
        <v>1308</v>
      </c>
      <c r="F163" s="29">
        <v>-15900</v>
      </c>
      <c r="G163" t="s">
        <v>301</v>
      </c>
      <c r="H163" s="2">
        <v>45762</v>
      </c>
      <c r="I163" t="s">
        <v>302</v>
      </c>
      <c r="J163" t="s">
        <v>302</v>
      </c>
      <c r="K163" t="s">
        <v>25</v>
      </c>
      <c r="M163" t="s">
        <v>59</v>
      </c>
      <c r="O163">
        <f t="shared" si="3"/>
        <v>4</v>
      </c>
      <c r="P163" t="str">
        <f>+VLOOKUP(O163,X:Y,2,0)</f>
        <v>Abril</v>
      </c>
    </row>
    <row r="164" spans="3:16" x14ac:dyDescent="0.35">
      <c r="C164" t="s">
        <v>14</v>
      </c>
      <c r="D164">
        <v>53051501</v>
      </c>
      <c r="E164" t="s">
        <v>1308</v>
      </c>
      <c r="F164" s="29">
        <v>-8069844</v>
      </c>
      <c r="G164" t="s">
        <v>301</v>
      </c>
      <c r="H164" s="2">
        <v>45762</v>
      </c>
      <c r="I164" t="s">
        <v>302</v>
      </c>
      <c r="J164" t="s">
        <v>302</v>
      </c>
      <c r="K164" t="s">
        <v>1512</v>
      </c>
      <c r="M164" t="s">
        <v>59</v>
      </c>
      <c r="O164">
        <f t="shared" si="3"/>
        <v>4</v>
      </c>
      <c r="P164" t="str">
        <f>+VLOOKUP(O164,X:Y,2,0)</f>
        <v>Abril</v>
      </c>
    </row>
    <row r="165" spans="3:16" x14ac:dyDescent="0.35">
      <c r="C165" t="s">
        <v>14</v>
      </c>
      <c r="D165">
        <v>53051501</v>
      </c>
      <c r="E165" t="s">
        <v>1308</v>
      </c>
      <c r="F165" s="29">
        <v>-846982.5</v>
      </c>
      <c r="G165" t="s">
        <v>301</v>
      </c>
      <c r="H165" s="2">
        <v>45762</v>
      </c>
      <c r="I165" t="s">
        <v>302</v>
      </c>
      <c r="J165" t="s">
        <v>302</v>
      </c>
      <c r="K165" t="s">
        <v>138</v>
      </c>
      <c r="M165" t="s">
        <v>59</v>
      </c>
      <c r="O165">
        <f t="shared" si="3"/>
        <v>4</v>
      </c>
      <c r="P165" t="str">
        <f>+VLOOKUP(O165,X:Y,2,0)</f>
        <v>Abril</v>
      </c>
    </row>
    <row r="166" spans="3:16" x14ac:dyDescent="0.35">
      <c r="C166" t="s">
        <v>14</v>
      </c>
      <c r="D166">
        <v>53051501</v>
      </c>
      <c r="E166" t="s">
        <v>1308</v>
      </c>
      <c r="F166" s="29">
        <v>-1423500</v>
      </c>
      <c r="G166" t="s">
        <v>301</v>
      </c>
      <c r="H166" s="2">
        <v>45762</v>
      </c>
      <c r="I166" t="s">
        <v>302</v>
      </c>
      <c r="J166" t="s">
        <v>302</v>
      </c>
      <c r="K166" t="s">
        <v>75</v>
      </c>
      <c r="M166" t="s">
        <v>59</v>
      </c>
      <c r="O166">
        <f t="shared" si="3"/>
        <v>4</v>
      </c>
      <c r="P166" t="str">
        <f>+VLOOKUP(O166,X:Y,2,0)</f>
        <v>Abril</v>
      </c>
    </row>
    <row r="167" spans="3:16" x14ac:dyDescent="0.35">
      <c r="C167" t="s">
        <v>14</v>
      </c>
      <c r="D167">
        <v>53051501</v>
      </c>
      <c r="E167" t="s">
        <v>1308</v>
      </c>
      <c r="F167" s="29">
        <v>-239997.6</v>
      </c>
      <c r="G167" t="s">
        <v>301</v>
      </c>
      <c r="H167" s="2">
        <v>45762</v>
      </c>
      <c r="I167" t="s">
        <v>302</v>
      </c>
      <c r="J167" t="s">
        <v>302</v>
      </c>
      <c r="K167" t="s">
        <v>167</v>
      </c>
      <c r="M167" t="s">
        <v>59</v>
      </c>
      <c r="O167">
        <f t="shared" si="3"/>
        <v>4</v>
      </c>
      <c r="P167" t="str">
        <f>+VLOOKUP(O167,X:Y,2,0)</f>
        <v>Abril</v>
      </c>
    </row>
    <row r="168" spans="3:16" x14ac:dyDescent="0.35">
      <c r="C168" t="s">
        <v>14</v>
      </c>
      <c r="D168">
        <v>53051501</v>
      </c>
      <c r="E168" t="s">
        <v>1308</v>
      </c>
      <c r="F168" s="29">
        <v>-3990367.18</v>
      </c>
      <c r="G168" t="s">
        <v>301</v>
      </c>
      <c r="H168" s="2">
        <v>45762</v>
      </c>
      <c r="I168" t="s">
        <v>302</v>
      </c>
      <c r="J168" t="s">
        <v>302</v>
      </c>
      <c r="K168" t="s">
        <v>29</v>
      </c>
      <c r="M168" t="s">
        <v>59</v>
      </c>
      <c r="O168">
        <f t="shared" si="3"/>
        <v>4</v>
      </c>
      <c r="P168" t="str">
        <f>+VLOOKUP(O168,X:Y,2,0)</f>
        <v>Abril</v>
      </c>
    </row>
    <row r="169" spans="3:16" x14ac:dyDescent="0.35">
      <c r="C169" t="s">
        <v>14</v>
      </c>
      <c r="D169">
        <v>53051501</v>
      </c>
      <c r="E169" t="s">
        <v>1308</v>
      </c>
      <c r="F169" s="29">
        <v>-475395.51</v>
      </c>
      <c r="G169" t="s">
        <v>301</v>
      </c>
      <c r="H169" s="2">
        <v>45762</v>
      </c>
      <c r="I169" t="s">
        <v>302</v>
      </c>
      <c r="J169" t="s">
        <v>302</v>
      </c>
      <c r="K169" t="s">
        <v>46</v>
      </c>
      <c r="M169" t="s">
        <v>59</v>
      </c>
      <c r="O169">
        <f t="shared" si="3"/>
        <v>4</v>
      </c>
      <c r="P169" t="str">
        <f>+VLOOKUP(O169,X:Y,2,0)</f>
        <v>Abril</v>
      </c>
    </row>
    <row r="170" spans="3:16" x14ac:dyDescent="0.35">
      <c r="C170" t="s">
        <v>14</v>
      </c>
      <c r="D170">
        <v>53051501</v>
      </c>
      <c r="E170" t="s">
        <v>1308</v>
      </c>
      <c r="F170" s="29">
        <v>3529</v>
      </c>
      <c r="G170" t="s">
        <v>316</v>
      </c>
      <c r="H170" s="2">
        <v>45763</v>
      </c>
      <c r="I170" t="s">
        <v>155</v>
      </c>
      <c r="J170" t="s">
        <v>155</v>
      </c>
      <c r="K170" t="s">
        <v>29</v>
      </c>
      <c r="M170" t="s">
        <v>59</v>
      </c>
      <c r="O170">
        <f t="shared" si="3"/>
        <v>4</v>
      </c>
      <c r="P170" t="str">
        <f>+VLOOKUP(O170,X:Y,2,0)</f>
        <v>Abril</v>
      </c>
    </row>
    <row r="171" spans="3:16" x14ac:dyDescent="0.35">
      <c r="C171" t="s">
        <v>14</v>
      </c>
      <c r="D171">
        <v>53051501</v>
      </c>
      <c r="E171" t="s">
        <v>1308</v>
      </c>
      <c r="F171" s="29">
        <v>3529</v>
      </c>
      <c r="G171" t="s">
        <v>320</v>
      </c>
      <c r="H171" s="2">
        <v>45770</v>
      </c>
      <c r="I171" t="s">
        <v>321</v>
      </c>
      <c r="J171" t="s">
        <v>321</v>
      </c>
      <c r="K171" t="s">
        <v>29</v>
      </c>
      <c r="M171" t="s">
        <v>59</v>
      </c>
      <c r="O171">
        <f t="shared" si="3"/>
        <v>4</v>
      </c>
      <c r="P171" t="str">
        <f>+VLOOKUP(O171,X:Y,2,0)</f>
        <v>Abril</v>
      </c>
    </row>
    <row r="172" spans="3:16" x14ac:dyDescent="0.35">
      <c r="C172" t="s">
        <v>14</v>
      </c>
      <c r="D172">
        <v>53051501</v>
      </c>
      <c r="E172" t="s">
        <v>1308</v>
      </c>
      <c r="F172" s="29">
        <v>3529</v>
      </c>
      <c r="G172" t="s">
        <v>281</v>
      </c>
      <c r="H172" s="2">
        <v>45771</v>
      </c>
      <c r="I172" t="s">
        <v>282</v>
      </c>
      <c r="J172" t="s">
        <v>282</v>
      </c>
      <c r="K172" t="s">
        <v>29</v>
      </c>
      <c r="M172" t="s">
        <v>59</v>
      </c>
      <c r="O172">
        <f t="shared" si="3"/>
        <v>4</v>
      </c>
      <c r="P172" t="str">
        <f>+VLOOKUP(O172,X:Y,2,0)</f>
        <v>Abril</v>
      </c>
    </row>
    <row r="173" spans="3:16" x14ac:dyDescent="0.35">
      <c r="C173" t="s">
        <v>14</v>
      </c>
      <c r="D173">
        <v>53051501</v>
      </c>
      <c r="E173" t="s">
        <v>1308</v>
      </c>
      <c r="F173" s="29">
        <v>12852055</v>
      </c>
      <c r="G173" t="s">
        <v>293</v>
      </c>
      <c r="H173" s="2">
        <v>45775</v>
      </c>
      <c r="I173" t="s">
        <v>294</v>
      </c>
      <c r="J173" t="s">
        <v>294</v>
      </c>
      <c r="K173" t="s">
        <v>29</v>
      </c>
      <c r="M173" t="s">
        <v>59</v>
      </c>
      <c r="O173">
        <f t="shared" si="3"/>
        <v>4</v>
      </c>
      <c r="P173" t="str">
        <f>+VLOOKUP(O173,X:Y,2,0)</f>
        <v>Abril</v>
      </c>
    </row>
    <row r="174" spans="3:16" x14ac:dyDescent="0.35">
      <c r="C174" t="s">
        <v>14</v>
      </c>
      <c r="D174">
        <v>53051501</v>
      </c>
      <c r="E174" t="s">
        <v>1308</v>
      </c>
      <c r="F174" s="29">
        <v>3529</v>
      </c>
      <c r="G174" t="s">
        <v>324</v>
      </c>
      <c r="H174" s="2">
        <v>45775</v>
      </c>
      <c r="I174" t="s">
        <v>325</v>
      </c>
      <c r="J174" t="s">
        <v>325</v>
      </c>
      <c r="K174" t="s">
        <v>29</v>
      </c>
      <c r="M174" t="s">
        <v>59</v>
      </c>
      <c r="O174">
        <f t="shared" si="3"/>
        <v>4</v>
      </c>
      <c r="P174" t="str">
        <f>+VLOOKUP(O174,X:Y,2,0)</f>
        <v>Abril</v>
      </c>
    </row>
    <row r="175" spans="3:16" x14ac:dyDescent="0.35">
      <c r="C175" t="s">
        <v>14</v>
      </c>
      <c r="D175">
        <v>53051502</v>
      </c>
      <c r="E175" t="s">
        <v>1309</v>
      </c>
      <c r="F175" s="29">
        <v>2445246</v>
      </c>
      <c r="G175" t="s">
        <v>279</v>
      </c>
      <c r="H175" s="2">
        <v>45776</v>
      </c>
      <c r="I175" t="s">
        <v>280</v>
      </c>
      <c r="J175" t="s">
        <v>280</v>
      </c>
      <c r="K175" t="s">
        <v>172</v>
      </c>
      <c r="M175" t="s">
        <v>59</v>
      </c>
      <c r="O175">
        <f t="shared" si="3"/>
        <v>4</v>
      </c>
      <c r="P175" t="str">
        <f>+VLOOKUP(O175,X:Y,2,0)</f>
        <v>Abril</v>
      </c>
    </row>
    <row r="176" spans="3:16" x14ac:dyDescent="0.35">
      <c r="C176" t="s">
        <v>14</v>
      </c>
      <c r="D176">
        <v>53051501</v>
      </c>
      <c r="E176" t="s">
        <v>1308</v>
      </c>
      <c r="F176" s="29">
        <v>3558750</v>
      </c>
      <c r="G176" t="s">
        <v>267</v>
      </c>
      <c r="H176" s="2">
        <v>45777</v>
      </c>
      <c r="I176" t="s">
        <v>268</v>
      </c>
      <c r="J176" t="s">
        <v>268</v>
      </c>
      <c r="K176" t="s">
        <v>44</v>
      </c>
      <c r="M176" t="s">
        <v>59</v>
      </c>
      <c r="O176">
        <f t="shared" si="3"/>
        <v>4</v>
      </c>
      <c r="P176" t="str">
        <f>+VLOOKUP(O176,X:Y,2,0)</f>
        <v>Abril</v>
      </c>
    </row>
    <row r="177" spans="3:16" x14ac:dyDescent="0.35">
      <c r="C177" t="s">
        <v>14</v>
      </c>
      <c r="D177">
        <v>53051501</v>
      </c>
      <c r="E177" t="s">
        <v>1308</v>
      </c>
      <c r="F177" s="29">
        <v>1339481</v>
      </c>
      <c r="G177" t="s">
        <v>283</v>
      </c>
      <c r="H177" s="2">
        <v>45777</v>
      </c>
      <c r="I177" t="s">
        <v>284</v>
      </c>
      <c r="J177" t="s">
        <v>284</v>
      </c>
      <c r="K177" t="s">
        <v>19</v>
      </c>
      <c r="M177" t="s">
        <v>59</v>
      </c>
      <c r="O177">
        <f t="shared" si="3"/>
        <v>4</v>
      </c>
      <c r="P177" t="str">
        <f>+VLOOKUP(O177,X:Y,2,0)</f>
        <v>Abril</v>
      </c>
    </row>
    <row r="178" spans="3:16" x14ac:dyDescent="0.35">
      <c r="C178" t="s">
        <v>14</v>
      </c>
      <c r="D178">
        <v>53051501</v>
      </c>
      <c r="E178" t="s">
        <v>1308</v>
      </c>
      <c r="F178" s="29">
        <v>73668</v>
      </c>
      <c r="G178" t="s">
        <v>285</v>
      </c>
      <c r="H178" s="2">
        <v>45777</v>
      </c>
      <c r="I178" t="s">
        <v>286</v>
      </c>
      <c r="J178" t="s">
        <v>286</v>
      </c>
      <c r="K178" t="s">
        <v>19</v>
      </c>
      <c r="M178" t="s">
        <v>59</v>
      </c>
      <c r="O178">
        <f t="shared" si="3"/>
        <v>4</v>
      </c>
      <c r="P178" t="str">
        <f>+VLOOKUP(O178,X:Y,2,0)</f>
        <v>Abril</v>
      </c>
    </row>
    <row r="179" spans="3:16" x14ac:dyDescent="0.35">
      <c r="C179" t="s">
        <v>14</v>
      </c>
      <c r="D179">
        <v>53051501</v>
      </c>
      <c r="E179" t="s">
        <v>1308</v>
      </c>
      <c r="F179" s="29">
        <v>1029094.16</v>
      </c>
      <c r="G179" t="s">
        <v>287</v>
      </c>
      <c r="H179" s="2">
        <v>45777</v>
      </c>
      <c r="I179" t="s">
        <v>288</v>
      </c>
      <c r="J179" t="s">
        <v>288</v>
      </c>
      <c r="K179" t="s">
        <v>29</v>
      </c>
      <c r="M179" t="s">
        <v>59</v>
      </c>
      <c r="O179">
        <f t="shared" si="3"/>
        <v>4</v>
      </c>
      <c r="P179" t="str">
        <f>+VLOOKUP(O179,X:Y,2,0)</f>
        <v>Abril</v>
      </c>
    </row>
    <row r="180" spans="3:16" x14ac:dyDescent="0.35">
      <c r="C180" t="s">
        <v>14</v>
      </c>
      <c r="D180">
        <v>53051501</v>
      </c>
      <c r="E180" t="s">
        <v>1308</v>
      </c>
      <c r="F180" s="29">
        <v>8003222</v>
      </c>
      <c r="G180" t="s">
        <v>289</v>
      </c>
      <c r="H180" s="2">
        <v>45777</v>
      </c>
      <c r="I180" t="s">
        <v>290</v>
      </c>
      <c r="J180" t="s">
        <v>290</v>
      </c>
      <c r="K180" t="s">
        <v>1512</v>
      </c>
      <c r="M180" t="s">
        <v>59</v>
      </c>
      <c r="O180">
        <f t="shared" si="3"/>
        <v>4</v>
      </c>
      <c r="P180" t="str">
        <f>+VLOOKUP(O180,X:Y,2,0)</f>
        <v>Abril</v>
      </c>
    </row>
    <row r="181" spans="3:16" x14ac:dyDescent="0.35">
      <c r="C181" t="s">
        <v>14</v>
      </c>
      <c r="D181">
        <v>53051501</v>
      </c>
      <c r="E181" t="s">
        <v>1308</v>
      </c>
      <c r="F181" s="29">
        <v>3650</v>
      </c>
      <c r="G181" t="s">
        <v>291</v>
      </c>
      <c r="H181" s="2">
        <v>45777</v>
      </c>
      <c r="I181" t="s">
        <v>292</v>
      </c>
      <c r="J181" t="s">
        <v>292</v>
      </c>
      <c r="K181" t="s">
        <v>25</v>
      </c>
      <c r="M181" t="s">
        <v>59</v>
      </c>
      <c r="O181">
        <f t="shared" si="3"/>
        <v>4</v>
      </c>
      <c r="P181" t="str">
        <f>+VLOOKUP(O181,X:Y,2,0)</f>
        <v>Abril</v>
      </c>
    </row>
    <row r="182" spans="3:16" x14ac:dyDescent="0.35">
      <c r="C182" t="s">
        <v>14</v>
      </c>
      <c r="D182">
        <v>53051501</v>
      </c>
      <c r="E182" t="s">
        <v>1308</v>
      </c>
      <c r="F182" s="29">
        <v>269103.01</v>
      </c>
      <c r="G182" t="s">
        <v>295</v>
      </c>
      <c r="H182" s="2">
        <v>45777</v>
      </c>
      <c r="I182" t="s">
        <v>296</v>
      </c>
      <c r="J182" t="s">
        <v>296</v>
      </c>
      <c r="K182" t="s">
        <v>46</v>
      </c>
      <c r="M182" t="s">
        <v>59</v>
      </c>
      <c r="O182">
        <f t="shared" si="3"/>
        <v>4</v>
      </c>
      <c r="P182" t="str">
        <f>+VLOOKUP(O182,X:Y,2,0)</f>
        <v>Abril</v>
      </c>
    </row>
    <row r="183" spans="3:16" x14ac:dyDescent="0.35">
      <c r="C183" t="s">
        <v>14</v>
      </c>
      <c r="D183">
        <v>53051501</v>
      </c>
      <c r="E183" t="s">
        <v>1308</v>
      </c>
      <c r="F183" s="29">
        <v>2883447.6</v>
      </c>
      <c r="G183" t="s">
        <v>299</v>
      </c>
      <c r="H183" s="2">
        <v>45777</v>
      </c>
      <c r="I183" t="s">
        <v>300</v>
      </c>
      <c r="J183" t="s">
        <v>300</v>
      </c>
      <c r="K183" t="s">
        <v>29</v>
      </c>
      <c r="M183" t="s">
        <v>59</v>
      </c>
      <c r="O183">
        <f t="shared" si="3"/>
        <v>4</v>
      </c>
      <c r="P183" t="str">
        <f>+VLOOKUP(O183,X:Y,2,0)</f>
        <v>Abril</v>
      </c>
    </row>
    <row r="184" spans="3:16" x14ac:dyDescent="0.35">
      <c r="C184" t="s">
        <v>14</v>
      </c>
      <c r="D184">
        <v>53051502</v>
      </c>
      <c r="E184" t="s">
        <v>1309</v>
      </c>
      <c r="F184" s="29">
        <v>6867236</v>
      </c>
      <c r="G184" t="s">
        <v>305</v>
      </c>
      <c r="H184" s="2">
        <v>45777</v>
      </c>
      <c r="I184" t="s">
        <v>306</v>
      </c>
      <c r="J184" t="s">
        <v>306</v>
      </c>
      <c r="K184" t="s">
        <v>40</v>
      </c>
      <c r="M184" t="s">
        <v>59</v>
      </c>
      <c r="O184">
        <f t="shared" si="3"/>
        <v>4</v>
      </c>
      <c r="P184" t="str">
        <f>+VLOOKUP(O184,X:Y,2,0)</f>
        <v>Abril</v>
      </c>
    </row>
    <row r="185" spans="3:16" x14ac:dyDescent="0.35">
      <c r="C185" t="s">
        <v>14</v>
      </c>
      <c r="D185">
        <v>53051502</v>
      </c>
      <c r="E185" t="s">
        <v>1309</v>
      </c>
      <c r="F185" s="29">
        <v>2936269.65</v>
      </c>
      <c r="G185" t="s">
        <v>305</v>
      </c>
      <c r="H185" s="2">
        <v>45777</v>
      </c>
      <c r="I185" t="s">
        <v>306</v>
      </c>
      <c r="J185" t="s">
        <v>306</v>
      </c>
      <c r="K185" t="s">
        <v>1512</v>
      </c>
      <c r="M185" t="s">
        <v>59</v>
      </c>
      <c r="O185">
        <f t="shared" si="3"/>
        <v>4</v>
      </c>
      <c r="P185" t="str">
        <f>+VLOOKUP(O185,X:Y,2,0)</f>
        <v>Abril</v>
      </c>
    </row>
    <row r="186" spans="3:16" x14ac:dyDescent="0.35">
      <c r="C186" t="s">
        <v>14</v>
      </c>
      <c r="D186">
        <v>53051502</v>
      </c>
      <c r="E186" t="s">
        <v>1309</v>
      </c>
      <c r="F186" s="29">
        <v>20734350.5</v>
      </c>
      <c r="G186" t="s">
        <v>305</v>
      </c>
      <c r="H186" s="2">
        <v>45777</v>
      </c>
      <c r="I186" t="s">
        <v>306</v>
      </c>
      <c r="J186" t="s">
        <v>306</v>
      </c>
      <c r="K186" t="s">
        <v>172</v>
      </c>
      <c r="M186" t="s">
        <v>59</v>
      </c>
      <c r="O186">
        <f t="shared" si="3"/>
        <v>4</v>
      </c>
      <c r="P186" t="str">
        <f>+VLOOKUP(O186,X:Y,2,0)</f>
        <v>Abril</v>
      </c>
    </row>
    <row r="187" spans="3:16" x14ac:dyDescent="0.35">
      <c r="C187" t="s">
        <v>14</v>
      </c>
      <c r="D187">
        <v>53051501</v>
      </c>
      <c r="E187" t="s">
        <v>1308</v>
      </c>
      <c r="F187" s="29">
        <v>-12852055</v>
      </c>
      <c r="G187" t="s">
        <v>309</v>
      </c>
      <c r="H187" s="2">
        <v>45777</v>
      </c>
      <c r="I187" t="s">
        <v>310</v>
      </c>
      <c r="J187" t="s">
        <v>310</v>
      </c>
      <c r="K187" t="s">
        <v>29</v>
      </c>
      <c r="M187" t="s">
        <v>59</v>
      </c>
      <c r="O187">
        <f t="shared" si="3"/>
        <v>4</v>
      </c>
      <c r="P187" t="str">
        <f>+VLOOKUP(O187,X:Y,2,0)</f>
        <v>Abril</v>
      </c>
    </row>
    <row r="188" spans="3:16" x14ac:dyDescent="0.35">
      <c r="C188" t="s">
        <v>14</v>
      </c>
      <c r="D188">
        <v>53051501</v>
      </c>
      <c r="E188" t="s">
        <v>1308</v>
      </c>
      <c r="F188" s="29">
        <v>3529</v>
      </c>
      <c r="G188" t="s">
        <v>317</v>
      </c>
      <c r="H188" s="2">
        <v>45777</v>
      </c>
      <c r="I188" t="s">
        <v>153</v>
      </c>
      <c r="J188" t="s">
        <v>153</v>
      </c>
      <c r="K188" t="s">
        <v>29</v>
      </c>
      <c r="M188" t="s">
        <v>59</v>
      </c>
      <c r="O188">
        <f t="shared" si="3"/>
        <v>4</v>
      </c>
      <c r="P188" t="str">
        <f>+VLOOKUP(O188,X:Y,2,0)</f>
        <v>Abril</v>
      </c>
    </row>
    <row r="189" spans="3:16" x14ac:dyDescent="0.35">
      <c r="C189" t="s">
        <v>14</v>
      </c>
      <c r="D189">
        <v>53051501</v>
      </c>
      <c r="E189" t="s">
        <v>1308</v>
      </c>
      <c r="F189" s="29">
        <v>3529</v>
      </c>
      <c r="G189" t="s">
        <v>318</v>
      </c>
      <c r="H189" s="2">
        <v>45777</v>
      </c>
      <c r="I189" t="s">
        <v>319</v>
      </c>
      <c r="J189" t="s">
        <v>319</v>
      </c>
      <c r="K189" t="s">
        <v>29</v>
      </c>
      <c r="M189" t="s">
        <v>59</v>
      </c>
      <c r="O189">
        <f t="shared" si="3"/>
        <v>4</v>
      </c>
      <c r="P189" t="str">
        <f>+VLOOKUP(O189,X:Y,2,0)</f>
        <v>Abril</v>
      </c>
    </row>
    <row r="190" spans="3:16" x14ac:dyDescent="0.35">
      <c r="C190" t="s">
        <v>14</v>
      </c>
      <c r="D190">
        <v>53051501</v>
      </c>
      <c r="E190" t="s">
        <v>1308</v>
      </c>
      <c r="F190" s="29">
        <v>3529</v>
      </c>
      <c r="G190" t="s">
        <v>322</v>
      </c>
      <c r="H190" s="2">
        <v>45777</v>
      </c>
      <c r="I190" t="s">
        <v>323</v>
      </c>
      <c r="J190" t="s">
        <v>323</v>
      </c>
      <c r="K190" t="s">
        <v>29</v>
      </c>
      <c r="M190" t="s">
        <v>59</v>
      </c>
      <c r="O190">
        <f t="shared" si="3"/>
        <v>4</v>
      </c>
      <c r="P190" t="str">
        <f>+VLOOKUP(O190,X:Y,2,0)</f>
        <v>Abril</v>
      </c>
    </row>
    <row r="191" spans="3:16" s="21" customFormat="1" x14ac:dyDescent="0.35">
      <c r="C191" s="21" t="s">
        <v>14</v>
      </c>
      <c r="D191" s="21">
        <v>53051502</v>
      </c>
      <c r="E191" s="21" t="s">
        <v>1309</v>
      </c>
      <c r="F191" s="29">
        <v>8941687.1799999997</v>
      </c>
      <c r="G191" s="21" t="s">
        <v>969</v>
      </c>
      <c r="H191" s="23">
        <v>45782</v>
      </c>
      <c r="I191" s="21" t="s">
        <v>1017</v>
      </c>
      <c r="J191" s="21" t="s">
        <v>1017</v>
      </c>
      <c r="K191" s="21" t="s">
        <v>40</v>
      </c>
      <c r="O191" s="21">
        <f t="shared" si="3"/>
        <v>5</v>
      </c>
      <c r="P191" s="21" t="str">
        <f>+VLOOKUP(O191,X:Y,2,0)</f>
        <v>Mayo</v>
      </c>
    </row>
    <row r="192" spans="3:16" x14ac:dyDescent="0.35">
      <c r="C192" t="s">
        <v>14</v>
      </c>
      <c r="D192">
        <v>53051502</v>
      </c>
      <c r="E192" t="s">
        <v>1309</v>
      </c>
      <c r="F192" s="29">
        <v>21179929.489999998</v>
      </c>
      <c r="G192" t="s">
        <v>969</v>
      </c>
      <c r="H192" s="2">
        <v>45782</v>
      </c>
      <c r="I192" t="s">
        <v>1017</v>
      </c>
      <c r="J192" t="s">
        <v>1017</v>
      </c>
      <c r="K192" t="s">
        <v>1512</v>
      </c>
      <c r="O192">
        <f t="shared" si="3"/>
        <v>5</v>
      </c>
      <c r="P192" t="str">
        <f>+VLOOKUP(O192,X:Y,2,0)</f>
        <v>Mayo</v>
      </c>
    </row>
    <row r="193" spans="3:16" x14ac:dyDescent="0.35">
      <c r="C193" t="s">
        <v>14</v>
      </c>
      <c r="D193">
        <v>53051502</v>
      </c>
      <c r="E193" t="s">
        <v>1309</v>
      </c>
      <c r="F193" s="29">
        <v>636813</v>
      </c>
      <c r="G193" t="s">
        <v>969</v>
      </c>
      <c r="H193" s="2">
        <v>45782</v>
      </c>
      <c r="I193" t="s">
        <v>1017</v>
      </c>
      <c r="J193" t="s">
        <v>1017</v>
      </c>
      <c r="K193" t="s">
        <v>172</v>
      </c>
      <c r="O193">
        <f t="shared" si="3"/>
        <v>5</v>
      </c>
      <c r="P193" t="str">
        <f>+VLOOKUP(O193,X:Y,2,0)</f>
        <v>Mayo</v>
      </c>
    </row>
    <row r="194" spans="3:16" x14ac:dyDescent="0.35">
      <c r="C194" t="s">
        <v>14</v>
      </c>
      <c r="D194">
        <v>53051501</v>
      </c>
      <c r="E194" t="s">
        <v>1308</v>
      </c>
      <c r="F194" s="29">
        <v>3529</v>
      </c>
      <c r="G194" t="s">
        <v>970</v>
      </c>
      <c r="H194" s="2">
        <v>45783</v>
      </c>
      <c r="I194" t="s">
        <v>151</v>
      </c>
      <c r="J194" t="s">
        <v>151</v>
      </c>
      <c r="K194" t="s">
        <v>29</v>
      </c>
      <c r="O194">
        <f t="shared" si="3"/>
        <v>5</v>
      </c>
      <c r="P194" t="str">
        <f>+VLOOKUP(O194,X:Y,2,0)</f>
        <v>Mayo</v>
      </c>
    </row>
    <row r="195" spans="3:16" x14ac:dyDescent="0.35">
      <c r="C195" t="s">
        <v>14</v>
      </c>
      <c r="D195">
        <v>53051501</v>
      </c>
      <c r="E195" t="s">
        <v>1308</v>
      </c>
      <c r="F195" s="29">
        <v>3529</v>
      </c>
      <c r="G195" t="s">
        <v>971</v>
      </c>
      <c r="H195" s="2">
        <v>45783</v>
      </c>
      <c r="I195" t="s">
        <v>153</v>
      </c>
      <c r="J195" t="s">
        <v>153</v>
      </c>
      <c r="K195" t="s">
        <v>29</v>
      </c>
      <c r="O195">
        <f t="shared" si="3"/>
        <v>5</v>
      </c>
      <c r="P195" t="str">
        <f>+VLOOKUP(O195,X:Y,2,0)</f>
        <v>Mayo</v>
      </c>
    </row>
    <row r="196" spans="3:16" x14ac:dyDescent="0.35">
      <c r="C196" t="s">
        <v>14</v>
      </c>
      <c r="D196">
        <v>53051501</v>
      </c>
      <c r="E196" t="s">
        <v>1308</v>
      </c>
      <c r="F196" s="29">
        <v>11004</v>
      </c>
      <c r="G196" t="s">
        <v>972</v>
      </c>
      <c r="H196" s="2">
        <v>45784</v>
      </c>
      <c r="I196" t="s">
        <v>1018</v>
      </c>
      <c r="J196" t="s">
        <v>1018</v>
      </c>
      <c r="K196" t="s">
        <v>1527</v>
      </c>
      <c r="O196">
        <f t="shared" si="3"/>
        <v>5</v>
      </c>
      <c r="P196" t="str">
        <f>+VLOOKUP(O196,X:Y,2,0)</f>
        <v>Mayo</v>
      </c>
    </row>
    <row r="197" spans="3:16" x14ac:dyDescent="0.35">
      <c r="C197" t="s">
        <v>14</v>
      </c>
      <c r="D197">
        <v>53051502</v>
      </c>
      <c r="E197" t="s">
        <v>1309</v>
      </c>
      <c r="F197" s="29">
        <v>2003350.25</v>
      </c>
      <c r="G197" t="s">
        <v>973</v>
      </c>
      <c r="H197" s="2">
        <v>45784</v>
      </c>
      <c r="I197" t="s">
        <v>1019</v>
      </c>
      <c r="J197" t="s">
        <v>1019</v>
      </c>
      <c r="K197" t="s">
        <v>172</v>
      </c>
      <c r="O197">
        <f t="shared" si="3"/>
        <v>5</v>
      </c>
      <c r="P197" t="str">
        <f>+VLOOKUP(O197,X:Y,2,0)</f>
        <v>Mayo</v>
      </c>
    </row>
    <row r="198" spans="3:16" x14ac:dyDescent="0.35">
      <c r="C198" t="s">
        <v>14</v>
      </c>
      <c r="D198">
        <v>53051502</v>
      </c>
      <c r="E198" t="s">
        <v>1309</v>
      </c>
      <c r="F198" s="29">
        <v>3235934.23</v>
      </c>
      <c r="G198" t="s">
        <v>974</v>
      </c>
      <c r="H198" s="2">
        <v>45785</v>
      </c>
      <c r="I198" t="s">
        <v>1020</v>
      </c>
      <c r="J198" t="s">
        <v>1020</v>
      </c>
      <c r="K198" t="s">
        <v>40</v>
      </c>
      <c r="O198">
        <f t="shared" si="3"/>
        <v>5</v>
      </c>
      <c r="P198" t="str">
        <f>+VLOOKUP(O198,X:Y,2,0)</f>
        <v>Mayo</v>
      </c>
    </row>
    <row r="199" spans="3:16" x14ac:dyDescent="0.35">
      <c r="C199" t="s">
        <v>14</v>
      </c>
      <c r="D199">
        <v>53051501</v>
      </c>
      <c r="E199" s="34" t="s">
        <v>1427</v>
      </c>
      <c r="F199" s="29">
        <v>14477789</v>
      </c>
      <c r="G199" t="s">
        <v>975</v>
      </c>
      <c r="H199" s="2">
        <v>45790</v>
      </c>
      <c r="I199" t="s">
        <v>1021</v>
      </c>
      <c r="J199" t="s">
        <v>1021</v>
      </c>
      <c r="K199" t="s">
        <v>203</v>
      </c>
      <c r="O199">
        <f t="shared" si="3"/>
        <v>5</v>
      </c>
      <c r="P199" t="str">
        <f>+VLOOKUP(O199,X:Y,2,0)</f>
        <v>Mayo</v>
      </c>
    </row>
    <row r="200" spans="3:16" x14ac:dyDescent="0.35">
      <c r="C200" t="s">
        <v>14</v>
      </c>
      <c r="D200">
        <v>53051501</v>
      </c>
      <c r="E200" s="34" t="s">
        <v>1427</v>
      </c>
      <c r="F200" s="29">
        <v>5459528</v>
      </c>
      <c r="G200" t="s">
        <v>976</v>
      </c>
      <c r="H200" s="2">
        <v>45790</v>
      </c>
      <c r="I200" t="s">
        <v>1022</v>
      </c>
      <c r="J200" t="s">
        <v>1022</v>
      </c>
      <c r="K200" t="s">
        <v>203</v>
      </c>
      <c r="O200">
        <f t="shared" si="3"/>
        <v>5</v>
      </c>
      <c r="P200" t="str">
        <f>+VLOOKUP(O200,X:Y,2,0)</f>
        <v>Mayo</v>
      </c>
    </row>
    <row r="201" spans="3:16" x14ac:dyDescent="0.35">
      <c r="C201" t="s">
        <v>14</v>
      </c>
      <c r="D201">
        <v>53051501</v>
      </c>
      <c r="E201" s="34" t="s">
        <v>1427</v>
      </c>
      <c r="F201" s="29">
        <v>1980</v>
      </c>
      <c r="G201" t="s">
        <v>977</v>
      </c>
      <c r="H201" s="2">
        <v>45790</v>
      </c>
      <c r="I201" t="s">
        <v>1023</v>
      </c>
      <c r="J201" t="s">
        <v>1054</v>
      </c>
      <c r="K201" t="s">
        <v>203</v>
      </c>
      <c r="O201">
        <f t="shared" si="3"/>
        <v>5</v>
      </c>
      <c r="P201" t="str">
        <f>+VLOOKUP(O201,X:Y,2,0)</f>
        <v>Mayo</v>
      </c>
    </row>
    <row r="202" spans="3:16" x14ac:dyDescent="0.35">
      <c r="C202" t="s">
        <v>14</v>
      </c>
      <c r="D202">
        <v>53051501</v>
      </c>
      <c r="E202" t="s">
        <v>1308</v>
      </c>
      <c r="F202" s="29">
        <v>3529</v>
      </c>
      <c r="G202" t="s">
        <v>978</v>
      </c>
      <c r="H202" s="2">
        <v>45790</v>
      </c>
      <c r="I202" t="s">
        <v>155</v>
      </c>
      <c r="J202" t="s">
        <v>155</v>
      </c>
      <c r="K202" t="s">
        <v>29</v>
      </c>
      <c r="O202">
        <f t="shared" si="3"/>
        <v>5</v>
      </c>
      <c r="P202" t="str">
        <f>+VLOOKUP(O202,X:Y,2,0)</f>
        <v>Mayo</v>
      </c>
    </row>
    <row r="203" spans="3:16" x14ac:dyDescent="0.35">
      <c r="C203" t="s">
        <v>14</v>
      </c>
      <c r="D203">
        <v>53051501</v>
      </c>
      <c r="E203" s="34" t="s">
        <v>1427</v>
      </c>
      <c r="F203" s="29">
        <v>324200</v>
      </c>
      <c r="G203" t="s">
        <v>979</v>
      </c>
      <c r="H203" s="2">
        <v>45792</v>
      </c>
      <c r="I203" t="s">
        <v>1024</v>
      </c>
      <c r="J203" t="s">
        <v>1024</v>
      </c>
      <c r="K203" t="s">
        <v>203</v>
      </c>
      <c r="O203">
        <f t="shared" si="3"/>
        <v>5</v>
      </c>
      <c r="P203" t="str">
        <f>+VLOOKUP(O203,X:Y,2,0)</f>
        <v>Mayo</v>
      </c>
    </row>
    <row r="204" spans="3:16" x14ac:dyDescent="0.35">
      <c r="C204" t="s">
        <v>14</v>
      </c>
      <c r="D204">
        <v>53051501</v>
      </c>
      <c r="E204" s="34" t="s">
        <v>1427</v>
      </c>
      <c r="F204" s="29">
        <v>1490708</v>
      </c>
      <c r="G204" t="s">
        <v>980</v>
      </c>
      <c r="H204" s="2">
        <v>45792</v>
      </c>
      <c r="I204" t="s">
        <v>1025</v>
      </c>
      <c r="J204" t="s">
        <v>1025</v>
      </c>
      <c r="K204" t="s">
        <v>203</v>
      </c>
      <c r="O204">
        <f t="shared" si="3"/>
        <v>5</v>
      </c>
      <c r="P204" t="str">
        <f>+VLOOKUP(O204,X:Y,2,0)</f>
        <v>Mayo</v>
      </c>
    </row>
    <row r="205" spans="3:16" x14ac:dyDescent="0.35">
      <c r="C205" t="s">
        <v>14</v>
      </c>
      <c r="D205">
        <v>53051501</v>
      </c>
      <c r="E205" t="s">
        <v>1308</v>
      </c>
      <c r="F205" s="29">
        <v>3558750</v>
      </c>
      <c r="G205" t="s">
        <v>981</v>
      </c>
      <c r="H205" s="2">
        <v>45796</v>
      </c>
      <c r="I205" t="s">
        <v>1026</v>
      </c>
      <c r="J205" t="s">
        <v>1026</v>
      </c>
      <c r="K205" t="s">
        <v>44</v>
      </c>
      <c r="O205">
        <f t="shared" ref="O205:O268" si="4">+MONTH(H205)</f>
        <v>5</v>
      </c>
      <c r="P205" t="str">
        <f>+VLOOKUP(O205,X:Y,2,0)</f>
        <v>Mayo</v>
      </c>
    </row>
    <row r="206" spans="3:16" x14ac:dyDescent="0.35">
      <c r="C206" t="s">
        <v>14</v>
      </c>
      <c r="D206">
        <v>53051501</v>
      </c>
      <c r="E206" t="s">
        <v>1308</v>
      </c>
      <c r="F206" s="29">
        <v>419428</v>
      </c>
      <c r="G206" t="s">
        <v>982</v>
      </c>
      <c r="H206" s="2">
        <v>45796</v>
      </c>
      <c r="I206" t="s">
        <v>1027</v>
      </c>
      <c r="J206" t="s">
        <v>1027</v>
      </c>
      <c r="K206" t="s">
        <v>167</v>
      </c>
      <c r="O206">
        <f t="shared" si="4"/>
        <v>5</v>
      </c>
      <c r="P206" t="str">
        <f>+VLOOKUP(O206,X:Y,2,0)</f>
        <v>Mayo</v>
      </c>
    </row>
    <row r="207" spans="3:16" x14ac:dyDescent="0.35">
      <c r="C207" t="s">
        <v>14</v>
      </c>
      <c r="D207">
        <v>53051501</v>
      </c>
      <c r="E207" t="s">
        <v>1308</v>
      </c>
      <c r="F207" s="29">
        <v>3529</v>
      </c>
      <c r="G207" t="s">
        <v>983</v>
      </c>
      <c r="H207" s="2">
        <v>45796</v>
      </c>
      <c r="I207" t="s">
        <v>208</v>
      </c>
      <c r="J207" t="s">
        <v>208</v>
      </c>
      <c r="K207" t="s">
        <v>29</v>
      </c>
      <c r="O207">
        <f t="shared" si="4"/>
        <v>5</v>
      </c>
      <c r="P207" t="str">
        <f>+VLOOKUP(O207,X:Y,2,0)</f>
        <v>Mayo</v>
      </c>
    </row>
    <row r="208" spans="3:16" x14ac:dyDescent="0.35">
      <c r="C208" t="s">
        <v>14</v>
      </c>
      <c r="D208">
        <v>53051501</v>
      </c>
      <c r="E208" t="s">
        <v>1308</v>
      </c>
      <c r="F208" s="29">
        <v>1035340.4</v>
      </c>
      <c r="G208" t="s">
        <v>984</v>
      </c>
      <c r="H208" s="2">
        <v>45799</v>
      </c>
      <c r="I208" t="s">
        <v>1028</v>
      </c>
      <c r="J208" t="s">
        <v>1028</v>
      </c>
      <c r="K208" t="s">
        <v>1512</v>
      </c>
      <c r="O208">
        <f t="shared" si="4"/>
        <v>5</v>
      </c>
      <c r="P208" t="str">
        <f>+VLOOKUP(O208,X:Y,2,0)</f>
        <v>Mayo</v>
      </c>
    </row>
    <row r="209" spans="3:16" x14ac:dyDescent="0.35">
      <c r="C209" t="s">
        <v>14</v>
      </c>
      <c r="D209">
        <v>53051502</v>
      </c>
      <c r="E209" t="s">
        <v>1309</v>
      </c>
      <c r="F209" s="29">
        <v>10114043</v>
      </c>
      <c r="G209" t="s">
        <v>985</v>
      </c>
      <c r="H209" s="2">
        <v>45799</v>
      </c>
      <c r="I209" t="s">
        <v>1029</v>
      </c>
      <c r="J209" t="s">
        <v>1029</v>
      </c>
      <c r="K209" t="s">
        <v>1512</v>
      </c>
      <c r="O209">
        <f t="shared" si="4"/>
        <v>5</v>
      </c>
      <c r="P209" t="str">
        <f>+VLOOKUP(O209,X:Y,2,0)</f>
        <v>Mayo</v>
      </c>
    </row>
    <row r="210" spans="3:16" x14ac:dyDescent="0.35">
      <c r="C210" t="s">
        <v>14</v>
      </c>
      <c r="D210">
        <v>53051501</v>
      </c>
      <c r="E210" t="s">
        <v>1308</v>
      </c>
      <c r="F210" s="29">
        <v>239997.6</v>
      </c>
      <c r="G210" t="s">
        <v>986</v>
      </c>
      <c r="H210" s="2">
        <v>45799</v>
      </c>
      <c r="I210" t="s">
        <v>1030</v>
      </c>
      <c r="J210" t="s">
        <v>1030</v>
      </c>
      <c r="K210" t="s">
        <v>167</v>
      </c>
      <c r="O210">
        <f t="shared" si="4"/>
        <v>5</v>
      </c>
      <c r="P210" t="str">
        <f>+VLOOKUP(O210,X:Y,2,0)</f>
        <v>Mayo</v>
      </c>
    </row>
    <row r="211" spans="3:16" x14ac:dyDescent="0.35">
      <c r="C211" t="s">
        <v>14</v>
      </c>
      <c r="D211">
        <v>53051502</v>
      </c>
      <c r="E211" t="s">
        <v>1309</v>
      </c>
      <c r="F211" s="29">
        <v>2280115.27</v>
      </c>
      <c r="G211" t="s">
        <v>987</v>
      </c>
      <c r="H211" s="2">
        <v>45800</v>
      </c>
      <c r="I211" t="s">
        <v>1031</v>
      </c>
      <c r="J211" t="s">
        <v>1031</v>
      </c>
      <c r="K211" t="s">
        <v>40</v>
      </c>
      <c r="O211">
        <f t="shared" si="4"/>
        <v>5</v>
      </c>
      <c r="P211" t="str">
        <f>+VLOOKUP(O211,X:Y,2,0)</f>
        <v>Mayo</v>
      </c>
    </row>
    <row r="212" spans="3:16" x14ac:dyDescent="0.35">
      <c r="C212" t="s">
        <v>14</v>
      </c>
      <c r="D212">
        <v>53051502</v>
      </c>
      <c r="E212" t="s">
        <v>1309</v>
      </c>
      <c r="F212" s="29">
        <v>12781016.65</v>
      </c>
      <c r="G212" t="s">
        <v>988</v>
      </c>
      <c r="H212" s="2">
        <v>45800</v>
      </c>
      <c r="I212" t="s">
        <v>1032</v>
      </c>
      <c r="J212" t="s">
        <v>1032</v>
      </c>
      <c r="K212" t="s">
        <v>40</v>
      </c>
      <c r="O212">
        <f t="shared" si="4"/>
        <v>5</v>
      </c>
      <c r="P212" t="str">
        <f>+VLOOKUP(O212,X:Y,2,0)</f>
        <v>Mayo</v>
      </c>
    </row>
    <row r="213" spans="3:16" x14ac:dyDescent="0.35">
      <c r="C213" t="s">
        <v>14</v>
      </c>
      <c r="D213">
        <v>53051501</v>
      </c>
      <c r="E213" t="s">
        <v>1308</v>
      </c>
      <c r="F213" s="29">
        <v>3529</v>
      </c>
      <c r="G213" t="s">
        <v>989</v>
      </c>
      <c r="H213" s="2">
        <v>45803</v>
      </c>
      <c r="I213" t="s">
        <v>208</v>
      </c>
      <c r="J213" t="s">
        <v>208</v>
      </c>
      <c r="K213" t="s">
        <v>29</v>
      </c>
      <c r="O213">
        <f t="shared" si="4"/>
        <v>5</v>
      </c>
      <c r="P213" t="str">
        <f>+VLOOKUP(O213,X:Y,2,0)</f>
        <v>Mayo</v>
      </c>
    </row>
    <row r="214" spans="3:16" x14ac:dyDescent="0.35">
      <c r="C214" t="s">
        <v>14</v>
      </c>
      <c r="D214">
        <v>53051501</v>
      </c>
      <c r="E214" t="s">
        <v>1308</v>
      </c>
      <c r="F214" s="29">
        <v>3529</v>
      </c>
      <c r="G214" t="s">
        <v>990</v>
      </c>
      <c r="H214" s="2">
        <v>45803</v>
      </c>
      <c r="I214" t="s">
        <v>1033</v>
      </c>
      <c r="J214" t="s">
        <v>1033</v>
      </c>
      <c r="K214" t="s">
        <v>29</v>
      </c>
      <c r="O214">
        <f t="shared" si="4"/>
        <v>5</v>
      </c>
      <c r="P214" t="str">
        <f>+VLOOKUP(O214,X:Y,2,0)</f>
        <v>Mayo</v>
      </c>
    </row>
    <row r="215" spans="3:16" x14ac:dyDescent="0.35">
      <c r="C215" t="s">
        <v>14</v>
      </c>
      <c r="D215">
        <v>53051501</v>
      </c>
      <c r="E215" t="s">
        <v>1308</v>
      </c>
      <c r="F215" s="29">
        <v>1413149</v>
      </c>
      <c r="G215" t="s">
        <v>991</v>
      </c>
      <c r="H215" s="2">
        <v>45805</v>
      </c>
      <c r="I215" t="s">
        <v>1034</v>
      </c>
      <c r="J215" t="s">
        <v>1034</v>
      </c>
      <c r="K215" t="s">
        <v>19</v>
      </c>
      <c r="O215">
        <f t="shared" si="4"/>
        <v>5</v>
      </c>
      <c r="P215" t="str">
        <f>+VLOOKUP(O215,X:Y,2,0)</f>
        <v>Mayo</v>
      </c>
    </row>
    <row r="216" spans="3:16" x14ac:dyDescent="0.35">
      <c r="C216" t="s">
        <v>14</v>
      </c>
      <c r="D216">
        <v>53051501</v>
      </c>
      <c r="E216" t="s">
        <v>1308</v>
      </c>
      <c r="F216" s="29">
        <v>3954889.76</v>
      </c>
      <c r="G216" t="s">
        <v>992</v>
      </c>
      <c r="H216" s="2">
        <v>45805</v>
      </c>
      <c r="I216" t="s">
        <v>1034</v>
      </c>
      <c r="J216" t="s">
        <v>1034</v>
      </c>
      <c r="K216" t="s">
        <v>29</v>
      </c>
      <c r="O216">
        <f t="shared" si="4"/>
        <v>5</v>
      </c>
      <c r="P216" t="str">
        <f>+VLOOKUP(O216,X:Y,2,0)</f>
        <v>Mayo</v>
      </c>
    </row>
    <row r="217" spans="3:16" x14ac:dyDescent="0.35">
      <c r="C217" t="s">
        <v>14</v>
      </c>
      <c r="D217">
        <v>53051501</v>
      </c>
      <c r="E217" t="s">
        <v>1308</v>
      </c>
      <c r="F217" s="29">
        <v>10939491.65</v>
      </c>
      <c r="G217" t="s">
        <v>993</v>
      </c>
      <c r="H217" s="2">
        <v>45805</v>
      </c>
      <c r="I217" t="s">
        <v>1034</v>
      </c>
      <c r="J217" t="s">
        <v>1034</v>
      </c>
      <c r="K217" t="s">
        <v>1512</v>
      </c>
      <c r="O217">
        <f t="shared" si="4"/>
        <v>5</v>
      </c>
      <c r="P217" t="str">
        <f>+VLOOKUP(O217,X:Y,2,0)</f>
        <v>Mayo</v>
      </c>
    </row>
    <row r="218" spans="3:16" x14ac:dyDescent="0.35">
      <c r="C218" t="s">
        <v>14</v>
      </c>
      <c r="D218">
        <v>53051501</v>
      </c>
      <c r="E218" t="s">
        <v>1308</v>
      </c>
      <c r="F218" s="29">
        <v>13140</v>
      </c>
      <c r="G218" t="s">
        <v>994</v>
      </c>
      <c r="H218" s="2">
        <v>45805</v>
      </c>
      <c r="I218" t="s">
        <v>1034</v>
      </c>
      <c r="J218" t="s">
        <v>1034</v>
      </c>
      <c r="K218" t="s">
        <v>1527</v>
      </c>
      <c r="O218">
        <f t="shared" si="4"/>
        <v>5</v>
      </c>
      <c r="P218" t="str">
        <f>+VLOOKUP(O218,X:Y,2,0)</f>
        <v>Mayo</v>
      </c>
    </row>
    <row r="219" spans="3:16" x14ac:dyDescent="0.35">
      <c r="C219" t="s">
        <v>14</v>
      </c>
      <c r="D219">
        <v>53051501</v>
      </c>
      <c r="E219" t="s">
        <v>1308</v>
      </c>
      <c r="F219" s="29">
        <v>3650</v>
      </c>
      <c r="G219" t="s">
        <v>995</v>
      </c>
      <c r="H219" s="2">
        <v>45805</v>
      </c>
      <c r="I219" t="s">
        <v>1035</v>
      </c>
      <c r="J219" t="s">
        <v>1035</v>
      </c>
      <c r="K219" t="s">
        <v>25</v>
      </c>
      <c r="O219">
        <f t="shared" si="4"/>
        <v>5</v>
      </c>
      <c r="P219" t="str">
        <f>+VLOOKUP(O219,X:Y,2,0)</f>
        <v>Mayo</v>
      </c>
    </row>
    <row r="220" spans="3:16" x14ac:dyDescent="0.35">
      <c r="C220" t="s">
        <v>14</v>
      </c>
      <c r="D220">
        <v>53051501</v>
      </c>
      <c r="E220" t="s">
        <v>1308</v>
      </c>
      <c r="F220" s="29">
        <v>67603541.569999993</v>
      </c>
      <c r="G220" t="s">
        <v>996</v>
      </c>
      <c r="H220" s="2">
        <v>45805</v>
      </c>
      <c r="I220" t="s">
        <v>1034</v>
      </c>
      <c r="J220" t="s">
        <v>1034</v>
      </c>
      <c r="K220" t="s">
        <v>40</v>
      </c>
      <c r="O220">
        <f t="shared" si="4"/>
        <v>5</v>
      </c>
      <c r="P220" t="str">
        <f>+VLOOKUP(O220,X:Y,2,0)</f>
        <v>Mayo</v>
      </c>
    </row>
    <row r="221" spans="3:16" x14ac:dyDescent="0.35">
      <c r="C221" t="s">
        <v>14</v>
      </c>
      <c r="D221">
        <v>53051501</v>
      </c>
      <c r="E221" t="s">
        <v>1308</v>
      </c>
      <c r="F221" s="29">
        <v>3558750</v>
      </c>
      <c r="G221" t="s">
        <v>997</v>
      </c>
      <c r="H221" s="2">
        <v>45805</v>
      </c>
      <c r="I221" t="s">
        <v>1034</v>
      </c>
      <c r="J221" t="s">
        <v>1034</v>
      </c>
      <c r="K221" t="s">
        <v>44</v>
      </c>
      <c r="O221">
        <f t="shared" si="4"/>
        <v>5</v>
      </c>
      <c r="P221" t="str">
        <f>+VLOOKUP(O221,X:Y,2,0)</f>
        <v>Mayo</v>
      </c>
    </row>
    <row r="222" spans="3:16" x14ac:dyDescent="0.35">
      <c r="C222" t="s">
        <v>14</v>
      </c>
      <c r="D222">
        <v>53051501</v>
      </c>
      <c r="E222" t="s">
        <v>1308</v>
      </c>
      <c r="F222" s="29">
        <v>269103.01</v>
      </c>
      <c r="G222" t="s">
        <v>998</v>
      </c>
      <c r="H222" s="2">
        <v>45805</v>
      </c>
      <c r="I222" t="s">
        <v>1034</v>
      </c>
      <c r="J222" t="s">
        <v>1034</v>
      </c>
      <c r="K222" t="s">
        <v>46</v>
      </c>
      <c r="O222">
        <f t="shared" si="4"/>
        <v>5</v>
      </c>
      <c r="P222" t="str">
        <f>+VLOOKUP(O222,X:Y,2,0)</f>
        <v>Mayo</v>
      </c>
    </row>
    <row r="223" spans="3:16" x14ac:dyDescent="0.35">
      <c r="C223" t="s">
        <v>14</v>
      </c>
      <c r="D223">
        <v>53051501</v>
      </c>
      <c r="E223" t="s">
        <v>1308</v>
      </c>
      <c r="F223" s="29">
        <v>-13140</v>
      </c>
      <c r="G223" t="s">
        <v>999</v>
      </c>
      <c r="H223" s="2">
        <v>45805</v>
      </c>
      <c r="I223" t="s">
        <v>1036</v>
      </c>
      <c r="J223" t="s">
        <v>1036</v>
      </c>
      <c r="K223" t="s">
        <v>1527</v>
      </c>
      <c r="O223">
        <f t="shared" si="4"/>
        <v>5</v>
      </c>
      <c r="P223" t="str">
        <f>+VLOOKUP(O223,X:Y,2,0)</f>
        <v>Mayo</v>
      </c>
    </row>
    <row r="224" spans="3:16" x14ac:dyDescent="0.35">
      <c r="C224" t="s">
        <v>14</v>
      </c>
      <c r="D224">
        <v>53051501</v>
      </c>
      <c r="E224" t="s">
        <v>1308</v>
      </c>
      <c r="F224" s="29">
        <v>-3558750</v>
      </c>
      <c r="G224" t="s">
        <v>999</v>
      </c>
      <c r="H224" s="2">
        <v>45805</v>
      </c>
      <c r="I224" t="s">
        <v>1036</v>
      </c>
      <c r="J224" t="s">
        <v>1036</v>
      </c>
      <c r="K224" t="s">
        <v>44</v>
      </c>
      <c r="O224">
        <f t="shared" si="4"/>
        <v>5</v>
      </c>
      <c r="P224" t="str">
        <f>+VLOOKUP(O224,X:Y,2,0)</f>
        <v>Mayo</v>
      </c>
    </row>
    <row r="225" spans="3:16" x14ac:dyDescent="0.35">
      <c r="C225" t="s">
        <v>14</v>
      </c>
      <c r="D225">
        <v>53051501</v>
      </c>
      <c r="E225" t="s">
        <v>1308</v>
      </c>
      <c r="F225" s="29">
        <v>-1413149</v>
      </c>
      <c r="G225" t="s">
        <v>999</v>
      </c>
      <c r="H225" s="2">
        <v>45805</v>
      </c>
      <c r="I225" t="s">
        <v>1036</v>
      </c>
      <c r="J225" t="s">
        <v>1036</v>
      </c>
      <c r="K225" t="s">
        <v>19</v>
      </c>
      <c r="O225">
        <f t="shared" si="4"/>
        <v>5</v>
      </c>
      <c r="P225" t="str">
        <f>+VLOOKUP(O225,X:Y,2,0)</f>
        <v>Mayo</v>
      </c>
    </row>
    <row r="226" spans="3:16" x14ac:dyDescent="0.35">
      <c r="C226" t="s">
        <v>14</v>
      </c>
      <c r="D226">
        <v>53051501</v>
      </c>
      <c r="E226" t="s">
        <v>1308</v>
      </c>
      <c r="F226" s="29">
        <v>-67603541.569999993</v>
      </c>
      <c r="G226" t="s">
        <v>999</v>
      </c>
      <c r="H226" s="2">
        <v>45805</v>
      </c>
      <c r="I226" t="s">
        <v>1036</v>
      </c>
      <c r="J226" t="s">
        <v>1036</v>
      </c>
      <c r="K226" t="s">
        <v>40</v>
      </c>
      <c r="O226">
        <f t="shared" si="4"/>
        <v>5</v>
      </c>
      <c r="P226" t="str">
        <f>+VLOOKUP(O226,X:Y,2,0)</f>
        <v>Mayo</v>
      </c>
    </row>
    <row r="227" spans="3:16" x14ac:dyDescent="0.35">
      <c r="C227" t="s">
        <v>14</v>
      </c>
      <c r="D227">
        <v>53051501</v>
      </c>
      <c r="E227" t="s">
        <v>1308</v>
      </c>
      <c r="F227" s="29">
        <v>-3650</v>
      </c>
      <c r="G227" t="s">
        <v>999</v>
      </c>
      <c r="H227" s="2">
        <v>45805</v>
      </c>
      <c r="I227" t="s">
        <v>1036</v>
      </c>
      <c r="J227" t="s">
        <v>1036</v>
      </c>
      <c r="K227" t="s">
        <v>25</v>
      </c>
      <c r="O227">
        <f t="shared" si="4"/>
        <v>5</v>
      </c>
      <c r="P227" t="str">
        <f>+VLOOKUP(O227,X:Y,2,0)</f>
        <v>Mayo</v>
      </c>
    </row>
    <row r="228" spans="3:16" x14ac:dyDescent="0.35">
      <c r="C228" t="s">
        <v>14</v>
      </c>
      <c r="D228">
        <v>53051501</v>
      </c>
      <c r="E228" t="s">
        <v>1308</v>
      </c>
      <c r="F228" s="29">
        <v>-10939491.65</v>
      </c>
      <c r="G228" t="s">
        <v>999</v>
      </c>
      <c r="H228" s="2">
        <v>45805</v>
      </c>
      <c r="I228" t="s">
        <v>1036</v>
      </c>
      <c r="J228" t="s">
        <v>1036</v>
      </c>
      <c r="K228" t="s">
        <v>1512</v>
      </c>
      <c r="O228">
        <f t="shared" si="4"/>
        <v>5</v>
      </c>
      <c r="P228" t="str">
        <f>+VLOOKUP(O228,X:Y,2,0)</f>
        <v>Mayo</v>
      </c>
    </row>
    <row r="229" spans="3:16" x14ac:dyDescent="0.35">
      <c r="C229" t="s">
        <v>14</v>
      </c>
      <c r="D229">
        <v>53051501</v>
      </c>
      <c r="E229" t="s">
        <v>1308</v>
      </c>
      <c r="F229" s="29">
        <v>-3954889.76</v>
      </c>
      <c r="G229" t="s">
        <v>999</v>
      </c>
      <c r="H229" s="2">
        <v>45805</v>
      </c>
      <c r="I229" t="s">
        <v>1036</v>
      </c>
      <c r="J229" t="s">
        <v>1036</v>
      </c>
      <c r="K229" t="s">
        <v>29</v>
      </c>
      <c r="O229">
        <f t="shared" si="4"/>
        <v>5</v>
      </c>
      <c r="P229" t="str">
        <f>+VLOOKUP(O229,X:Y,2,0)</f>
        <v>Mayo</v>
      </c>
    </row>
    <row r="230" spans="3:16" x14ac:dyDescent="0.35">
      <c r="C230" t="s">
        <v>14</v>
      </c>
      <c r="D230">
        <v>53051501</v>
      </c>
      <c r="E230" t="s">
        <v>1308</v>
      </c>
      <c r="F230" s="29">
        <v>-269103.01</v>
      </c>
      <c r="G230" t="s">
        <v>999</v>
      </c>
      <c r="H230" s="2">
        <v>45805</v>
      </c>
      <c r="I230" t="s">
        <v>1036</v>
      </c>
      <c r="J230" t="s">
        <v>1036</v>
      </c>
      <c r="K230" t="s">
        <v>46</v>
      </c>
      <c r="O230">
        <f t="shared" si="4"/>
        <v>5</v>
      </c>
      <c r="P230" t="str">
        <f>+VLOOKUP(O230,X:Y,2,0)</f>
        <v>Mayo</v>
      </c>
    </row>
    <row r="231" spans="3:16" x14ac:dyDescent="0.35">
      <c r="C231" t="s">
        <v>14</v>
      </c>
      <c r="D231">
        <v>53051501</v>
      </c>
      <c r="E231" s="34" t="s">
        <v>1427</v>
      </c>
      <c r="F231" s="29">
        <v>-83641</v>
      </c>
      <c r="G231" t="s">
        <v>1000</v>
      </c>
      <c r="H231" s="2">
        <v>45807</v>
      </c>
      <c r="I231" t="s">
        <v>1037</v>
      </c>
      <c r="J231" t="s">
        <v>1037</v>
      </c>
      <c r="K231" t="s">
        <v>203</v>
      </c>
      <c r="O231">
        <f t="shared" si="4"/>
        <v>5</v>
      </c>
      <c r="P231" t="str">
        <f>+VLOOKUP(O231,X:Y,2,0)</f>
        <v>Mayo</v>
      </c>
    </row>
    <row r="232" spans="3:16" x14ac:dyDescent="0.35">
      <c r="C232" t="s">
        <v>14</v>
      </c>
      <c r="D232">
        <v>53051502</v>
      </c>
      <c r="E232" t="s">
        <v>1309</v>
      </c>
      <c r="F232" s="29">
        <v>857500</v>
      </c>
      <c r="G232" t="s">
        <v>1001</v>
      </c>
      <c r="H232" s="2">
        <v>45807</v>
      </c>
      <c r="I232" t="s">
        <v>1038</v>
      </c>
      <c r="J232" t="s">
        <v>1038</v>
      </c>
      <c r="K232" t="s">
        <v>172</v>
      </c>
      <c r="O232">
        <f t="shared" si="4"/>
        <v>5</v>
      </c>
      <c r="P232" t="str">
        <f>+VLOOKUP(O232,X:Y,2,0)</f>
        <v>Mayo</v>
      </c>
    </row>
    <row r="233" spans="3:16" x14ac:dyDescent="0.35">
      <c r="C233" t="s">
        <v>14</v>
      </c>
      <c r="D233">
        <v>53051502</v>
      </c>
      <c r="E233" t="s">
        <v>1309</v>
      </c>
      <c r="F233" s="29">
        <v>1754226.75</v>
      </c>
      <c r="G233" t="s">
        <v>1002</v>
      </c>
      <c r="H233" s="2">
        <v>45807</v>
      </c>
      <c r="I233" t="s">
        <v>1039</v>
      </c>
      <c r="J233" t="s">
        <v>1039</v>
      </c>
      <c r="K233" t="s">
        <v>172</v>
      </c>
      <c r="O233">
        <f t="shared" si="4"/>
        <v>5</v>
      </c>
      <c r="P233" t="str">
        <f>+VLOOKUP(O233,X:Y,2,0)</f>
        <v>Mayo</v>
      </c>
    </row>
    <row r="234" spans="3:16" x14ac:dyDescent="0.35">
      <c r="C234" t="s">
        <v>14</v>
      </c>
      <c r="D234">
        <v>53051501</v>
      </c>
      <c r="E234" s="34" t="s">
        <v>1427</v>
      </c>
      <c r="F234" s="29">
        <v>12233000</v>
      </c>
      <c r="G234" t="s">
        <v>1003</v>
      </c>
      <c r="H234" s="2">
        <v>45807</v>
      </c>
      <c r="I234" t="s">
        <v>1040</v>
      </c>
      <c r="J234" t="s">
        <v>1040</v>
      </c>
      <c r="K234" t="s">
        <v>203</v>
      </c>
      <c r="O234">
        <f t="shared" si="4"/>
        <v>5</v>
      </c>
      <c r="P234" t="str">
        <f>+VLOOKUP(O234,X:Y,2,0)</f>
        <v>Mayo</v>
      </c>
    </row>
    <row r="235" spans="3:16" x14ac:dyDescent="0.35">
      <c r="C235" t="s">
        <v>14</v>
      </c>
      <c r="D235">
        <v>53051501</v>
      </c>
      <c r="E235" s="34" t="s">
        <v>1427</v>
      </c>
      <c r="F235" s="29">
        <v>5563434</v>
      </c>
      <c r="G235" t="s">
        <v>1004</v>
      </c>
      <c r="H235" s="2">
        <v>45807</v>
      </c>
      <c r="I235" t="s">
        <v>1041</v>
      </c>
      <c r="J235" t="s">
        <v>1041</v>
      </c>
      <c r="K235" t="s">
        <v>203</v>
      </c>
      <c r="O235">
        <f t="shared" si="4"/>
        <v>5</v>
      </c>
      <c r="P235" t="str">
        <f>+VLOOKUP(O235,X:Y,2,0)</f>
        <v>Mayo</v>
      </c>
    </row>
    <row r="236" spans="3:16" x14ac:dyDescent="0.35">
      <c r="C236" t="s">
        <v>14</v>
      </c>
      <c r="D236">
        <v>53051501</v>
      </c>
      <c r="E236" s="34" t="s">
        <v>1427</v>
      </c>
      <c r="F236" s="29">
        <v>32387</v>
      </c>
      <c r="G236" t="s">
        <v>1005</v>
      </c>
      <c r="H236" s="2">
        <v>45807</v>
      </c>
      <c r="I236" t="s">
        <v>1042</v>
      </c>
      <c r="J236" t="s">
        <v>1042</v>
      </c>
      <c r="K236" t="s">
        <v>203</v>
      </c>
      <c r="O236">
        <f t="shared" si="4"/>
        <v>5</v>
      </c>
      <c r="P236" t="str">
        <f>+VLOOKUP(O236,X:Y,2,0)</f>
        <v>Mayo</v>
      </c>
    </row>
    <row r="237" spans="3:16" x14ac:dyDescent="0.35">
      <c r="C237" t="s">
        <v>14</v>
      </c>
      <c r="D237">
        <v>53051501</v>
      </c>
      <c r="E237" t="s">
        <v>1308</v>
      </c>
      <c r="F237" s="29">
        <v>3558750</v>
      </c>
      <c r="G237" t="s">
        <v>1006</v>
      </c>
      <c r="H237" s="33">
        <v>45762</v>
      </c>
      <c r="I237" t="s">
        <v>1043</v>
      </c>
      <c r="J237" t="s">
        <v>1043</v>
      </c>
      <c r="K237" t="s">
        <v>42</v>
      </c>
      <c r="O237">
        <f t="shared" si="4"/>
        <v>4</v>
      </c>
      <c r="P237" t="str">
        <f>+VLOOKUP(O237,X:Y,2,0)</f>
        <v>Abril</v>
      </c>
    </row>
    <row r="238" spans="3:16" x14ac:dyDescent="0.35">
      <c r="C238" t="s">
        <v>14</v>
      </c>
      <c r="D238">
        <v>53051501</v>
      </c>
      <c r="E238" t="s">
        <v>1308</v>
      </c>
      <c r="F238" s="29">
        <v>3558750</v>
      </c>
      <c r="G238" t="s">
        <v>1007</v>
      </c>
      <c r="H238" s="2">
        <v>45808</v>
      </c>
      <c r="I238" t="s">
        <v>1044</v>
      </c>
      <c r="J238" t="s">
        <v>1044</v>
      </c>
      <c r="K238" t="s">
        <v>42</v>
      </c>
      <c r="O238">
        <f t="shared" si="4"/>
        <v>5</v>
      </c>
      <c r="P238" t="str">
        <f>+VLOOKUP(O238,X:Y,2,0)</f>
        <v>Mayo</v>
      </c>
    </row>
    <row r="239" spans="3:16" x14ac:dyDescent="0.35">
      <c r="C239" t="s">
        <v>14</v>
      </c>
      <c r="D239">
        <v>53051501</v>
      </c>
      <c r="E239" t="s">
        <v>1308</v>
      </c>
      <c r="F239" s="29">
        <v>245438.28</v>
      </c>
      <c r="G239" t="s">
        <v>1008</v>
      </c>
      <c r="H239" s="2">
        <v>45808</v>
      </c>
      <c r="I239" t="s">
        <v>1045</v>
      </c>
      <c r="J239" t="s">
        <v>1045</v>
      </c>
      <c r="K239" t="s">
        <v>46</v>
      </c>
      <c r="O239">
        <f t="shared" si="4"/>
        <v>5</v>
      </c>
      <c r="P239" t="str">
        <f>+VLOOKUP(O239,X:Y,2,0)</f>
        <v>Mayo</v>
      </c>
    </row>
    <row r="240" spans="3:16" x14ac:dyDescent="0.35">
      <c r="C240" t="s">
        <v>14</v>
      </c>
      <c r="D240">
        <v>53051501</v>
      </c>
      <c r="E240" t="s">
        <v>1308</v>
      </c>
      <c r="F240" s="29">
        <v>1348334</v>
      </c>
      <c r="G240" t="s">
        <v>1009</v>
      </c>
      <c r="H240" s="2">
        <v>45808</v>
      </c>
      <c r="I240" t="s">
        <v>1046</v>
      </c>
      <c r="J240" t="s">
        <v>1046</v>
      </c>
      <c r="K240" t="s">
        <v>167</v>
      </c>
      <c r="O240">
        <f t="shared" si="4"/>
        <v>5</v>
      </c>
      <c r="P240" t="str">
        <f>+VLOOKUP(O240,X:Y,2,0)</f>
        <v>Mayo</v>
      </c>
    </row>
    <row r="241" spans="3:16" x14ac:dyDescent="0.35">
      <c r="C241" t="s">
        <v>14</v>
      </c>
      <c r="D241">
        <v>53051501</v>
      </c>
      <c r="E241" t="s">
        <v>1308</v>
      </c>
      <c r="F241" s="29">
        <v>962213.76</v>
      </c>
      <c r="G241" t="s">
        <v>1010</v>
      </c>
      <c r="H241" s="2">
        <v>45808</v>
      </c>
      <c r="I241" t="s">
        <v>1047</v>
      </c>
      <c r="J241" t="s">
        <v>1047</v>
      </c>
      <c r="K241" t="s">
        <v>29</v>
      </c>
      <c r="O241">
        <f t="shared" si="4"/>
        <v>5</v>
      </c>
      <c r="P241" t="str">
        <f>+VLOOKUP(O241,X:Y,2,0)</f>
        <v>Mayo</v>
      </c>
    </row>
    <row r="242" spans="3:16" x14ac:dyDescent="0.35">
      <c r="C242" t="s">
        <v>14</v>
      </c>
      <c r="D242">
        <v>53051501</v>
      </c>
      <c r="E242" t="s">
        <v>1308</v>
      </c>
      <c r="F242" s="29">
        <v>2617723.42</v>
      </c>
      <c r="G242" t="s">
        <v>1011</v>
      </c>
      <c r="H242" s="2">
        <v>45808</v>
      </c>
      <c r="I242" t="s">
        <v>1048</v>
      </c>
      <c r="J242" t="s">
        <v>1048</v>
      </c>
      <c r="K242" t="s">
        <v>29</v>
      </c>
      <c r="O242">
        <f t="shared" si="4"/>
        <v>5</v>
      </c>
      <c r="P242" t="str">
        <f>+VLOOKUP(O242,X:Y,2,0)</f>
        <v>Mayo</v>
      </c>
    </row>
    <row r="243" spans="3:16" x14ac:dyDescent="0.35">
      <c r="C243" t="s">
        <v>14</v>
      </c>
      <c r="D243">
        <v>53051501</v>
      </c>
      <c r="E243" t="s">
        <v>1308</v>
      </c>
      <c r="F243" s="29">
        <v>80124</v>
      </c>
      <c r="G243" t="s">
        <v>1012</v>
      </c>
      <c r="H243" s="2">
        <v>45808</v>
      </c>
      <c r="I243" t="s">
        <v>1049</v>
      </c>
      <c r="J243" t="s">
        <v>1049</v>
      </c>
      <c r="K243" t="s">
        <v>19</v>
      </c>
      <c r="O243">
        <f t="shared" si="4"/>
        <v>5</v>
      </c>
      <c r="P243" t="str">
        <f>+VLOOKUP(O243,X:Y,2,0)</f>
        <v>Mayo</v>
      </c>
    </row>
    <row r="244" spans="3:16" x14ac:dyDescent="0.35">
      <c r="C244" t="s">
        <v>14</v>
      </c>
      <c r="D244">
        <v>53051501</v>
      </c>
      <c r="E244" t="s">
        <v>1308</v>
      </c>
      <c r="F244" s="29">
        <v>1621301</v>
      </c>
      <c r="G244" t="s">
        <v>1013</v>
      </c>
      <c r="H244" s="2">
        <v>45808</v>
      </c>
      <c r="I244" t="s">
        <v>1050</v>
      </c>
      <c r="J244" t="s">
        <v>1050</v>
      </c>
      <c r="K244" t="s">
        <v>19</v>
      </c>
      <c r="O244">
        <f t="shared" si="4"/>
        <v>5</v>
      </c>
      <c r="P244" t="str">
        <f>+VLOOKUP(O244,X:Y,2,0)</f>
        <v>Mayo</v>
      </c>
    </row>
    <row r="245" spans="3:16" x14ac:dyDescent="0.35">
      <c r="C245" t="s">
        <v>14</v>
      </c>
      <c r="D245">
        <v>53051501</v>
      </c>
      <c r="E245" t="s">
        <v>1308</v>
      </c>
      <c r="F245" s="29">
        <v>719992.8</v>
      </c>
      <c r="G245" t="s">
        <v>1014</v>
      </c>
      <c r="H245" s="2">
        <v>45808</v>
      </c>
      <c r="I245" t="s">
        <v>1051</v>
      </c>
      <c r="J245" t="s">
        <v>1051</v>
      </c>
      <c r="K245" t="s">
        <v>167</v>
      </c>
      <c r="O245">
        <f t="shared" si="4"/>
        <v>5</v>
      </c>
      <c r="P245" t="str">
        <f>+VLOOKUP(O245,X:Y,2,0)</f>
        <v>Mayo</v>
      </c>
    </row>
    <row r="246" spans="3:16" x14ac:dyDescent="0.35">
      <c r="C246" t="s">
        <v>14</v>
      </c>
      <c r="D246">
        <v>53051501</v>
      </c>
      <c r="E246" t="s">
        <v>1308</v>
      </c>
      <c r="F246" s="29">
        <v>24284</v>
      </c>
      <c r="G246" t="s">
        <v>1015</v>
      </c>
      <c r="H246" s="2">
        <v>45808</v>
      </c>
      <c r="I246" t="s">
        <v>1052</v>
      </c>
      <c r="J246" t="s">
        <v>1052</v>
      </c>
      <c r="K246" t="s">
        <v>29</v>
      </c>
      <c r="O246">
        <f t="shared" si="4"/>
        <v>5</v>
      </c>
      <c r="P246" t="str">
        <f>+VLOOKUP(O246,X:Y,2,0)</f>
        <v>Mayo</v>
      </c>
    </row>
    <row r="247" spans="3:16" x14ac:dyDescent="0.35">
      <c r="C247" t="s">
        <v>14</v>
      </c>
      <c r="D247">
        <v>53051501</v>
      </c>
      <c r="E247" t="s">
        <v>1308</v>
      </c>
      <c r="F247" s="29">
        <v>7221723</v>
      </c>
      <c r="G247" t="s">
        <v>1016</v>
      </c>
      <c r="H247" s="2">
        <v>45808</v>
      </c>
      <c r="I247" t="s">
        <v>1053</v>
      </c>
      <c r="J247" t="s">
        <v>1053</v>
      </c>
      <c r="K247" t="s">
        <v>1512</v>
      </c>
      <c r="O247">
        <f t="shared" si="4"/>
        <v>5</v>
      </c>
      <c r="P247" t="str">
        <f>+VLOOKUP(O247,X:Y,2,0)</f>
        <v>Mayo</v>
      </c>
    </row>
    <row r="248" spans="3:16" s="21" customFormat="1" x14ac:dyDescent="0.35">
      <c r="C248" s="21" t="s">
        <v>14</v>
      </c>
      <c r="D248" s="21">
        <v>53051501</v>
      </c>
      <c r="E248" s="21" t="s">
        <v>1308</v>
      </c>
      <c r="F248" s="29">
        <v>14116</v>
      </c>
      <c r="G248" s="21" t="s">
        <v>1115</v>
      </c>
      <c r="H248" s="23">
        <v>45812</v>
      </c>
      <c r="I248" s="21" t="s">
        <v>155</v>
      </c>
      <c r="J248" s="21" t="s">
        <v>155</v>
      </c>
      <c r="K248" s="21" t="s">
        <v>29</v>
      </c>
      <c r="O248" s="21">
        <f t="shared" si="4"/>
        <v>6</v>
      </c>
      <c r="P248" s="21" t="str">
        <f>+VLOOKUP(O248,X:Y,2,0)</f>
        <v>Junio</v>
      </c>
    </row>
    <row r="249" spans="3:16" x14ac:dyDescent="0.35">
      <c r="C249" t="s">
        <v>14</v>
      </c>
      <c r="D249">
        <v>53051502</v>
      </c>
      <c r="E249" t="s">
        <v>1309</v>
      </c>
      <c r="F249" s="29">
        <v>3036689.66</v>
      </c>
      <c r="G249" t="s">
        <v>1137</v>
      </c>
      <c r="H249" s="2">
        <v>45813</v>
      </c>
      <c r="I249" t="s">
        <v>1138</v>
      </c>
      <c r="J249" t="s">
        <v>1138</v>
      </c>
      <c r="K249" t="s">
        <v>172</v>
      </c>
      <c r="O249">
        <f t="shared" si="4"/>
        <v>6</v>
      </c>
      <c r="P249" t="str">
        <f>+VLOOKUP(O249,X:Y,2,0)</f>
        <v>Junio</v>
      </c>
    </row>
    <row r="250" spans="3:16" x14ac:dyDescent="0.35">
      <c r="C250" t="s">
        <v>14</v>
      </c>
      <c r="D250">
        <v>53051502</v>
      </c>
      <c r="E250" t="s">
        <v>1309</v>
      </c>
      <c r="F250" s="29">
        <v>13264360.640000001</v>
      </c>
      <c r="G250" t="s">
        <v>1139</v>
      </c>
      <c r="H250" s="2">
        <v>45813</v>
      </c>
      <c r="I250" t="s">
        <v>1140</v>
      </c>
      <c r="J250" t="s">
        <v>1140</v>
      </c>
      <c r="K250" t="s">
        <v>172</v>
      </c>
      <c r="O250">
        <f t="shared" si="4"/>
        <v>6</v>
      </c>
      <c r="P250" t="str">
        <f>+VLOOKUP(O250,X:Y,2,0)</f>
        <v>Junio</v>
      </c>
    </row>
    <row r="251" spans="3:16" x14ac:dyDescent="0.35">
      <c r="C251" t="s">
        <v>14</v>
      </c>
      <c r="D251">
        <v>53051501</v>
      </c>
      <c r="E251" t="s">
        <v>1308</v>
      </c>
      <c r="F251" s="29">
        <v>3529</v>
      </c>
      <c r="G251" t="s">
        <v>1116</v>
      </c>
      <c r="H251" s="2">
        <v>45813</v>
      </c>
      <c r="I251" t="s">
        <v>1117</v>
      </c>
      <c r="J251" t="s">
        <v>1117</v>
      </c>
      <c r="K251" t="s">
        <v>29</v>
      </c>
      <c r="O251">
        <f t="shared" si="4"/>
        <v>6</v>
      </c>
      <c r="P251" t="str">
        <f>+VLOOKUP(O251,X:Y,2,0)</f>
        <v>Junio</v>
      </c>
    </row>
    <row r="252" spans="3:16" x14ac:dyDescent="0.35">
      <c r="C252" t="s">
        <v>14</v>
      </c>
      <c r="D252">
        <v>53051501</v>
      </c>
      <c r="E252" t="s">
        <v>1308</v>
      </c>
      <c r="F252" s="29">
        <v>11004</v>
      </c>
      <c r="G252" t="s">
        <v>1135</v>
      </c>
      <c r="H252" s="2">
        <v>45814</v>
      </c>
      <c r="I252" t="s">
        <v>1136</v>
      </c>
      <c r="J252" t="s">
        <v>1136</v>
      </c>
      <c r="K252" t="s">
        <v>1527</v>
      </c>
      <c r="O252">
        <f t="shared" si="4"/>
        <v>6</v>
      </c>
      <c r="P252" t="str">
        <f>+VLOOKUP(O252,X:Y,2,0)</f>
        <v>Junio</v>
      </c>
    </row>
    <row r="253" spans="3:16" x14ac:dyDescent="0.35">
      <c r="C253" t="s">
        <v>14</v>
      </c>
      <c r="D253">
        <v>53051501</v>
      </c>
      <c r="E253" t="s">
        <v>1308</v>
      </c>
      <c r="F253" s="29">
        <v>3529</v>
      </c>
      <c r="G253" t="s">
        <v>1118</v>
      </c>
      <c r="H253" s="2">
        <v>45818</v>
      </c>
      <c r="I253" t="s">
        <v>216</v>
      </c>
      <c r="J253" t="s">
        <v>216</v>
      </c>
      <c r="K253" t="s">
        <v>29</v>
      </c>
      <c r="O253">
        <f t="shared" si="4"/>
        <v>6</v>
      </c>
      <c r="P253" t="str">
        <f>+VLOOKUP(O253,X:Y,2,0)</f>
        <v>Junio</v>
      </c>
    </row>
    <row r="254" spans="3:16" x14ac:dyDescent="0.35">
      <c r="C254" t="s">
        <v>14</v>
      </c>
      <c r="D254">
        <v>53051502</v>
      </c>
      <c r="E254" t="s">
        <v>1309</v>
      </c>
      <c r="F254" s="29">
        <v>3947317.23</v>
      </c>
      <c r="G254" t="s">
        <v>1141</v>
      </c>
      <c r="H254" s="2">
        <v>45819</v>
      </c>
      <c r="I254" t="s">
        <v>1142</v>
      </c>
      <c r="J254" t="s">
        <v>1142</v>
      </c>
      <c r="K254" t="s">
        <v>172</v>
      </c>
      <c r="O254">
        <f t="shared" si="4"/>
        <v>6</v>
      </c>
      <c r="P254" t="str">
        <f>+VLOOKUP(O254,X:Y,2,0)</f>
        <v>Junio</v>
      </c>
    </row>
    <row r="255" spans="3:16" x14ac:dyDescent="0.35">
      <c r="C255" t="s">
        <v>14</v>
      </c>
      <c r="D255">
        <v>53051502</v>
      </c>
      <c r="E255" t="s">
        <v>1309</v>
      </c>
      <c r="F255" s="29">
        <v>5644630.7800000003</v>
      </c>
      <c r="G255" t="s">
        <v>1143</v>
      </c>
      <c r="H255" s="2">
        <v>45819</v>
      </c>
      <c r="I255" t="s">
        <v>1144</v>
      </c>
      <c r="J255" t="s">
        <v>1144</v>
      </c>
      <c r="K255" t="s">
        <v>40</v>
      </c>
      <c r="O255">
        <f t="shared" si="4"/>
        <v>6</v>
      </c>
      <c r="P255" t="str">
        <f>+VLOOKUP(O255,X:Y,2,0)</f>
        <v>Junio</v>
      </c>
    </row>
    <row r="256" spans="3:16" x14ac:dyDescent="0.35">
      <c r="C256" t="s">
        <v>14</v>
      </c>
      <c r="D256">
        <v>53051501</v>
      </c>
      <c r="E256" t="s">
        <v>1308</v>
      </c>
      <c r="F256" s="29">
        <v>3529</v>
      </c>
      <c r="G256" t="s">
        <v>1119</v>
      </c>
      <c r="H256" s="2">
        <v>45820</v>
      </c>
      <c r="I256" t="s">
        <v>1120</v>
      </c>
      <c r="J256" t="s">
        <v>1120</v>
      </c>
      <c r="K256" t="s">
        <v>29</v>
      </c>
      <c r="O256">
        <f t="shared" si="4"/>
        <v>6</v>
      </c>
      <c r="P256" t="str">
        <f>+VLOOKUP(O256,X:Y,2,0)</f>
        <v>Junio</v>
      </c>
    </row>
    <row r="257" spans="3:16" x14ac:dyDescent="0.35">
      <c r="C257" t="s">
        <v>14</v>
      </c>
      <c r="D257">
        <v>53051501</v>
      </c>
      <c r="E257" t="s">
        <v>1308</v>
      </c>
      <c r="F257" s="29">
        <v>3529</v>
      </c>
      <c r="G257" t="s">
        <v>1121</v>
      </c>
      <c r="H257" s="2">
        <v>45824</v>
      </c>
      <c r="I257" t="s">
        <v>208</v>
      </c>
      <c r="J257" t="s">
        <v>208</v>
      </c>
      <c r="K257" t="s">
        <v>29</v>
      </c>
      <c r="O257">
        <f t="shared" si="4"/>
        <v>6</v>
      </c>
      <c r="P257" t="str">
        <f>+VLOOKUP(O257,X:Y,2,0)</f>
        <v>Junio</v>
      </c>
    </row>
    <row r="258" spans="3:16" x14ac:dyDescent="0.35">
      <c r="C258" t="s">
        <v>14</v>
      </c>
      <c r="D258">
        <v>53051501</v>
      </c>
      <c r="E258" t="s">
        <v>1308</v>
      </c>
      <c r="F258" s="29">
        <v>153000</v>
      </c>
      <c r="G258" t="s">
        <v>1090</v>
      </c>
      <c r="H258" s="2">
        <v>45828</v>
      </c>
      <c r="I258" t="s">
        <v>1145</v>
      </c>
      <c r="J258" t="s">
        <v>1092</v>
      </c>
      <c r="K258" t="s">
        <v>534</v>
      </c>
      <c r="O258">
        <f t="shared" si="4"/>
        <v>6</v>
      </c>
      <c r="P258" t="str">
        <f>+VLOOKUP(O258,X:Y,2,0)</f>
        <v>Junio</v>
      </c>
    </row>
    <row r="259" spans="3:16" x14ac:dyDescent="0.35">
      <c r="C259" t="s">
        <v>14</v>
      </c>
      <c r="D259">
        <v>53051501</v>
      </c>
      <c r="E259" t="s">
        <v>1308</v>
      </c>
      <c r="F259" s="29">
        <v>3558225.52</v>
      </c>
      <c r="G259" t="s">
        <v>1090</v>
      </c>
      <c r="H259" s="2">
        <v>45828</v>
      </c>
      <c r="I259" t="s">
        <v>1146</v>
      </c>
      <c r="J259" t="s">
        <v>1092</v>
      </c>
      <c r="K259" t="s">
        <v>42</v>
      </c>
      <c r="O259">
        <f t="shared" si="4"/>
        <v>6</v>
      </c>
      <c r="P259" t="str">
        <f>+VLOOKUP(O259,X:Y,2,0)</f>
        <v>Junio</v>
      </c>
    </row>
    <row r="260" spans="3:16" x14ac:dyDescent="0.35">
      <c r="C260" t="s">
        <v>14</v>
      </c>
      <c r="D260">
        <v>53051502</v>
      </c>
      <c r="E260" t="s">
        <v>1309</v>
      </c>
      <c r="F260" s="29">
        <v>5470090.8600000003</v>
      </c>
      <c r="G260" t="s">
        <v>1149</v>
      </c>
      <c r="H260" s="2">
        <v>45828</v>
      </c>
      <c r="I260" t="s">
        <v>1150</v>
      </c>
      <c r="J260" t="s">
        <v>1150</v>
      </c>
      <c r="K260" t="s">
        <v>40</v>
      </c>
      <c r="O260">
        <f t="shared" si="4"/>
        <v>6</v>
      </c>
      <c r="P260" t="str">
        <f>+VLOOKUP(O260,X:Y,2,0)</f>
        <v>Junio</v>
      </c>
    </row>
    <row r="261" spans="3:16" x14ac:dyDescent="0.35">
      <c r="C261" t="s">
        <v>14</v>
      </c>
      <c r="D261">
        <v>53051502</v>
      </c>
      <c r="E261" t="s">
        <v>1309</v>
      </c>
      <c r="F261" s="29">
        <v>8639349</v>
      </c>
      <c r="G261" t="s">
        <v>1151</v>
      </c>
      <c r="H261" s="2">
        <v>45828</v>
      </c>
      <c r="I261" t="s">
        <v>1152</v>
      </c>
      <c r="J261" t="s">
        <v>1152</v>
      </c>
      <c r="K261" t="s">
        <v>1512</v>
      </c>
      <c r="O261">
        <f t="shared" si="4"/>
        <v>6</v>
      </c>
      <c r="P261" t="str">
        <f>+VLOOKUP(O261,X:Y,2,0)</f>
        <v>Junio</v>
      </c>
    </row>
    <row r="262" spans="3:16" x14ac:dyDescent="0.35">
      <c r="C262" t="s">
        <v>14</v>
      </c>
      <c r="D262">
        <v>53051501</v>
      </c>
      <c r="E262" t="s">
        <v>1308</v>
      </c>
      <c r="F262" s="29">
        <v>1423500</v>
      </c>
      <c r="G262" t="s">
        <v>1129</v>
      </c>
      <c r="H262" s="2">
        <v>45832</v>
      </c>
      <c r="I262" t="s">
        <v>1130</v>
      </c>
      <c r="J262" t="s">
        <v>1130</v>
      </c>
      <c r="K262" t="s">
        <v>75</v>
      </c>
      <c r="O262">
        <f t="shared" si="4"/>
        <v>6</v>
      </c>
      <c r="P262" t="str">
        <f>+VLOOKUP(O262,X:Y,2,0)</f>
        <v>Junio</v>
      </c>
    </row>
    <row r="263" spans="3:16" x14ac:dyDescent="0.35">
      <c r="C263" t="s">
        <v>14</v>
      </c>
      <c r="D263">
        <v>53051501</v>
      </c>
      <c r="E263" t="s">
        <v>1308</v>
      </c>
      <c r="F263" s="29">
        <v>3558750</v>
      </c>
      <c r="G263" t="s">
        <v>1131</v>
      </c>
      <c r="H263" s="33">
        <v>45852</v>
      </c>
      <c r="I263" t="s">
        <v>1132</v>
      </c>
      <c r="J263" t="s">
        <v>1132</v>
      </c>
      <c r="K263" t="s">
        <v>42</v>
      </c>
      <c r="O263">
        <f t="shared" si="4"/>
        <v>7</v>
      </c>
      <c r="P263" t="str">
        <f>+VLOOKUP(O263,X:Y,2,0)</f>
        <v>Julio</v>
      </c>
    </row>
    <row r="264" spans="3:16" x14ac:dyDescent="0.35">
      <c r="C264" t="s">
        <v>14</v>
      </c>
      <c r="D264">
        <v>53051501</v>
      </c>
      <c r="E264" t="s">
        <v>1308</v>
      </c>
      <c r="F264" s="29">
        <v>3558750</v>
      </c>
      <c r="G264" t="s">
        <v>1133</v>
      </c>
      <c r="H264" s="2">
        <v>45832</v>
      </c>
      <c r="I264" t="s">
        <v>1134</v>
      </c>
      <c r="J264" t="s">
        <v>1134</v>
      </c>
      <c r="K264" t="s">
        <v>44</v>
      </c>
      <c r="O264">
        <f t="shared" si="4"/>
        <v>6</v>
      </c>
      <c r="P264" t="str">
        <f>+VLOOKUP(O264,X:Y,2,0)</f>
        <v>Junio</v>
      </c>
    </row>
    <row r="265" spans="3:16" x14ac:dyDescent="0.35">
      <c r="C265" t="s">
        <v>14</v>
      </c>
      <c r="D265">
        <v>53051502</v>
      </c>
      <c r="E265" t="s">
        <v>1309</v>
      </c>
      <c r="F265" s="29">
        <v>4191294.29</v>
      </c>
      <c r="G265" t="s">
        <v>1147</v>
      </c>
      <c r="H265" s="2">
        <v>45832</v>
      </c>
      <c r="I265" t="s">
        <v>1148</v>
      </c>
      <c r="J265" t="s">
        <v>1148</v>
      </c>
      <c r="K265" t="s">
        <v>40</v>
      </c>
      <c r="O265">
        <f t="shared" si="4"/>
        <v>6</v>
      </c>
      <c r="P265" t="str">
        <f>+VLOOKUP(O265,X:Y,2,0)</f>
        <v>Junio</v>
      </c>
    </row>
    <row r="266" spans="3:16" x14ac:dyDescent="0.35">
      <c r="C266" t="s">
        <v>14</v>
      </c>
      <c r="D266">
        <v>53051501</v>
      </c>
      <c r="E266" t="s">
        <v>1308</v>
      </c>
      <c r="F266" s="29">
        <v>3529</v>
      </c>
      <c r="G266" t="s">
        <v>1122</v>
      </c>
      <c r="H266" s="2">
        <v>45832</v>
      </c>
      <c r="I266" t="s">
        <v>1123</v>
      </c>
      <c r="J266" t="s">
        <v>1123</v>
      </c>
      <c r="K266" t="s">
        <v>29</v>
      </c>
      <c r="O266">
        <f t="shared" si="4"/>
        <v>6</v>
      </c>
      <c r="P266" t="str">
        <f>+VLOOKUP(O266,X:Y,2,0)</f>
        <v>Junio</v>
      </c>
    </row>
    <row r="267" spans="3:16" x14ac:dyDescent="0.35">
      <c r="C267" t="s">
        <v>14</v>
      </c>
      <c r="D267">
        <v>53051501</v>
      </c>
      <c r="E267" t="s">
        <v>1308</v>
      </c>
      <c r="F267" s="29">
        <v>3529</v>
      </c>
      <c r="G267" t="s">
        <v>1124</v>
      </c>
      <c r="H267" s="2">
        <v>45832</v>
      </c>
      <c r="I267" t="s">
        <v>1125</v>
      </c>
      <c r="J267" t="s">
        <v>1125</v>
      </c>
      <c r="K267" t="s">
        <v>29</v>
      </c>
      <c r="O267">
        <f t="shared" si="4"/>
        <v>6</v>
      </c>
      <c r="P267" t="str">
        <f>+VLOOKUP(O267,X:Y,2,0)</f>
        <v>Junio</v>
      </c>
    </row>
    <row r="268" spans="3:16" x14ac:dyDescent="0.35">
      <c r="C268" t="s">
        <v>14</v>
      </c>
      <c r="D268">
        <v>53051502</v>
      </c>
      <c r="E268" t="s">
        <v>1309</v>
      </c>
      <c r="F268" s="29">
        <v>7825648</v>
      </c>
      <c r="G268" t="s">
        <v>1153</v>
      </c>
      <c r="H268" s="2">
        <v>45834</v>
      </c>
      <c r="I268" t="s">
        <v>1154</v>
      </c>
      <c r="J268" t="s">
        <v>1154</v>
      </c>
      <c r="K268" t="s">
        <v>40</v>
      </c>
      <c r="O268">
        <f t="shared" si="4"/>
        <v>6</v>
      </c>
      <c r="P268" t="str">
        <f>+VLOOKUP(O268,X:Y,2,0)</f>
        <v>Junio</v>
      </c>
    </row>
    <row r="269" spans="3:16" x14ac:dyDescent="0.35">
      <c r="C269" t="s">
        <v>14</v>
      </c>
      <c r="D269">
        <v>53051502</v>
      </c>
      <c r="E269" t="s">
        <v>1309</v>
      </c>
      <c r="F269" s="29">
        <v>10389977.4</v>
      </c>
      <c r="G269" t="s">
        <v>1155</v>
      </c>
      <c r="H269" s="2">
        <v>45835</v>
      </c>
      <c r="I269" t="s">
        <v>1156</v>
      </c>
      <c r="J269" t="s">
        <v>1156</v>
      </c>
      <c r="K269" t="s">
        <v>40</v>
      </c>
      <c r="O269">
        <f t="shared" ref="O269:O332" si="5">+MONTH(H269)</f>
        <v>6</v>
      </c>
      <c r="P269" t="str">
        <f>+VLOOKUP(O269,X:Y,2,0)</f>
        <v>Junio</v>
      </c>
    </row>
    <row r="270" spans="3:16" x14ac:dyDescent="0.35">
      <c r="C270" t="s">
        <v>14</v>
      </c>
      <c r="D270">
        <v>53051502</v>
      </c>
      <c r="E270" t="s">
        <v>1309</v>
      </c>
      <c r="F270" s="29">
        <v>1537079</v>
      </c>
      <c r="G270" t="s">
        <v>1157</v>
      </c>
      <c r="H270" s="2">
        <v>45835</v>
      </c>
      <c r="I270" t="s">
        <v>1158</v>
      </c>
      <c r="J270" t="s">
        <v>1158</v>
      </c>
      <c r="K270" t="s">
        <v>1512</v>
      </c>
      <c r="O270">
        <f t="shared" si="5"/>
        <v>6</v>
      </c>
      <c r="P270" t="str">
        <f>+VLOOKUP(O270,X:Y,2,0)</f>
        <v>Junio</v>
      </c>
    </row>
    <row r="271" spans="3:16" x14ac:dyDescent="0.35">
      <c r="C271" t="s">
        <v>14</v>
      </c>
      <c r="D271">
        <v>53051501</v>
      </c>
      <c r="E271" s="34" t="s">
        <v>1427</v>
      </c>
      <c r="F271" s="29">
        <v>14536875</v>
      </c>
      <c r="G271" t="s">
        <v>1169</v>
      </c>
      <c r="H271" s="2">
        <v>45835</v>
      </c>
      <c r="I271" t="s">
        <v>1170</v>
      </c>
      <c r="J271" t="s">
        <v>1171</v>
      </c>
      <c r="K271" t="s">
        <v>1172</v>
      </c>
      <c r="O271">
        <f t="shared" si="5"/>
        <v>6</v>
      </c>
      <c r="P271" t="str">
        <f>+VLOOKUP(O271,X:Y,2,0)</f>
        <v>Junio</v>
      </c>
    </row>
    <row r="272" spans="3:16" x14ac:dyDescent="0.35">
      <c r="C272" t="s">
        <v>14</v>
      </c>
      <c r="D272">
        <v>53051501</v>
      </c>
      <c r="E272" t="s">
        <v>1308</v>
      </c>
      <c r="F272" s="29">
        <v>912318.64</v>
      </c>
      <c r="G272" t="s">
        <v>1095</v>
      </c>
      <c r="H272" s="2">
        <v>45838</v>
      </c>
      <c r="I272" t="s">
        <v>1096</v>
      </c>
      <c r="J272" t="s">
        <v>1096</v>
      </c>
      <c r="K272" t="s">
        <v>29</v>
      </c>
      <c r="O272">
        <f t="shared" si="5"/>
        <v>6</v>
      </c>
      <c r="P272" t="str">
        <f>+VLOOKUP(O272,X:Y,2,0)</f>
        <v>Junio</v>
      </c>
    </row>
    <row r="273" spans="3:16" x14ac:dyDescent="0.35">
      <c r="C273" t="s">
        <v>14</v>
      </c>
      <c r="D273">
        <v>53051501</v>
      </c>
      <c r="E273" t="s">
        <v>1308</v>
      </c>
      <c r="F273" s="29">
        <v>150166.67000000001</v>
      </c>
      <c r="G273" t="s">
        <v>1097</v>
      </c>
      <c r="H273" s="2">
        <v>45838</v>
      </c>
      <c r="I273" t="s">
        <v>1098</v>
      </c>
      <c r="J273" t="s">
        <v>1098</v>
      </c>
      <c r="K273" t="s">
        <v>534</v>
      </c>
      <c r="O273">
        <f t="shared" si="5"/>
        <v>6</v>
      </c>
      <c r="P273" t="str">
        <f>+VLOOKUP(O273,X:Y,2,0)</f>
        <v>Junio</v>
      </c>
    </row>
    <row r="274" spans="3:16" x14ac:dyDescent="0.35">
      <c r="C274" t="s">
        <v>14</v>
      </c>
      <c r="D274">
        <v>53051501</v>
      </c>
      <c r="E274" t="s">
        <v>1308</v>
      </c>
      <c r="F274" s="29">
        <v>341079.03999999998</v>
      </c>
      <c r="G274" t="s">
        <v>1159</v>
      </c>
      <c r="H274" s="2">
        <v>45838</v>
      </c>
      <c r="I274" t="s">
        <v>1160</v>
      </c>
      <c r="J274" t="s">
        <v>1160</v>
      </c>
      <c r="K274" t="s">
        <v>46</v>
      </c>
      <c r="O274">
        <f t="shared" si="5"/>
        <v>6</v>
      </c>
      <c r="P274" t="str">
        <f>+VLOOKUP(O274,X:Y,2,0)</f>
        <v>Junio</v>
      </c>
    </row>
    <row r="275" spans="3:16" x14ac:dyDescent="0.35">
      <c r="C275" t="s">
        <v>14</v>
      </c>
      <c r="D275">
        <v>53051501</v>
      </c>
      <c r="E275" t="s">
        <v>1308</v>
      </c>
      <c r="F275" s="29">
        <v>712192.25</v>
      </c>
      <c r="G275" t="s">
        <v>1161</v>
      </c>
      <c r="H275" s="2">
        <v>45838</v>
      </c>
      <c r="I275" t="s">
        <v>1162</v>
      </c>
      <c r="J275" t="s">
        <v>1162</v>
      </c>
      <c r="K275" t="s">
        <v>167</v>
      </c>
      <c r="O275">
        <f t="shared" si="5"/>
        <v>6</v>
      </c>
      <c r="P275" t="str">
        <f>+VLOOKUP(O275,X:Y,2,0)</f>
        <v>Junio</v>
      </c>
    </row>
    <row r="276" spans="3:16" x14ac:dyDescent="0.35">
      <c r="C276" t="s">
        <v>14</v>
      </c>
      <c r="D276">
        <v>53051501</v>
      </c>
      <c r="E276" t="s">
        <v>1308</v>
      </c>
      <c r="F276" s="29">
        <v>1298609</v>
      </c>
      <c r="G276" t="s">
        <v>1101</v>
      </c>
      <c r="H276" s="2">
        <v>45838</v>
      </c>
      <c r="I276" t="s">
        <v>1102</v>
      </c>
      <c r="J276" t="s">
        <v>1102</v>
      </c>
      <c r="K276" t="s">
        <v>19</v>
      </c>
      <c r="O276">
        <f t="shared" si="5"/>
        <v>6</v>
      </c>
      <c r="P276" t="str">
        <f>+VLOOKUP(O276,X:Y,2,0)</f>
        <v>Junio</v>
      </c>
    </row>
    <row r="277" spans="3:16" x14ac:dyDescent="0.35">
      <c r="C277" t="s">
        <v>14</v>
      </c>
      <c r="D277">
        <v>53051501</v>
      </c>
      <c r="E277" t="s">
        <v>1308</v>
      </c>
      <c r="F277" s="29">
        <v>22756</v>
      </c>
      <c r="G277" t="s">
        <v>1103</v>
      </c>
      <c r="H277" s="2">
        <v>45838</v>
      </c>
      <c r="I277" t="s">
        <v>1104</v>
      </c>
      <c r="J277" t="s">
        <v>1104</v>
      </c>
      <c r="K277" t="s">
        <v>19</v>
      </c>
      <c r="O277">
        <f t="shared" si="5"/>
        <v>6</v>
      </c>
      <c r="P277" t="str">
        <f>+VLOOKUP(O277,X:Y,2,0)</f>
        <v>Junio</v>
      </c>
    </row>
    <row r="278" spans="3:16" x14ac:dyDescent="0.35">
      <c r="C278" t="s">
        <v>14</v>
      </c>
      <c r="D278">
        <v>53051501</v>
      </c>
      <c r="E278" t="s">
        <v>1308</v>
      </c>
      <c r="F278" s="29">
        <v>3601313.7</v>
      </c>
      <c r="G278" t="s">
        <v>1107</v>
      </c>
      <c r="H278" s="2">
        <v>45838</v>
      </c>
      <c r="I278" t="s">
        <v>1108</v>
      </c>
      <c r="J278" t="s">
        <v>1108</v>
      </c>
      <c r="K278" t="s">
        <v>29</v>
      </c>
      <c r="O278">
        <f t="shared" si="5"/>
        <v>6</v>
      </c>
      <c r="P278" t="str">
        <f>+VLOOKUP(O278,X:Y,2,0)</f>
        <v>Junio</v>
      </c>
    </row>
    <row r="279" spans="3:16" x14ac:dyDescent="0.35">
      <c r="C279" t="s">
        <v>14</v>
      </c>
      <c r="D279">
        <v>53051501</v>
      </c>
      <c r="E279" t="s">
        <v>1308</v>
      </c>
      <c r="F279" s="29">
        <v>3913055</v>
      </c>
      <c r="G279" t="s">
        <v>1111</v>
      </c>
      <c r="H279" s="2">
        <v>45838</v>
      </c>
      <c r="I279" t="s">
        <v>1112</v>
      </c>
      <c r="J279" t="s">
        <v>1112</v>
      </c>
      <c r="K279" t="s">
        <v>1512</v>
      </c>
      <c r="O279">
        <f t="shared" si="5"/>
        <v>6</v>
      </c>
      <c r="P279" t="str">
        <f>+VLOOKUP(O279,X:Y,2,0)</f>
        <v>Junio</v>
      </c>
    </row>
    <row r="280" spans="3:16" x14ac:dyDescent="0.35">
      <c r="C280" t="s">
        <v>14</v>
      </c>
      <c r="D280">
        <v>53051501</v>
      </c>
      <c r="E280" t="s">
        <v>1308</v>
      </c>
      <c r="F280" s="29">
        <v>54140</v>
      </c>
      <c r="G280" t="s">
        <v>1173</v>
      </c>
      <c r="H280" s="2">
        <v>45838</v>
      </c>
      <c r="I280" t="s">
        <v>1174</v>
      </c>
      <c r="J280" t="s">
        <v>1175</v>
      </c>
      <c r="K280" t="s">
        <v>19</v>
      </c>
      <c r="O280">
        <f t="shared" si="5"/>
        <v>6</v>
      </c>
      <c r="P280" t="str">
        <f>+VLOOKUP(O280,X:Y,2,0)</f>
        <v>Junio</v>
      </c>
    </row>
    <row r="281" spans="3:16" x14ac:dyDescent="0.35">
      <c r="C281" t="s">
        <v>14</v>
      </c>
      <c r="D281">
        <v>53051501</v>
      </c>
      <c r="E281" t="s">
        <v>1308</v>
      </c>
      <c r="F281" s="29">
        <v>54140</v>
      </c>
      <c r="G281" t="s">
        <v>1173</v>
      </c>
      <c r="H281" s="2">
        <v>45838</v>
      </c>
      <c r="I281" t="s">
        <v>1176</v>
      </c>
      <c r="J281" t="s">
        <v>1175</v>
      </c>
      <c r="K281" t="s">
        <v>19</v>
      </c>
      <c r="O281">
        <f t="shared" si="5"/>
        <v>6</v>
      </c>
      <c r="P281" t="str">
        <f>+VLOOKUP(O281,X:Y,2,0)</f>
        <v>Junio</v>
      </c>
    </row>
    <row r="282" spans="3:16" x14ac:dyDescent="0.35">
      <c r="C282" t="s">
        <v>14</v>
      </c>
      <c r="D282">
        <v>53051501</v>
      </c>
      <c r="E282" s="34" t="s">
        <v>1427</v>
      </c>
      <c r="F282" s="29">
        <v>-306924</v>
      </c>
      <c r="G282" t="s">
        <v>1163</v>
      </c>
      <c r="H282" s="2">
        <v>45838</v>
      </c>
      <c r="I282" t="s">
        <v>1164</v>
      </c>
      <c r="J282" t="s">
        <v>1164</v>
      </c>
      <c r="K282" t="s">
        <v>203</v>
      </c>
      <c r="O282">
        <f t="shared" si="5"/>
        <v>6</v>
      </c>
      <c r="P282" t="str">
        <f>+VLOOKUP(O282,X:Y,2,0)</f>
        <v>Junio</v>
      </c>
    </row>
    <row r="283" spans="3:16" x14ac:dyDescent="0.35">
      <c r="C283" t="s">
        <v>14</v>
      </c>
      <c r="D283">
        <v>53051501</v>
      </c>
      <c r="E283" s="34" t="s">
        <v>1427</v>
      </c>
      <c r="F283" s="29">
        <v>631610</v>
      </c>
      <c r="G283" t="s">
        <v>1165</v>
      </c>
      <c r="H283" s="2">
        <v>45838</v>
      </c>
      <c r="I283" t="s">
        <v>1166</v>
      </c>
      <c r="J283" t="s">
        <v>1166</v>
      </c>
      <c r="K283" t="s">
        <v>203</v>
      </c>
      <c r="O283">
        <f t="shared" si="5"/>
        <v>6</v>
      </c>
      <c r="P283" t="str">
        <f>+VLOOKUP(O283,X:Y,2,0)</f>
        <v>Junio</v>
      </c>
    </row>
    <row r="284" spans="3:16" x14ac:dyDescent="0.35">
      <c r="C284" t="s">
        <v>14</v>
      </c>
      <c r="D284">
        <v>53051501</v>
      </c>
      <c r="E284" s="34" t="s">
        <v>1427</v>
      </c>
      <c r="F284" s="29">
        <v>657086</v>
      </c>
      <c r="G284" t="s">
        <v>1167</v>
      </c>
      <c r="H284" s="2">
        <v>45838</v>
      </c>
      <c r="I284" t="s">
        <v>1168</v>
      </c>
      <c r="J284" t="s">
        <v>1168</v>
      </c>
      <c r="K284" t="s">
        <v>203</v>
      </c>
      <c r="O284">
        <f t="shared" si="5"/>
        <v>6</v>
      </c>
      <c r="P284" t="str">
        <f>+VLOOKUP(O284,X:Y,2,0)</f>
        <v>Junio</v>
      </c>
    </row>
    <row r="285" spans="3:16" x14ac:dyDescent="0.35">
      <c r="C285" t="s">
        <v>14</v>
      </c>
      <c r="D285">
        <v>53051501</v>
      </c>
      <c r="E285" t="s">
        <v>1308</v>
      </c>
      <c r="F285" s="29">
        <v>3529</v>
      </c>
      <c r="G285" t="s">
        <v>1264</v>
      </c>
      <c r="H285" s="2">
        <v>45840</v>
      </c>
      <c r="I285" t="s">
        <v>155</v>
      </c>
      <c r="J285" t="s">
        <v>155</v>
      </c>
      <c r="K285" t="s">
        <v>29</v>
      </c>
      <c r="O285">
        <f t="shared" si="5"/>
        <v>7</v>
      </c>
      <c r="P285" t="str">
        <f>+VLOOKUP(O285,X:Y,2,0)</f>
        <v>Julio</v>
      </c>
    </row>
    <row r="286" spans="3:16" x14ac:dyDescent="0.35">
      <c r="C286" t="s">
        <v>14</v>
      </c>
      <c r="D286">
        <v>53051501</v>
      </c>
      <c r="E286" t="s">
        <v>1308</v>
      </c>
      <c r="F286" s="29">
        <v>3529</v>
      </c>
      <c r="G286" t="s">
        <v>1265</v>
      </c>
      <c r="H286" s="2">
        <v>45840</v>
      </c>
      <c r="I286" t="s">
        <v>208</v>
      </c>
      <c r="J286" t="s">
        <v>208</v>
      </c>
      <c r="K286" t="s">
        <v>29</v>
      </c>
      <c r="O286">
        <f t="shared" si="5"/>
        <v>7</v>
      </c>
      <c r="P286" t="str">
        <f>+VLOOKUP(O286,X:Y,2,0)</f>
        <v>Julio</v>
      </c>
    </row>
    <row r="287" spans="3:16" x14ac:dyDescent="0.35">
      <c r="C287" t="s">
        <v>14</v>
      </c>
      <c r="D287">
        <v>53051501</v>
      </c>
      <c r="E287" t="s">
        <v>1308</v>
      </c>
      <c r="F287" s="29">
        <v>3529</v>
      </c>
      <c r="G287" t="s">
        <v>1266</v>
      </c>
      <c r="H287" s="2">
        <v>45841</v>
      </c>
      <c r="I287" t="s">
        <v>208</v>
      </c>
      <c r="J287" t="s">
        <v>208</v>
      </c>
      <c r="K287" t="s">
        <v>29</v>
      </c>
      <c r="O287">
        <f t="shared" si="5"/>
        <v>7</v>
      </c>
      <c r="P287" t="str">
        <f>+VLOOKUP(O287,X:Y,2,0)</f>
        <v>Julio</v>
      </c>
    </row>
    <row r="288" spans="3:16" x14ac:dyDescent="0.35">
      <c r="C288" t="s">
        <v>14</v>
      </c>
      <c r="D288">
        <v>53051502</v>
      </c>
      <c r="E288" t="s">
        <v>1309</v>
      </c>
      <c r="F288" s="29">
        <v>11955781.1</v>
      </c>
      <c r="G288" t="s">
        <v>1208</v>
      </c>
      <c r="H288" s="2">
        <v>45847</v>
      </c>
      <c r="I288" t="s">
        <v>1209</v>
      </c>
      <c r="J288" t="s">
        <v>1209</v>
      </c>
      <c r="K288" t="s">
        <v>40</v>
      </c>
      <c r="O288">
        <f t="shared" si="5"/>
        <v>7</v>
      </c>
      <c r="P288" t="str">
        <f>+VLOOKUP(O288,X:Y,2,0)</f>
        <v>Julio</v>
      </c>
    </row>
    <row r="289" spans="3:16" x14ac:dyDescent="0.35">
      <c r="C289" t="s">
        <v>14</v>
      </c>
      <c r="D289">
        <v>53051502</v>
      </c>
      <c r="E289" t="s">
        <v>1309</v>
      </c>
      <c r="F289" s="29">
        <v>3638657.44</v>
      </c>
      <c r="G289" t="s">
        <v>1210</v>
      </c>
      <c r="H289" s="2">
        <v>45847</v>
      </c>
      <c r="I289" t="s">
        <v>1211</v>
      </c>
      <c r="J289" t="s">
        <v>1211</v>
      </c>
      <c r="K289" t="s">
        <v>40</v>
      </c>
      <c r="O289">
        <f t="shared" si="5"/>
        <v>7</v>
      </c>
      <c r="P289" t="str">
        <f>+VLOOKUP(O289,X:Y,2,0)</f>
        <v>Julio</v>
      </c>
    </row>
    <row r="290" spans="3:16" x14ac:dyDescent="0.35">
      <c r="C290" t="s">
        <v>14</v>
      </c>
      <c r="D290">
        <v>53051501</v>
      </c>
      <c r="E290" t="s">
        <v>1308</v>
      </c>
      <c r="F290" s="29">
        <v>1701425</v>
      </c>
      <c r="G290" t="s">
        <v>1181</v>
      </c>
      <c r="H290" s="2">
        <v>45852</v>
      </c>
      <c r="I290" t="s">
        <v>1182</v>
      </c>
      <c r="J290" t="s">
        <v>1182</v>
      </c>
      <c r="K290" t="s">
        <v>19</v>
      </c>
      <c r="O290">
        <f t="shared" si="5"/>
        <v>7</v>
      </c>
      <c r="P290" t="str">
        <f>+VLOOKUP(O290,X:Y,2,0)</f>
        <v>Julio</v>
      </c>
    </row>
    <row r="291" spans="3:16" x14ac:dyDescent="0.35">
      <c r="C291" t="s">
        <v>14</v>
      </c>
      <c r="D291">
        <v>53051501</v>
      </c>
      <c r="E291" t="s">
        <v>1308</v>
      </c>
      <c r="F291" s="29">
        <v>3625395.18</v>
      </c>
      <c r="G291" t="s">
        <v>1183</v>
      </c>
      <c r="H291" s="2">
        <v>45852</v>
      </c>
      <c r="I291" t="s">
        <v>1184</v>
      </c>
      <c r="J291" t="s">
        <v>1184</v>
      </c>
      <c r="K291" t="s">
        <v>29</v>
      </c>
      <c r="O291">
        <f t="shared" si="5"/>
        <v>7</v>
      </c>
      <c r="P291" t="str">
        <f>+VLOOKUP(O291,X:Y,2,0)</f>
        <v>Julio</v>
      </c>
    </row>
    <row r="292" spans="3:16" x14ac:dyDescent="0.35">
      <c r="C292" t="s">
        <v>14</v>
      </c>
      <c r="D292">
        <v>53051501</v>
      </c>
      <c r="E292" t="s">
        <v>1308</v>
      </c>
      <c r="F292" s="29">
        <v>39551035.890000001</v>
      </c>
      <c r="G292" t="s">
        <v>1185</v>
      </c>
      <c r="H292" s="2">
        <v>45852</v>
      </c>
      <c r="I292" t="s">
        <v>1184</v>
      </c>
      <c r="J292" t="s">
        <v>1184</v>
      </c>
      <c r="K292" t="s">
        <v>1512</v>
      </c>
      <c r="O292">
        <f t="shared" si="5"/>
        <v>7</v>
      </c>
      <c r="P292" t="str">
        <f>+VLOOKUP(O292,X:Y,2,0)</f>
        <v>Julio</v>
      </c>
    </row>
    <row r="293" spans="3:16" x14ac:dyDescent="0.35">
      <c r="C293" t="s">
        <v>14</v>
      </c>
      <c r="D293">
        <v>53051501</v>
      </c>
      <c r="E293" t="s">
        <v>1308</v>
      </c>
      <c r="F293" s="29">
        <v>11004</v>
      </c>
      <c r="G293" t="s">
        <v>1186</v>
      </c>
      <c r="H293" s="2">
        <v>45852</v>
      </c>
      <c r="I293" t="s">
        <v>1184</v>
      </c>
      <c r="J293" t="s">
        <v>1184</v>
      </c>
      <c r="K293" t="s">
        <v>1527</v>
      </c>
      <c r="O293">
        <f t="shared" si="5"/>
        <v>7</v>
      </c>
      <c r="P293" t="str">
        <f>+VLOOKUP(O293,X:Y,2,0)</f>
        <v>Julio</v>
      </c>
    </row>
    <row r="294" spans="3:16" x14ac:dyDescent="0.35">
      <c r="C294" t="s">
        <v>14</v>
      </c>
      <c r="D294">
        <v>53051501</v>
      </c>
      <c r="E294" t="s">
        <v>1308</v>
      </c>
      <c r="F294" s="29">
        <v>27238753.329999998</v>
      </c>
      <c r="G294" t="s">
        <v>1187</v>
      </c>
      <c r="H294" s="2">
        <v>45852</v>
      </c>
      <c r="I294" t="s">
        <v>1184</v>
      </c>
      <c r="J294" t="s">
        <v>1184</v>
      </c>
      <c r="K294" t="s">
        <v>40</v>
      </c>
      <c r="O294">
        <f t="shared" si="5"/>
        <v>7</v>
      </c>
      <c r="P294" t="str">
        <f>+VLOOKUP(O294,X:Y,2,0)</f>
        <v>Julio</v>
      </c>
    </row>
    <row r="295" spans="3:16" x14ac:dyDescent="0.35">
      <c r="C295" t="s">
        <v>14</v>
      </c>
      <c r="D295">
        <v>53051501</v>
      </c>
      <c r="E295" t="s">
        <v>1308</v>
      </c>
      <c r="F295" s="29">
        <v>7117500</v>
      </c>
      <c r="G295" t="s">
        <v>1188</v>
      </c>
      <c r="H295" s="2">
        <v>45852</v>
      </c>
      <c r="I295" t="s">
        <v>1184</v>
      </c>
      <c r="J295" t="s">
        <v>1184</v>
      </c>
      <c r="K295" t="s">
        <v>42</v>
      </c>
      <c r="O295">
        <f t="shared" si="5"/>
        <v>7</v>
      </c>
      <c r="P295" t="str">
        <f>+VLOOKUP(O295,X:Y,2,0)</f>
        <v>Julio</v>
      </c>
    </row>
    <row r="296" spans="3:16" x14ac:dyDescent="0.35">
      <c r="C296" t="s">
        <v>14</v>
      </c>
      <c r="D296">
        <v>53051501</v>
      </c>
      <c r="E296" t="s">
        <v>1308</v>
      </c>
      <c r="F296" s="29">
        <v>3558750</v>
      </c>
      <c r="G296" t="s">
        <v>1189</v>
      </c>
      <c r="H296" s="2">
        <v>45852</v>
      </c>
      <c r="I296" t="s">
        <v>1184</v>
      </c>
      <c r="J296" t="s">
        <v>1184</v>
      </c>
      <c r="K296" t="s">
        <v>44</v>
      </c>
      <c r="O296">
        <f t="shared" si="5"/>
        <v>7</v>
      </c>
      <c r="P296" t="str">
        <f>+VLOOKUP(O296,X:Y,2,0)</f>
        <v>Julio</v>
      </c>
    </row>
    <row r="297" spans="3:16" x14ac:dyDescent="0.35">
      <c r="C297" t="s">
        <v>14</v>
      </c>
      <c r="D297">
        <v>53051501</v>
      </c>
      <c r="E297" t="s">
        <v>1308</v>
      </c>
      <c r="F297" s="29">
        <v>245438.28</v>
      </c>
      <c r="G297" t="s">
        <v>1190</v>
      </c>
      <c r="H297" s="2">
        <v>45852</v>
      </c>
      <c r="I297" t="s">
        <v>1184</v>
      </c>
      <c r="J297" t="s">
        <v>1184</v>
      </c>
      <c r="K297" t="s">
        <v>46</v>
      </c>
      <c r="O297">
        <f t="shared" si="5"/>
        <v>7</v>
      </c>
      <c r="P297" t="str">
        <f>+VLOOKUP(O297,X:Y,2,0)</f>
        <v>Julio</v>
      </c>
    </row>
    <row r="298" spans="3:16" x14ac:dyDescent="0.35">
      <c r="C298" t="s">
        <v>14</v>
      </c>
      <c r="D298">
        <v>53051501</v>
      </c>
      <c r="E298" t="s">
        <v>1308</v>
      </c>
      <c r="F298" s="29">
        <v>2727752.4</v>
      </c>
      <c r="G298" t="s">
        <v>1191</v>
      </c>
      <c r="H298" s="2">
        <v>45852</v>
      </c>
      <c r="I298" t="s">
        <v>1184</v>
      </c>
      <c r="J298" t="s">
        <v>1184</v>
      </c>
      <c r="K298" t="s">
        <v>167</v>
      </c>
      <c r="O298">
        <f t="shared" si="5"/>
        <v>7</v>
      </c>
      <c r="P298" t="str">
        <f>+VLOOKUP(O298,X:Y,2,0)</f>
        <v>Julio</v>
      </c>
    </row>
    <row r="299" spans="3:16" x14ac:dyDescent="0.35">
      <c r="C299" t="s">
        <v>14</v>
      </c>
      <c r="D299">
        <v>53051501</v>
      </c>
      <c r="E299" t="s">
        <v>1308</v>
      </c>
      <c r="F299" s="29">
        <v>1429645</v>
      </c>
      <c r="G299" t="s">
        <v>1192</v>
      </c>
      <c r="H299" s="2">
        <v>45852</v>
      </c>
      <c r="I299" t="s">
        <v>1193</v>
      </c>
      <c r="J299" t="s">
        <v>1193</v>
      </c>
      <c r="K299" t="s">
        <v>19</v>
      </c>
      <c r="O299">
        <f t="shared" si="5"/>
        <v>7</v>
      </c>
      <c r="P299" t="str">
        <f>+VLOOKUP(O299,X:Y,2,0)</f>
        <v>Julio</v>
      </c>
    </row>
    <row r="300" spans="3:16" x14ac:dyDescent="0.35">
      <c r="C300" t="s">
        <v>14</v>
      </c>
      <c r="D300">
        <v>53051501</v>
      </c>
      <c r="E300" t="s">
        <v>1308</v>
      </c>
      <c r="F300" s="29">
        <v>303166.67</v>
      </c>
      <c r="G300" t="s">
        <v>1194</v>
      </c>
      <c r="H300" s="2">
        <v>45852</v>
      </c>
      <c r="I300" t="s">
        <v>1193</v>
      </c>
      <c r="J300" t="s">
        <v>1193</v>
      </c>
      <c r="K300" t="s">
        <v>534</v>
      </c>
      <c r="O300">
        <f t="shared" si="5"/>
        <v>7</v>
      </c>
      <c r="P300" t="str">
        <f>+VLOOKUP(O300,X:Y,2,0)</f>
        <v>Julio</v>
      </c>
    </row>
    <row r="301" spans="3:16" x14ac:dyDescent="0.35">
      <c r="C301" t="s">
        <v>14</v>
      </c>
      <c r="D301">
        <v>53051501</v>
      </c>
      <c r="E301" t="s">
        <v>1308</v>
      </c>
      <c r="F301" s="29">
        <v>14089483</v>
      </c>
      <c r="G301" t="s">
        <v>1195</v>
      </c>
      <c r="H301" s="2">
        <v>45852</v>
      </c>
      <c r="I301" t="s">
        <v>1193</v>
      </c>
      <c r="J301" t="s">
        <v>1193</v>
      </c>
      <c r="K301" t="s">
        <v>1512</v>
      </c>
      <c r="O301">
        <f t="shared" si="5"/>
        <v>7</v>
      </c>
      <c r="P301" t="str">
        <f>+VLOOKUP(O301,X:Y,2,0)</f>
        <v>Julio</v>
      </c>
    </row>
    <row r="302" spans="3:16" x14ac:dyDescent="0.35">
      <c r="C302" t="s">
        <v>14</v>
      </c>
      <c r="D302">
        <v>53051501</v>
      </c>
      <c r="E302" t="s">
        <v>1308</v>
      </c>
      <c r="F302" s="29">
        <v>11004</v>
      </c>
      <c r="G302" t="s">
        <v>1196</v>
      </c>
      <c r="H302" s="2">
        <v>45852</v>
      </c>
      <c r="I302" t="s">
        <v>1193</v>
      </c>
      <c r="J302" t="s">
        <v>1193</v>
      </c>
      <c r="K302" t="s">
        <v>1527</v>
      </c>
      <c r="O302">
        <f t="shared" si="5"/>
        <v>7</v>
      </c>
      <c r="P302" t="str">
        <f>+VLOOKUP(O302,X:Y,2,0)</f>
        <v>Julio</v>
      </c>
    </row>
    <row r="303" spans="3:16" x14ac:dyDescent="0.35">
      <c r="C303" t="s">
        <v>14</v>
      </c>
      <c r="D303">
        <v>53051501</v>
      </c>
      <c r="E303" t="s">
        <v>1308</v>
      </c>
      <c r="F303" s="29">
        <v>7116975.5199999996</v>
      </c>
      <c r="G303" t="s">
        <v>1197</v>
      </c>
      <c r="H303" s="2">
        <v>45852</v>
      </c>
      <c r="I303" t="s">
        <v>1193</v>
      </c>
      <c r="J303" t="s">
        <v>1193</v>
      </c>
      <c r="K303" t="s">
        <v>25</v>
      </c>
      <c r="O303">
        <f t="shared" si="5"/>
        <v>7</v>
      </c>
      <c r="P303" t="str">
        <f>+VLOOKUP(O303,X:Y,2,0)</f>
        <v>Julio</v>
      </c>
    </row>
    <row r="304" spans="3:16" x14ac:dyDescent="0.35">
      <c r="C304" t="s">
        <v>14</v>
      </c>
      <c r="D304">
        <v>53051501</v>
      </c>
      <c r="E304" t="s">
        <v>1308</v>
      </c>
      <c r="F304" s="29">
        <v>1423500</v>
      </c>
      <c r="G304" t="s">
        <v>1198</v>
      </c>
      <c r="H304" s="2">
        <v>45852</v>
      </c>
      <c r="I304" t="s">
        <v>1193</v>
      </c>
      <c r="J304" t="s">
        <v>1193</v>
      </c>
      <c r="K304" t="s">
        <v>75</v>
      </c>
      <c r="O304">
        <f t="shared" si="5"/>
        <v>7</v>
      </c>
      <c r="P304" t="str">
        <f>+VLOOKUP(O304,X:Y,2,0)</f>
        <v>Julio</v>
      </c>
    </row>
    <row r="305" spans="3:16" x14ac:dyDescent="0.35">
      <c r="C305" t="s">
        <v>14</v>
      </c>
      <c r="D305">
        <v>53051501</v>
      </c>
      <c r="E305" t="s">
        <v>1308</v>
      </c>
      <c r="F305" s="29">
        <v>7116975.5199999996</v>
      </c>
      <c r="G305" t="s">
        <v>1199</v>
      </c>
      <c r="H305" s="2">
        <v>45852</v>
      </c>
      <c r="I305" t="s">
        <v>1200</v>
      </c>
      <c r="J305" t="s">
        <v>1200</v>
      </c>
      <c r="K305" t="s">
        <v>42</v>
      </c>
      <c r="O305">
        <f t="shared" si="5"/>
        <v>7</v>
      </c>
      <c r="P305" t="str">
        <f>+VLOOKUP(O305,X:Y,2,0)</f>
        <v>Julio</v>
      </c>
    </row>
    <row r="306" spans="3:16" x14ac:dyDescent="0.35">
      <c r="C306" t="s">
        <v>14</v>
      </c>
      <c r="D306">
        <v>53051501</v>
      </c>
      <c r="E306" t="s">
        <v>1308</v>
      </c>
      <c r="F306" s="29">
        <v>3558750</v>
      </c>
      <c r="G306" t="s">
        <v>1201</v>
      </c>
      <c r="H306" s="2">
        <v>45852</v>
      </c>
      <c r="I306" t="s">
        <v>1200</v>
      </c>
      <c r="J306" t="s">
        <v>1200</v>
      </c>
      <c r="K306" t="s">
        <v>44</v>
      </c>
      <c r="O306">
        <f t="shared" si="5"/>
        <v>7</v>
      </c>
      <c r="P306" t="str">
        <f>+VLOOKUP(O306,X:Y,2,0)</f>
        <v>Julio</v>
      </c>
    </row>
    <row r="307" spans="3:16" x14ac:dyDescent="0.35">
      <c r="C307" t="s">
        <v>14</v>
      </c>
      <c r="D307">
        <v>53051501</v>
      </c>
      <c r="E307" t="s">
        <v>1308</v>
      </c>
      <c r="F307" s="29">
        <v>341079.03999999998</v>
      </c>
      <c r="G307" t="s">
        <v>1202</v>
      </c>
      <c r="H307" s="2">
        <v>45852</v>
      </c>
      <c r="I307" t="s">
        <v>1200</v>
      </c>
      <c r="J307" t="s">
        <v>1200</v>
      </c>
      <c r="K307" t="s">
        <v>46</v>
      </c>
      <c r="O307">
        <f t="shared" si="5"/>
        <v>7</v>
      </c>
      <c r="P307" t="str">
        <f>+VLOOKUP(O307,X:Y,2,0)</f>
        <v>Julio</v>
      </c>
    </row>
    <row r="308" spans="3:16" x14ac:dyDescent="0.35">
      <c r="C308" t="s">
        <v>14</v>
      </c>
      <c r="D308">
        <v>53051501</v>
      </c>
      <c r="E308" t="s">
        <v>1308</v>
      </c>
      <c r="F308" s="29">
        <v>712192.25</v>
      </c>
      <c r="G308" t="s">
        <v>1203</v>
      </c>
      <c r="H308" s="2">
        <v>45852</v>
      </c>
      <c r="I308" t="s">
        <v>1200</v>
      </c>
      <c r="J308" t="s">
        <v>1200</v>
      </c>
      <c r="K308" t="s">
        <v>167</v>
      </c>
      <c r="O308">
        <f t="shared" si="5"/>
        <v>7</v>
      </c>
      <c r="P308" t="str">
        <f>+VLOOKUP(O308,X:Y,2,0)</f>
        <v>Julio</v>
      </c>
    </row>
    <row r="309" spans="3:16" x14ac:dyDescent="0.35">
      <c r="C309" t="s">
        <v>14</v>
      </c>
      <c r="D309">
        <v>53051501</v>
      </c>
      <c r="E309" t="s">
        <v>1308</v>
      </c>
      <c r="F309" s="29">
        <v>-22008</v>
      </c>
      <c r="G309" t="s">
        <v>1260</v>
      </c>
      <c r="H309" s="2">
        <v>45852</v>
      </c>
      <c r="I309" t="s">
        <v>1261</v>
      </c>
      <c r="J309" t="s">
        <v>1261</v>
      </c>
      <c r="K309" t="s">
        <v>1527</v>
      </c>
      <c r="O309">
        <f t="shared" si="5"/>
        <v>7</v>
      </c>
      <c r="P309" t="str">
        <f>+VLOOKUP(O309,X:Y,2,0)</f>
        <v>Julio</v>
      </c>
    </row>
    <row r="310" spans="3:16" x14ac:dyDescent="0.35">
      <c r="C310" t="s">
        <v>14</v>
      </c>
      <c r="D310">
        <v>53051501</v>
      </c>
      <c r="E310" t="s">
        <v>1308</v>
      </c>
      <c r="F310" s="29">
        <v>-14234475.52</v>
      </c>
      <c r="G310" t="s">
        <v>1260</v>
      </c>
      <c r="H310" s="2">
        <v>45852</v>
      </c>
      <c r="I310" t="s">
        <v>1261</v>
      </c>
      <c r="J310" t="s">
        <v>1261</v>
      </c>
      <c r="K310" t="s">
        <v>42</v>
      </c>
      <c r="O310">
        <f t="shared" si="5"/>
        <v>7</v>
      </c>
      <c r="P310" t="str">
        <f>+VLOOKUP(O310,X:Y,2,0)</f>
        <v>Julio</v>
      </c>
    </row>
    <row r="311" spans="3:16" x14ac:dyDescent="0.35">
      <c r="C311" t="s">
        <v>14</v>
      </c>
      <c r="D311">
        <v>53051501</v>
      </c>
      <c r="E311" t="s">
        <v>1308</v>
      </c>
      <c r="F311" s="29">
        <v>-7117500</v>
      </c>
      <c r="G311" t="s">
        <v>1260</v>
      </c>
      <c r="H311" s="2">
        <v>45852</v>
      </c>
      <c r="I311" t="s">
        <v>1261</v>
      </c>
      <c r="J311" t="s">
        <v>1261</v>
      </c>
      <c r="K311" t="s">
        <v>44</v>
      </c>
      <c r="O311">
        <f t="shared" si="5"/>
        <v>7</v>
      </c>
      <c r="P311" t="str">
        <f>+VLOOKUP(O311,X:Y,2,0)</f>
        <v>Julio</v>
      </c>
    </row>
    <row r="312" spans="3:16" x14ac:dyDescent="0.35">
      <c r="C312" t="s">
        <v>14</v>
      </c>
      <c r="D312">
        <v>53051501</v>
      </c>
      <c r="E312" t="s">
        <v>1308</v>
      </c>
      <c r="F312" s="29">
        <v>-3131070</v>
      </c>
      <c r="G312" t="s">
        <v>1260</v>
      </c>
      <c r="H312" s="2">
        <v>45852</v>
      </c>
      <c r="I312" t="s">
        <v>1261</v>
      </c>
      <c r="J312" t="s">
        <v>1261</v>
      </c>
      <c r="K312" t="s">
        <v>19</v>
      </c>
      <c r="O312">
        <f t="shared" si="5"/>
        <v>7</v>
      </c>
      <c r="P312" t="str">
        <f>+VLOOKUP(O312,X:Y,2,0)</f>
        <v>Julio</v>
      </c>
    </row>
    <row r="313" spans="3:16" x14ac:dyDescent="0.35">
      <c r="C313" t="s">
        <v>14</v>
      </c>
      <c r="D313">
        <v>53051501</v>
      </c>
      <c r="E313" t="s">
        <v>1308</v>
      </c>
      <c r="F313" s="29">
        <v>-27238753.329999998</v>
      </c>
      <c r="G313" t="s">
        <v>1260</v>
      </c>
      <c r="H313" s="2">
        <v>45852</v>
      </c>
      <c r="I313" t="s">
        <v>1261</v>
      </c>
      <c r="J313" t="s">
        <v>1261</v>
      </c>
      <c r="K313" t="s">
        <v>40</v>
      </c>
      <c r="O313">
        <f t="shared" si="5"/>
        <v>7</v>
      </c>
      <c r="P313" t="str">
        <f>+VLOOKUP(O313,X:Y,2,0)</f>
        <v>Julio</v>
      </c>
    </row>
    <row r="314" spans="3:16" x14ac:dyDescent="0.35">
      <c r="C314" t="s">
        <v>14</v>
      </c>
      <c r="D314">
        <v>53051501</v>
      </c>
      <c r="E314" t="s">
        <v>1308</v>
      </c>
      <c r="F314" s="29">
        <v>-7116975.5199999996</v>
      </c>
      <c r="G314" t="s">
        <v>1260</v>
      </c>
      <c r="H314" s="2">
        <v>45852</v>
      </c>
      <c r="I314" t="s">
        <v>1261</v>
      </c>
      <c r="J314" t="s">
        <v>1261</v>
      </c>
      <c r="K314" t="s">
        <v>25</v>
      </c>
      <c r="O314">
        <f t="shared" si="5"/>
        <v>7</v>
      </c>
      <c r="P314" t="str">
        <f>+VLOOKUP(O314,X:Y,2,0)</f>
        <v>Julio</v>
      </c>
    </row>
    <row r="315" spans="3:16" x14ac:dyDescent="0.35">
      <c r="C315" t="s">
        <v>14</v>
      </c>
      <c r="D315">
        <v>53051501</v>
      </c>
      <c r="E315" t="s">
        <v>1308</v>
      </c>
      <c r="F315" s="29">
        <v>-53640518.890000001</v>
      </c>
      <c r="G315" t="s">
        <v>1260</v>
      </c>
      <c r="H315" s="2">
        <v>45852</v>
      </c>
      <c r="I315" t="s">
        <v>1261</v>
      </c>
      <c r="J315" t="s">
        <v>1261</v>
      </c>
      <c r="K315" t="s">
        <v>1512</v>
      </c>
      <c r="O315">
        <f t="shared" si="5"/>
        <v>7</v>
      </c>
      <c r="P315" t="str">
        <f>+VLOOKUP(O315,X:Y,2,0)</f>
        <v>Julio</v>
      </c>
    </row>
    <row r="316" spans="3:16" x14ac:dyDescent="0.35">
      <c r="C316" t="s">
        <v>14</v>
      </c>
      <c r="D316">
        <v>53051501</v>
      </c>
      <c r="E316" t="s">
        <v>1308</v>
      </c>
      <c r="F316" s="29">
        <v>-1423500</v>
      </c>
      <c r="G316" t="s">
        <v>1260</v>
      </c>
      <c r="H316" s="2">
        <v>45852</v>
      </c>
      <c r="I316" t="s">
        <v>1261</v>
      </c>
      <c r="J316" t="s">
        <v>1261</v>
      </c>
      <c r="K316" t="s">
        <v>75</v>
      </c>
      <c r="O316">
        <f t="shared" si="5"/>
        <v>7</v>
      </c>
      <c r="P316" t="str">
        <f>+VLOOKUP(O316,X:Y,2,0)</f>
        <v>Julio</v>
      </c>
    </row>
    <row r="317" spans="3:16" x14ac:dyDescent="0.35">
      <c r="C317" t="s">
        <v>14</v>
      </c>
      <c r="D317">
        <v>53051501</v>
      </c>
      <c r="E317" t="s">
        <v>1308</v>
      </c>
      <c r="F317" s="29">
        <v>-3439944.65</v>
      </c>
      <c r="G317" t="s">
        <v>1260</v>
      </c>
      <c r="H317" s="2">
        <v>45852</v>
      </c>
      <c r="I317" t="s">
        <v>1261</v>
      </c>
      <c r="J317" t="s">
        <v>1261</v>
      </c>
      <c r="K317" t="s">
        <v>167</v>
      </c>
      <c r="O317">
        <f t="shared" si="5"/>
        <v>7</v>
      </c>
      <c r="P317" t="str">
        <f>+VLOOKUP(O317,X:Y,2,0)</f>
        <v>Julio</v>
      </c>
    </row>
    <row r="318" spans="3:16" x14ac:dyDescent="0.35">
      <c r="C318" t="s">
        <v>14</v>
      </c>
      <c r="D318">
        <v>53051501</v>
      </c>
      <c r="E318" t="s">
        <v>1308</v>
      </c>
      <c r="F318" s="29">
        <v>-3625395.18</v>
      </c>
      <c r="G318" t="s">
        <v>1260</v>
      </c>
      <c r="H318" s="2">
        <v>45852</v>
      </c>
      <c r="I318" t="s">
        <v>1261</v>
      </c>
      <c r="J318" t="s">
        <v>1261</v>
      </c>
      <c r="K318" t="s">
        <v>29</v>
      </c>
      <c r="O318">
        <f t="shared" si="5"/>
        <v>7</v>
      </c>
      <c r="P318" t="str">
        <f>+VLOOKUP(O318,X:Y,2,0)</f>
        <v>Julio</v>
      </c>
    </row>
    <row r="319" spans="3:16" x14ac:dyDescent="0.35">
      <c r="C319" t="s">
        <v>14</v>
      </c>
      <c r="D319">
        <v>53051501</v>
      </c>
      <c r="E319" t="s">
        <v>1308</v>
      </c>
      <c r="F319" s="29">
        <v>-586517.31999999995</v>
      </c>
      <c r="G319" t="s">
        <v>1260</v>
      </c>
      <c r="H319" s="2">
        <v>45852</v>
      </c>
      <c r="I319" t="s">
        <v>1261</v>
      </c>
      <c r="J319" t="s">
        <v>1261</v>
      </c>
      <c r="K319" t="s">
        <v>46</v>
      </c>
      <c r="O319">
        <f t="shared" si="5"/>
        <v>7</v>
      </c>
      <c r="P319" t="str">
        <f>+VLOOKUP(O319,X:Y,2,0)</f>
        <v>Julio</v>
      </c>
    </row>
    <row r="320" spans="3:16" x14ac:dyDescent="0.35">
      <c r="C320" t="s">
        <v>14</v>
      </c>
      <c r="D320">
        <v>53051502</v>
      </c>
      <c r="E320" t="s">
        <v>1309</v>
      </c>
      <c r="F320" s="29">
        <v>2825978.75</v>
      </c>
      <c r="G320" t="s">
        <v>1214</v>
      </c>
      <c r="H320" s="2">
        <v>45853</v>
      </c>
      <c r="I320" t="s">
        <v>1215</v>
      </c>
      <c r="J320" t="s">
        <v>1215</v>
      </c>
      <c r="K320" t="s">
        <v>29</v>
      </c>
      <c r="O320">
        <f t="shared" si="5"/>
        <v>7</v>
      </c>
      <c r="P320" t="str">
        <f>+VLOOKUP(O320,X:Y,2,0)</f>
        <v>Julio</v>
      </c>
    </row>
    <row r="321" spans="3:16" x14ac:dyDescent="0.35">
      <c r="C321" t="s">
        <v>14</v>
      </c>
      <c r="D321">
        <v>53051501</v>
      </c>
      <c r="E321" t="s">
        <v>1308</v>
      </c>
      <c r="F321" s="29">
        <v>3558750</v>
      </c>
      <c r="G321" t="s">
        <v>1204</v>
      </c>
      <c r="H321" s="2">
        <v>45854</v>
      </c>
      <c r="I321" t="s">
        <v>1205</v>
      </c>
      <c r="J321" t="s">
        <v>1205</v>
      </c>
      <c r="K321" t="s">
        <v>44</v>
      </c>
      <c r="O321">
        <f t="shared" si="5"/>
        <v>7</v>
      </c>
      <c r="P321" t="str">
        <f>+VLOOKUP(O321,X:Y,2,0)</f>
        <v>Julio</v>
      </c>
    </row>
    <row r="322" spans="3:16" x14ac:dyDescent="0.35">
      <c r="C322" t="s">
        <v>14</v>
      </c>
      <c r="D322">
        <v>53051502</v>
      </c>
      <c r="E322" t="s">
        <v>1309</v>
      </c>
      <c r="F322" s="29">
        <v>555024.98</v>
      </c>
      <c r="G322" t="s">
        <v>1228</v>
      </c>
      <c r="H322" s="2">
        <v>45854</v>
      </c>
      <c r="I322" t="s">
        <v>1229</v>
      </c>
      <c r="J322" t="s">
        <v>1229</v>
      </c>
      <c r="K322" t="s">
        <v>172</v>
      </c>
      <c r="O322">
        <f t="shared" si="5"/>
        <v>7</v>
      </c>
      <c r="P322" t="str">
        <f>+VLOOKUP(O322,X:Y,2,0)</f>
        <v>Julio</v>
      </c>
    </row>
    <row r="323" spans="3:16" x14ac:dyDescent="0.35">
      <c r="C323" t="s">
        <v>14</v>
      </c>
      <c r="D323">
        <v>53051502</v>
      </c>
      <c r="E323" t="s">
        <v>1309</v>
      </c>
      <c r="F323" s="29">
        <v>16768631.49</v>
      </c>
      <c r="G323" t="s">
        <v>1216</v>
      </c>
      <c r="H323" s="2">
        <v>45856</v>
      </c>
      <c r="I323" t="s">
        <v>1217</v>
      </c>
      <c r="J323" t="s">
        <v>1217</v>
      </c>
      <c r="K323" t="s">
        <v>172</v>
      </c>
      <c r="O323">
        <f t="shared" si="5"/>
        <v>7</v>
      </c>
      <c r="P323" t="str">
        <f>+VLOOKUP(O323,X:Y,2,0)</f>
        <v>Julio</v>
      </c>
    </row>
    <row r="324" spans="3:16" x14ac:dyDescent="0.35">
      <c r="C324" t="s">
        <v>14</v>
      </c>
      <c r="D324">
        <v>53051502</v>
      </c>
      <c r="E324" t="s">
        <v>1309</v>
      </c>
      <c r="F324" s="29">
        <v>2625673</v>
      </c>
      <c r="G324" t="s">
        <v>1212</v>
      </c>
      <c r="H324" s="2">
        <v>45859</v>
      </c>
      <c r="I324" t="s">
        <v>1213</v>
      </c>
      <c r="J324" t="s">
        <v>1213</v>
      </c>
      <c r="K324" t="s">
        <v>1512</v>
      </c>
      <c r="O324">
        <f t="shared" si="5"/>
        <v>7</v>
      </c>
      <c r="P324" t="str">
        <f>+VLOOKUP(O324,X:Y,2,0)</f>
        <v>Julio</v>
      </c>
    </row>
    <row r="325" spans="3:16" x14ac:dyDescent="0.35">
      <c r="C325" t="s">
        <v>14</v>
      </c>
      <c r="D325">
        <v>53051501</v>
      </c>
      <c r="E325" t="s">
        <v>1308</v>
      </c>
      <c r="F325" s="29">
        <v>3529</v>
      </c>
      <c r="G325" t="s">
        <v>1267</v>
      </c>
      <c r="H325" s="2">
        <v>45861</v>
      </c>
      <c r="I325" t="s">
        <v>208</v>
      </c>
      <c r="J325" t="s">
        <v>208</v>
      </c>
      <c r="K325" t="s">
        <v>29</v>
      </c>
      <c r="O325">
        <f t="shared" si="5"/>
        <v>7</v>
      </c>
      <c r="P325" t="str">
        <f>+VLOOKUP(O325,X:Y,2,0)</f>
        <v>Julio</v>
      </c>
    </row>
    <row r="326" spans="3:16" x14ac:dyDescent="0.35">
      <c r="C326" t="s">
        <v>14</v>
      </c>
      <c r="D326">
        <v>53051501</v>
      </c>
      <c r="E326" t="s">
        <v>1308</v>
      </c>
      <c r="F326" s="29">
        <v>42900</v>
      </c>
      <c r="G326" t="s">
        <v>1278</v>
      </c>
      <c r="H326" s="2">
        <v>45861</v>
      </c>
      <c r="I326" t="s">
        <v>1279</v>
      </c>
      <c r="J326" t="s">
        <v>1279</v>
      </c>
      <c r="K326" t="s">
        <v>138</v>
      </c>
      <c r="O326">
        <f t="shared" si="5"/>
        <v>7</v>
      </c>
      <c r="P326" t="str">
        <f>+VLOOKUP(O326,X:Y,2,0)</f>
        <v>Julio</v>
      </c>
    </row>
    <row r="327" spans="3:16" x14ac:dyDescent="0.35">
      <c r="C327" t="s">
        <v>14</v>
      </c>
      <c r="D327">
        <v>53051502</v>
      </c>
      <c r="E327" t="s">
        <v>1309</v>
      </c>
      <c r="F327" s="29">
        <v>1714062.01</v>
      </c>
      <c r="G327" t="s">
        <v>1226</v>
      </c>
      <c r="H327" s="2">
        <v>45862</v>
      </c>
      <c r="I327" t="s">
        <v>1227</v>
      </c>
      <c r="J327" t="s">
        <v>1227</v>
      </c>
      <c r="K327" t="s">
        <v>172</v>
      </c>
      <c r="O327">
        <f t="shared" si="5"/>
        <v>7</v>
      </c>
      <c r="P327" t="str">
        <f>+VLOOKUP(O327,X:Y,2,0)</f>
        <v>Julio</v>
      </c>
    </row>
    <row r="328" spans="3:16" x14ac:dyDescent="0.35">
      <c r="C328" t="s">
        <v>14</v>
      </c>
      <c r="D328">
        <v>53051502</v>
      </c>
      <c r="E328" t="s">
        <v>1309</v>
      </c>
      <c r="F328" s="29">
        <v>4860686</v>
      </c>
      <c r="G328" t="s">
        <v>1218</v>
      </c>
      <c r="H328" s="2">
        <v>45863</v>
      </c>
      <c r="I328" t="s">
        <v>1219</v>
      </c>
      <c r="J328" t="s">
        <v>1219</v>
      </c>
      <c r="K328" t="s">
        <v>1512</v>
      </c>
      <c r="O328">
        <f t="shared" si="5"/>
        <v>7</v>
      </c>
      <c r="P328" t="str">
        <f>+VLOOKUP(O328,X:Y,2,0)</f>
        <v>Julio</v>
      </c>
    </row>
    <row r="329" spans="3:16" x14ac:dyDescent="0.35">
      <c r="C329" t="s">
        <v>14</v>
      </c>
      <c r="D329">
        <v>53051502</v>
      </c>
      <c r="E329" t="s">
        <v>1309</v>
      </c>
      <c r="F329" s="29">
        <v>3998775.27</v>
      </c>
      <c r="G329" t="s">
        <v>1220</v>
      </c>
      <c r="H329" s="2">
        <v>45863</v>
      </c>
      <c r="I329" t="s">
        <v>1221</v>
      </c>
      <c r="J329" t="s">
        <v>1221</v>
      </c>
      <c r="K329" t="s">
        <v>40</v>
      </c>
      <c r="O329">
        <f t="shared" si="5"/>
        <v>7</v>
      </c>
      <c r="P329" t="str">
        <f>+VLOOKUP(O329,X:Y,2,0)</f>
        <v>Julio</v>
      </c>
    </row>
    <row r="330" spans="3:16" x14ac:dyDescent="0.35">
      <c r="C330" t="s">
        <v>14</v>
      </c>
      <c r="D330">
        <v>53051502</v>
      </c>
      <c r="E330" t="s">
        <v>1309</v>
      </c>
      <c r="F330" s="29">
        <v>3400325</v>
      </c>
      <c r="G330" t="s">
        <v>1222</v>
      </c>
      <c r="H330" s="2">
        <v>45863</v>
      </c>
      <c r="I330" t="s">
        <v>1223</v>
      </c>
      <c r="J330" t="s">
        <v>1223</v>
      </c>
      <c r="K330" t="s">
        <v>1512</v>
      </c>
      <c r="O330">
        <f t="shared" si="5"/>
        <v>7</v>
      </c>
      <c r="P330" t="str">
        <f>+VLOOKUP(O330,X:Y,2,0)</f>
        <v>Julio</v>
      </c>
    </row>
    <row r="331" spans="3:16" x14ac:dyDescent="0.35">
      <c r="C331" t="s">
        <v>14</v>
      </c>
      <c r="D331">
        <v>53051502</v>
      </c>
      <c r="E331" t="s">
        <v>1309</v>
      </c>
      <c r="F331" s="29">
        <v>6630248.25</v>
      </c>
      <c r="G331" t="s">
        <v>1224</v>
      </c>
      <c r="H331" s="2">
        <v>45863</v>
      </c>
      <c r="I331" t="s">
        <v>1225</v>
      </c>
      <c r="J331" t="s">
        <v>1225</v>
      </c>
      <c r="K331" t="s">
        <v>172</v>
      </c>
      <c r="O331">
        <f t="shared" si="5"/>
        <v>7</v>
      </c>
      <c r="P331" t="str">
        <f>+VLOOKUP(O331,X:Y,2,0)</f>
        <v>Julio</v>
      </c>
    </row>
    <row r="332" spans="3:16" x14ac:dyDescent="0.35">
      <c r="C332" t="s">
        <v>14</v>
      </c>
      <c r="D332">
        <v>53051502</v>
      </c>
      <c r="E332" t="s">
        <v>1309</v>
      </c>
      <c r="F332" s="29">
        <v>3001362</v>
      </c>
      <c r="G332" t="s">
        <v>1230</v>
      </c>
      <c r="H332" s="2">
        <v>45883</v>
      </c>
      <c r="I332" t="s">
        <v>1231</v>
      </c>
      <c r="J332" t="s">
        <v>1231</v>
      </c>
      <c r="K332" t="s">
        <v>1232</v>
      </c>
      <c r="O332">
        <f t="shared" si="5"/>
        <v>8</v>
      </c>
      <c r="P332" t="str">
        <f>+VLOOKUP(O332,X:Y,2,0)</f>
        <v>Agosto</v>
      </c>
    </row>
    <row r="333" spans="3:16" x14ac:dyDescent="0.35">
      <c r="C333" t="s">
        <v>14</v>
      </c>
      <c r="D333">
        <v>53051501</v>
      </c>
      <c r="E333" t="s">
        <v>1308</v>
      </c>
      <c r="F333" s="29">
        <v>3529</v>
      </c>
      <c r="G333" t="s">
        <v>1268</v>
      </c>
      <c r="H333" s="2">
        <v>45867</v>
      </c>
      <c r="I333" t="s">
        <v>1269</v>
      </c>
      <c r="J333" t="s">
        <v>1269</v>
      </c>
      <c r="K333" t="s">
        <v>29</v>
      </c>
      <c r="O333">
        <f t="shared" ref="O333:O396" si="6">+MONTH(H333)</f>
        <v>7</v>
      </c>
      <c r="P333" t="str">
        <f>+VLOOKUP(O333,X:Y,2,0)</f>
        <v>Julio</v>
      </c>
    </row>
    <row r="334" spans="3:16" x14ac:dyDescent="0.35">
      <c r="C334" t="s">
        <v>14</v>
      </c>
      <c r="D334">
        <v>53051501</v>
      </c>
      <c r="E334" t="s">
        <v>1308</v>
      </c>
      <c r="F334" s="29">
        <v>153000</v>
      </c>
      <c r="G334" t="s">
        <v>1270</v>
      </c>
      <c r="H334" s="2">
        <v>45868</v>
      </c>
      <c r="I334" t="s">
        <v>1271</v>
      </c>
      <c r="J334" t="s">
        <v>1272</v>
      </c>
      <c r="K334" t="s">
        <v>534</v>
      </c>
      <c r="O334">
        <f t="shared" si="6"/>
        <v>7</v>
      </c>
      <c r="P334" t="str">
        <f>+VLOOKUP(O334,X:Y,2,0)</f>
        <v>Julio</v>
      </c>
    </row>
    <row r="335" spans="3:16" x14ac:dyDescent="0.35">
      <c r="C335" t="s">
        <v>14</v>
      </c>
      <c r="D335">
        <v>53051501</v>
      </c>
      <c r="E335" t="s">
        <v>1308</v>
      </c>
      <c r="F335" s="29">
        <v>6750</v>
      </c>
      <c r="G335" t="s">
        <v>1270</v>
      </c>
      <c r="H335" s="2">
        <v>45868</v>
      </c>
      <c r="I335" t="s">
        <v>1273</v>
      </c>
      <c r="J335" t="s">
        <v>1272</v>
      </c>
      <c r="K335" t="s">
        <v>534</v>
      </c>
      <c r="O335">
        <f t="shared" si="6"/>
        <v>7</v>
      </c>
      <c r="P335" t="str">
        <f>+VLOOKUP(O335,X:Y,2,0)</f>
        <v>Julio</v>
      </c>
    </row>
    <row r="336" spans="3:16" x14ac:dyDescent="0.35">
      <c r="C336" t="s">
        <v>14</v>
      </c>
      <c r="D336">
        <v>53051501</v>
      </c>
      <c r="E336" s="34" t="s">
        <v>1427</v>
      </c>
      <c r="F336" s="29">
        <v>-173399</v>
      </c>
      <c r="G336" t="s">
        <v>1206</v>
      </c>
      <c r="H336" s="2">
        <v>45869</v>
      </c>
      <c r="I336" t="s">
        <v>1207</v>
      </c>
      <c r="J336" t="s">
        <v>1207</v>
      </c>
      <c r="K336" t="s">
        <v>1172</v>
      </c>
      <c r="O336">
        <f t="shared" si="6"/>
        <v>7</v>
      </c>
      <c r="P336" t="str">
        <f>+VLOOKUP(O336,X:Y,2,0)</f>
        <v>Julio</v>
      </c>
    </row>
    <row r="337" spans="3:16" x14ac:dyDescent="0.35">
      <c r="C337" t="s">
        <v>14</v>
      </c>
      <c r="D337">
        <v>53051501</v>
      </c>
      <c r="E337" t="s">
        <v>1308</v>
      </c>
      <c r="F337" s="29">
        <v>9600</v>
      </c>
      <c r="G337" t="s">
        <v>1233</v>
      </c>
      <c r="H337" s="2">
        <v>45869</v>
      </c>
      <c r="I337" t="s">
        <v>1234</v>
      </c>
      <c r="J337" t="s">
        <v>1234</v>
      </c>
      <c r="K337" t="s">
        <v>1527</v>
      </c>
      <c r="O337">
        <f t="shared" si="6"/>
        <v>7</v>
      </c>
      <c r="P337" t="str">
        <f>+VLOOKUP(O337,X:Y,2,0)</f>
        <v>Julio</v>
      </c>
    </row>
    <row r="338" spans="3:16" x14ac:dyDescent="0.35">
      <c r="C338" t="s">
        <v>14</v>
      </c>
      <c r="D338">
        <v>53051501</v>
      </c>
      <c r="E338" t="s">
        <v>1308</v>
      </c>
      <c r="F338" s="29">
        <v>72800</v>
      </c>
      <c r="G338" t="s">
        <v>1235</v>
      </c>
      <c r="H338" s="2">
        <v>45869</v>
      </c>
      <c r="I338" t="s">
        <v>1236</v>
      </c>
      <c r="J338" t="s">
        <v>1236</v>
      </c>
      <c r="K338" t="s">
        <v>40</v>
      </c>
      <c r="O338">
        <f t="shared" si="6"/>
        <v>7</v>
      </c>
      <c r="P338" t="str">
        <f>+VLOOKUP(O338,X:Y,2,0)</f>
        <v>Julio</v>
      </c>
    </row>
    <row r="339" spans="3:16" x14ac:dyDescent="0.35">
      <c r="C339" t="s">
        <v>14</v>
      </c>
      <c r="D339">
        <v>53051501</v>
      </c>
      <c r="E339" t="s">
        <v>1308</v>
      </c>
      <c r="F339" s="29">
        <v>1868949</v>
      </c>
      <c r="G339" t="s">
        <v>1237</v>
      </c>
      <c r="H339" s="2">
        <v>45869</v>
      </c>
      <c r="I339" t="s">
        <v>1238</v>
      </c>
      <c r="J339" t="s">
        <v>1238</v>
      </c>
      <c r="K339" t="s">
        <v>19</v>
      </c>
      <c r="O339">
        <f t="shared" si="6"/>
        <v>7</v>
      </c>
      <c r="P339" t="str">
        <f>+VLOOKUP(O339,X:Y,2,0)</f>
        <v>Julio</v>
      </c>
    </row>
    <row r="340" spans="3:16" x14ac:dyDescent="0.35">
      <c r="C340" t="s">
        <v>14</v>
      </c>
      <c r="D340">
        <v>53051501</v>
      </c>
      <c r="E340" t="s">
        <v>1308</v>
      </c>
      <c r="F340" s="29">
        <v>73668</v>
      </c>
      <c r="G340" t="s">
        <v>1239</v>
      </c>
      <c r="H340" s="2">
        <v>45869</v>
      </c>
      <c r="I340" t="s">
        <v>1240</v>
      </c>
      <c r="J340" t="s">
        <v>1240</v>
      </c>
      <c r="K340" t="s">
        <v>19</v>
      </c>
      <c r="O340">
        <f t="shared" si="6"/>
        <v>7</v>
      </c>
      <c r="P340" t="str">
        <f>+VLOOKUP(O340,X:Y,2,0)</f>
        <v>Julio</v>
      </c>
    </row>
    <row r="341" spans="3:16" x14ac:dyDescent="0.35">
      <c r="C341" t="s">
        <v>14</v>
      </c>
      <c r="D341">
        <v>53051501</v>
      </c>
      <c r="E341" t="s">
        <v>1308</v>
      </c>
      <c r="F341" s="29">
        <v>188536.4</v>
      </c>
      <c r="G341" t="s">
        <v>1241</v>
      </c>
      <c r="H341" s="2">
        <v>45869</v>
      </c>
      <c r="I341" t="s">
        <v>1242</v>
      </c>
      <c r="J341" t="s">
        <v>1242</v>
      </c>
      <c r="K341" t="s">
        <v>1512</v>
      </c>
      <c r="O341">
        <f t="shared" si="6"/>
        <v>7</v>
      </c>
      <c r="P341" t="str">
        <f>+VLOOKUP(O341,X:Y,2,0)</f>
        <v>Julio</v>
      </c>
    </row>
    <row r="342" spans="3:16" x14ac:dyDescent="0.35">
      <c r="C342" t="s">
        <v>14</v>
      </c>
      <c r="D342">
        <v>53051501</v>
      </c>
      <c r="E342" t="s">
        <v>1308</v>
      </c>
      <c r="F342" s="30">
        <v>2987449.3</v>
      </c>
      <c r="G342" s="31" t="s">
        <v>1243</v>
      </c>
      <c r="H342" s="32">
        <v>45869</v>
      </c>
      <c r="I342" s="31" t="s">
        <v>1244</v>
      </c>
      <c r="J342" s="31" t="s">
        <v>1244</v>
      </c>
      <c r="K342" t="s">
        <v>29</v>
      </c>
      <c r="O342">
        <f t="shared" si="6"/>
        <v>7</v>
      </c>
      <c r="P342" t="str">
        <f>+VLOOKUP(O342,X:Y,2,0)</f>
        <v>Julio</v>
      </c>
    </row>
    <row r="343" spans="3:16" x14ac:dyDescent="0.35">
      <c r="C343" t="s">
        <v>14</v>
      </c>
      <c r="D343">
        <v>53051501</v>
      </c>
      <c r="E343" t="s">
        <v>1308</v>
      </c>
      <c r="F343" s="30">
        <v>1329982.8</v>
      </c>
      <c r="G343" s="31" t="s">
        <v>1245</v>
      </c>
      <c r="H343" s="32">
        <v>45869</v>
      </c>
      <c r="I343" s="31" t="s">
        <v>1246</v>
      </c>
      <c r="J343" s="31" t="s">
        <v>1246</v>
      </c>
      <c r="K343" t="s">
        <v>29</v>
      </c>
      <c r="O343">
        <f t="shared" si="6"/>
        <v>7</v>
      </c>
      <c r="P343" t="str">
        <f>+VLOOKUP(O343,X:Y,2,0)</f>
        <v>Julio</v>
      </c>
    </row>
    <row r="344" spans="3:16" x14ac:dyDescent="0.35">
      <c r="C344" t="s">
        <v>14</v>
      </c>
      <c r="D344">
        <v>53051501</v>
      </c>
      <c r="E344" t="s">
        <v>1308</v>
      </c>
      <c r="F344" s="29">
        <v>226664.59</v>
      </c>
      <c r="G344" t="s">
        <v>1247</v>
      </c>
      <c r="H344" s="2">
        <v>45869</v>
      </c>
      <c r="I344" t="s">
        <v>1248</v>
      </c>
      <c r="J344" t="s">
        <v>1248</v>
      </c>
      <c r="K344" t="s">
        <v>46</v>
      </c>
      <c r="O344">
        <f t="shared" si="6"/>
        <v>7</v>
      </c>
      <c r="P344" t="str">
        <f>+VLOOKUP(O344,X:Y,2,0)</f>
        <v>Julio</v>
      </c>
    </row>
    <row r="345" spans="3:16" x14ac:dyDescent="0.35">
      <c r="C345" t="s">
        <v>14</v>
      </c>
      <c r="D345">
        <v>53051501</v>
      </c>
      <c r="E345" t="s">
        <v>1308</v>
      </c>
      <c r="F345" s="29">
        <v>85000</v>
      </c>
      <c r="G345" t="s">
        <v>1249</v>
      </c>
      <c r="H345" s="2">
        <v>45869</v>
      </c>
      <c r="I345" t="s">
        <v>1250</v>
      </c>
      <c r="J345" t="s">
        <v>1250</v>
      </c>
      <c r="K345" t="s">
        <v>534</v>
      </c>
      <c r="O345">
        <f t="shared" si="6"/>
        <v>7</v>
      </c>
      <c r="P345" t="str">
        <f>+VLOOKUP(O345,X:Y,2,0)</f>
        <v>Julio</v>
      </c>
    </row>
    <row r="346" spans="3:16" x14ac:dyDescent="0.35">
      <c r="C346" t="s">
        <v>14</v>
      </c>
      <c r="D346">
        <v>53051501</v>
      </c>
      <c r="E346" t="s">
        <v>1308</v>
      </c>
      <c r="F346" s="29">
        <v>940430.25</v>
      </c>
      <c r="G346" t="s">
        <v>1251</v>
      </c>
      <c r="H346" s="2">
        <v>45869</v>
      </c>
      <c r="I346" t="s">
        <v>1252</v>
      </c>
      <c r="J346" t="s">
        <v>1252</v>
      </c>
      <c r="K346" t="s">
        <v>167</v>
      </c>
      <c r="O346">
        <f t="shared" si="6"/>
        <v>7</v>
      </c>
      <c r="P346" t="str">
        <f>+VLOOKUP(O346,X:Y,2,0)</f>
        <v>Julio</v>
      </c>
    </row>
    <row r="347" spans="3:16" x14ac:dyDescent="0.35">
      <c r="C347" t="s">
        <v>14</v>
      </c>
      <c r="D347">
        <v>53051501</v>
      </c>
      <c r="E347" t="s">
        <v>1308</v>
      </c>
      <c r="F347" s="29">
        <v>5300</v>
      </c>
      <c r="G347" t="s">
        <v>1253</v>
      </c>
      <c r="H347" s="2">
        <v>45869</v>
      </c>
      <c r="I347" t="s">
        <v>1254</v>
      </c>
      <c r="J347" t="s">
        <v>1254</v>
      </c>
      <c r="K347" t="s">
        <v>25</v>
      </c>
      <c r="O347">
        <f t="shared" si="6"/>
        <v>7</v>
      </c>
      <c r="P347" t="str">
        <f>+VLOOKUP(O347,X:Y,2,0)</f>
        <v>Julio</v>
      </c>
    </row>
    <row r="348" spans="3:16" x14ac:dyDescent="0.35">
      <c r="C348" t="s">
        <v>14</v>
      </c>
      <c r="D348">
        <v>53051501</v>
      </c>
      <c r="E348" t="s">
        <v>1308</v>
      </c>
      <c r="F348" s="29">
        <v>13140</v>
      </c>
      <c r="G348" t="s">
        <v>1255</v>
      </c>
      <c r="H348" s="2">
        <v>45869</v>
      </c>
      <c r="I348" t="s">
        <v>1256</v>
      </c>
      <c r="J348" t="s">
        <v>1256</v>
      </c>
      <c r="K348" t="s">
        <v>1527</v>
      </c>
      <c r="O348">
        <f t="shared" si="6"/>
        <v>7</v>
      </c>
      <c r="P348" t="str">
        <f>+VLOOKUP(O348,X:Y,2,0)</f>
        <v>Julio</v>
      </c>
    </row>
    <row r="349" spans="3:16" x14ac:dyDescent="0.35">
      <c r="C349" t="s">
        <v>14</v>
      </c>
      <c r="D349">
        <v>53051501</v>
      </c>
      <c r="E349" t="s">
        <v>1308</v>
      </c>
      <c r="F349" s="29">
        <v>14400</v>
      </c>
      <c r="G349" t="s">
        <v>1257</v>
      </c>
      <c r="H349" s="2">
        <v>45869</v>
      </c>
      <c r="I349" t="s">
        <v>1258</v>
      </c>
      <c r="J349" t="s">
        <v>1259</v>
      </c>
      <c r="K349" t="s">
        <v>167</v>
      </c>
      <c r="O349">
        <f t="shared" si="6"/>
        <v>7</v>
      </c>
      <c r="P349" t="str">
        <f>+VLOOKUP(O349,X:Y,2,0)</f>
        <v>Julio</v>
      </c>
    </row>
    <row r="350" spans="3:16" x14ac:dyDescent="0.35">
      <c r="C350" t="s">
        <v>14</v>
      </c>
      <c r="D350">
        <v>53051501</v>
      </c>
      <c r="E350" t="s">
        <v>1308</v>
      </c>
      <c r="F350" s="29">
        <v>-303166.67</v>
      </c>
      <c r="G350" t="s">
        <v>1262</v>
      </c>
      <c r="H350" s="2">
        <v>45869</v>
      </c>
      <c r="I350" t="s">
        <v>1263</v>
      </c>
      <c r="J350" t="s">
        <v>1263</v>
      </c>
      <c r="K350" t="s">
        <v>534</v>
      </c>
      <c r="O350">
        <f t="shared" si="6"/>
        <v>7</v>
      </c>
      <c r="P350" t="str">
        <f>+VLOOKUP(O350,X:Y,2,0)</f>
        <v>Julio</v>
      </c>
    </row>
    <row r="351" spans="3:16" x14ac:dyDescent="0.35">
      <c r="C351" t="s">
        <v>14</v>
      </c>
      <c r="D351">
        <v>53051501</v>
      </c>
      <c r="E351" t="s">
        <v>1308</v>
      </c>
      <c r="F351" s="29">
        <v>3529</v>
      </c>
      <c r="G351" t="s">
        <v>1274</v>
      </c>
      <c r="H351" s="2">
        <v>45869</v>
      </c>
      <c r="I351" t="s">
        <v>1269</v>
      </c>
      <c r="J351" t="s">
        <v>1269</v>
      </c>
      <c r="K351" t="s">
        <v>29</v>
      </c>
      <c r="O351">
        <f t="shared" si="6"/>
        <v>7</v>
      </c>
      <c r="P351" t="str">
        <f>+VLOOKUP(O351,X:Y,2,0)</f>
        <v>Julio</v>
      </c>
    </row>
    <row r="352" spans="3:16" x14ac:dyDescent="0.35">
      <c r="C352" t="s">
        <v>14</v>
      </c>
      <c r="D352">
        <v>53051501</v>
      </c>
      <c r="E352" s="34" t="s">
        <v>1427</v>
      </c>
      <c r="F352" s="29">
        <v>20175725</v>
      </c>
      <c r="G352" t="s">
        <v>1275</v>
      </c>
      <c r="H352" s="2">
        <v>45869</v>
      </c>
      <c r="I352" t="s">
        <v>1276</v>
      </c>
      <c r="J352" t="s">
        <v>1276</v>
      </c>
      <c r="K352" t="s">
        <v>1172</v>
      </c>
      <c r="O352">
        <f t="shared" si="6"/>
        <v>7</v>
      </c>
      <c r="P352" t="str">
        <f>+VLOOKUP(O352,X:Y,2,0)</f>
        <v>Julio</v>
      </c>
    </row>
    <row r="353" spans="3:16" x14ac:dyDescent="0.35">
      <c r="C353" t="s">
        <v>14</v>
      </c>
      <c r="D353">
        <v>53051501</v>
      </c>
      <c r="E353" t="s">
        <v>1308</v>
      </c>
      <c r="F353" s="29">
        <v>3529</v>
      </c>
      <c r="G353" t="s">
        <v>1277</v>
      </c>
      <c r="H353" s="2">
        <v>45869</v>
      </c>
      <c r="I353" t="s">
        <v>1269</v>
      </c>
      <c r="J353" t="s">
        <v>1269</v>
      </c>
      <c r="K353" t="s">
        <v>29</v>
      </c>
      <c r="O353">
        <f t="shared" si="6"/>
        <v>7</v>
      </c>
      <c r="P353" t="str">
        <f>+VLOOKUP(O353,X:Y,2,0)</f>
        <v>Julio</v>
      </c>
    </row>
    <row r="354" spans="3:16" x14ac:dyDescent="0.35">
      <c r="C354" t="s">
        <v>14</v>
      </c>
      <c r="D354">
        <v>53051502</v>
      </c>
      <c r="E354" t="s">
        <v>1309</v>
      </c>
      <c r="F354" s="29">
        <v>5765403</v>
      </c>
      <c r="G354" t="s">
        <v>1310</v>
      </c>
      <c r="H354" s="2">
        <v>45870</v>
      </c>
      <c r="I354" t="s">
        <v>1358</v>
      </c>
      <c r="J354" t="s">
        <v>1358</v>
      </c>
      <c r="K354" t="s">
        <v>1512</v>
      </c>
      <c r="O354">
        <f t="shared" si="6"/>
        <v>8</v>
      </c>
      <c r="P354" t="str">
        <f>+VLOOKUP(O354,X:Y,2,0)</f>
        <v>Agosto</v>
      </c>
    </row>
    <row r="355" spans="3:16" x14ac:dyDescent="0.35">
      <c r="C355" t="s">
        <v>14</v>
      </c>
      <c r="D355">
        <v>53051502</v>
      </c>
      <c r="E355" t="s">
        <v>1309</v>
      </c>
      <c r="F355" s="29">
        <v>9731470.4600000009</v>
      </c>
      <c r="G355" t="s">
        <v>1311</v>
      </c>
      <c r="H355" s="2">
        <v>45870</v>
      </c>
      <c r="I355" t="s">
        <v>1359</v>
      </c>
      <c r="J355" t="s">
        <v>1359</v>
      </c>
      <c r="K355" t="s">
        <v>40</v>
      </c>
      <c r="O355">
        <f t="shared" si="6"/>
        <v>8</v>
      </c>
      <c r="P355" t="str">
        <f>+VLOOKUP(O355,X:Y,2,0)</f>
        <v>Agosto</v>
      </c>
    </row>
    <row r="356" spans="3:16" x14ac:dyDescent="0.35">
      <c r="C356" t="s">
        <v>14</v>
      </c>
      <c r="D356">
        <v>53051501</v>
      </c>
      <c r="E356" t="s">
        <v>1308</v>
      </c>
      <c r="F356" s="29">
        <v>3529</v>
      </c>
      <c r="G356" t="s">
        <v>1312</v>
      </c>
      <c r="H356" s="2">
        <v>45873</v>
      </c>
      <c r="I356" t="s">
        <v>1360</v>
      </c>
      <c r="J356" t="s">
        <v>1360</v>
      </c>
      <c r="K356" t="s">
        <v>29</v>
      </c>
      <c r="O356">
        <f t="shared" si="6"/>
        <v>8</v>
      </c>
      <c r="P356" t="str">
        <f>+VLOOKUP(O356,X:Y,2,0)</f>
        <v>Agosto</v>
      </c>
    </row>
    <row r="357" spans="3:16" x14ac:dyDescent="0.35">
      <c r="C357" t="s">
        <v>14</v>
      </c>
      <c r="D357">
        <v>53051501</v>
      </c>
      <c r="E357" t="s">
        <v>1308</v>
      </c>
      <c r="F357" s="29">
        <v>3529</v>
      </c>
      <c r="G357" t="s">
        <v>1313</v>
      </c>
      <c r="H357" s="2">
        <v>45874</v>
      </c>
      <c r="I357" t="s">
        <v>1361</v>
      </c>
      <c r="J357" t="s">
        <v>1361</v>
      </c>
      <c r="K357" t="s">
        <v>29</v>
      </c>
      <c r="O357">
        <f t="shared" si="6"/>
        <v>8</v>
      </c>
      <c r="P357" t="str">
        <f>+VLOOKUP(O357,X:Y,2,0)</f>
        <v>Agosto</v>
      </c>
    </row>
    <row r="358" spans="3:16" x14ac:dyDescent="0.35">
      <c r="C358" t="s">
        <v>14</v>
      </c>
      <c r="D358">
        <v>53051501</v>
      </c>
      <c r="E358" t="s">
        <v>1308</v>
      </c>
      <c r="F358" s="29">
        <v>13140</v>
      </c>
      <c r="G358" t="s">
        <v>1314</v>
      </c>
      <c r="H358" s="2">
        <v>45875</v>
      </c>
      <c r="I358" t="s">
        <v>1362</v>
      </c>
      <c r="J358" t="s">
        <v>1362</v>
      </c>
      <c r="K358" t="s">
        <v>1527</v>
      </c>
      <c r="O358">
        <f t="shared" si="6"/>
        <v>8</v>
      </c>
      <c r="P358" t="str">
        <f>+VLOOKUP(O358,X:Y,2,0)</f>
        <v>Agosto</v>
      </c>
    </row>
    <row r="359" spans="3:16" x14ac:dyDescent="0.35">
      <c r="C359" t="s">
        <v>14</v>
      </c>
      <c r="D359">
        <v>53051502</v>
      </c>
      <c r="E359" t="s">
        <v>1309</v>
      </c>
      <c r="F359" s="29">
        <v>4659745.4800000004</v>
      </c>
      <c r="G359" t="s">
        <v>1315</v>
      </c>
      <c r="H359" s="2">
        <v>45880</v>
      </c>
      <c r="I359" t="s">
        <v>1363</v>
      </c>
      <c r="J359" t="s">
        <v>1363</v>
      </c>
      <c r="K359" t="s">
        <v>172</v>
      </c>
      <c r="O359">
        <f t="shared" si="6"/>
        <v>8</v>
      </c>
      <c r="P359" t="str">
        <f>+VLOOKUP(O359,X:Y,2,0)</f>
        <v>Agosto</v>
      </c>
    </row>
    <row r="360" spans="3:16" x14ac:dyDescent="0.35">
      <c r="C360" t="s">
        <v>14</v>
      </c>
      <c r="D360">
        <v>53051501</v>
      </c>
      <c r="E360" t="s">
        <v>1308</v>
      </c>
      <c r="F360" s="29">
        <v>3529</v>
      </c>
      <c r="G360" t="s">
        <v>1316</v>
      </c>
      <c r="H360" s="2">
        <v>45880</v>
      </c>
      <c r="I360" t="s">
        <v>1364</v>
      </c>
      <c r="J360" t="s">
        <v>1364</v>
      </c>
      <c r="K360" t="s">
        <v>29</v>
      </c>
      <c r="O360">
        <f t="shared" si="6"/>
        <v>8</v>
      </c>
      <c r="P360" t="str">
        <f>+VLOOKUP(O360,X:Y,2,0)</f>
        <v>Agosto</v>
      </c>
    </row>
    <row r="361" spans="3:16" x14ac:dyDescent="0.35">
      <c r="C361" t="s">
        <v>14</v>
      </c>
      <c r="D361">
        <v>53051502</v>
      </c>
      <c r="E361" t="s">
        <v>1309</v>
      </c>
      <c r="F361" s="29">
        <v>6696543.8799999999</v>
      </c>
      <c r="G361" t="s">
        <v>1317</v>
      </c>
      <c r="H361" s="2">
        <v>45881</v>
      </c>
      <c r="I361" t="s">
        <v>1365</v>
      </c>
      <c r="J361" t="s">
        <v>1365</v>
      </c>
      <c r="K361" t="s">
        <v>172</v>
      </c>
      <c r="O361">
        <f t="shared" si="6"/>
        <v>8</v>
      </c>
      <c r="P361" t="str">
        <f>+VLOOKUP(O361,X:Y,2,0)</f>
        <v>Agosto</v>
      </c>
    </row>
    <row r="362" spans="3:16" x14ac:dyDescent="0.35">
      <c r="C362" t="s">
        <v>14</v>
      </c>
      <c r="D362">
        <v>53051502</v>
      </c>
      <c r="E362" t="s">
        <v>1309</v>
      </c>
      <c r="F362" s="29">
        <v>12141321.060000001</v>
      </c>
      <c r="G362" t="s">
        <v>1318</v>
      </c>
      <c r="H362" s="2">
        <v>45881</v>
      </c>
      <c r="I362" t="s">
        <v>1366</v>
      </c>
      <c r="J362" t="s">
        <v>1366</v>
      </c>
      <c r="K362" t="s">
        <v>40</v>
      </c>
      <c r="O362">
        <f t="shared" si="6"/>
        <v>8</v>
      </c>
      <c r="P362" t="str">
        <f>+VLOOKUP(O362,X:Y,2,0)</f>
        <v>Agosto</v>
      </c>
    </row>
    <row r="363" spans="3:16" x14ac:dyDescent="0.35">
      <c r="C363" t="s">
        <v>14</v>
      </c>
      <c r="D363">
        <v>53051502</v>
      </c>
      <c r="E363" t="s">
        <v>1309</v>
      </c>
      <c r="F363" s="29">
        <v>4428310.1900000004</v>
      </c>
      <c r="G363" t="s">
        <v>1319</v>
      </c>
      <c r="H363" s="2">
        <v>45881</v>
      </c>
      <c r="I363" t="s">
        <v>1367</v>
      </c>
      <c r="J363" t="s">
        <v>1367</v>
      </c>
      <c r="K363" t="s">
        <v>40</v>
      </c>
      <c r="O363">
        <f t="shared" si="6"/>
        <v>8</v>
      </c>
      <c r="P363" t="str">
        <f>+VLOOKUP(O363,X:Y,2,0)</f>
        <v>Agosto</v>
      </c>
    </row>
    <row r="364" spans="3:16" x14ac:dyDescent="0.35">
      <c r="C364" t="s">
        <v>14</v>
      </c>
      <c r="D364">
        <v>53051501</v>
      </c>
      <c r="E364" t="s">
        <v>1308</v>
      </c>
      <c r="F364" s="29">
        <v>3529</v>
      </c>
      <c r="G364" t="s">
        <v>1320</v>
      </c>
      <c r="H364" s="2">
        <v>45881</v>
      </c>
      <c r="I364" t="s">
        <v>1368</v>
      </c>
      <c r="J364" t="s">
        <v>1368</v>
      </c>
      <c r="K364" t="s">
        <v>29</v>
      </c>
      <c r="O364">
        <f t="shared" si="6"/>
        <v>8</v>
      </c>
      <c r="P364" t="str">
        <f>+VLOOKUP(O364,X:Y,2,0)</f>
        <v>Agosto</v>
      </c>
    </row>
    <row r="365" spans="3:16" x14ac:dyDescent="0.35">
      <c r="C365" t="s">
        <v>14</v>
      </c>
      <c r="D365">
        <v>53051501</v>
      </c>
      <c r="E365" t="s">
        <v>1308</v>
      </c>
      <c r="F365" s="29">
        <v>3529</v>
      </c>
      <c r="G365" t="s">
        <v>1321</v>
      </c>
      <c r="H365" s="2">
        <v>45883</v>
      </c>
      <c r="I365" t="s">
        <v>208</v>
      </c>
      <c r="J365" t="s">
        <v>208</v>
      </c>
      <c r="K365" t="s">
        <v>29</v>
      </c>
      <c r="O365">
        <f t="shared" si="6"/>
        <v>8</v>
      </c>
      <c r="P365" t="str">
        <f>+VLOOKUP(O365,X:Y,2,0)</f>
        <v>Agosto</v>
      </c>
    </row>
    <row r="366" spans="3:16" x14ac:dyDescent="0.35">
      <c r="C366" t="s">
        <v>14</v>
      </c>
      <c r="D366">
        <v>53051502</v>
      </c>
      <c r="E366" t="s">
        <v>1309</v>
      </c>
      <c r="F366" s="29">
        <v>3048560.25</v>
      </c>
      <c r="G366" t="s">
        <v>1353</v>
      </c>
      <c r="H366" s="2">
        <v>45883</v>
      </c>
      <c r="I366" t="s">
        <v>1394</v>
      </c>
      <c r="J366" t="s">
        <v>1394</v>
      </c>
      <c r="K366" t="s">
        <v>1232</v>
      </c>
      <c r="O366">
        <f t="shared" si="6"/>
        <v>8</v>
      </c>
      <c r="P366" t="str">
        <f>+VLOOKUP(O366,X:Y,2,0)</f>
        <v>Agosto</v>
      </c>
    </row>
    <row r="367" spans="3:16" x14ac:dyDescent="0.35">
      <c r="C367" t="s">
        <v>14</v>
      </c>
      <c r="D367">
        <v>53051502</v>
      </c>
      <c r="E367" t="s">
        <v>1309</v>
      </c>
      <c r="F367" s="29">
        <v>2558188</v>
      </c>
      <c r="G367" t="s">
        <v>1322</v>
      </c>
      <c r="H367" s="2">
        <v>45884</v>
      </c>
      <c r="I367" t="s">
        <v>1369</v>
      </c>
      <c r="J367" t="s">
        <v>1369</v>
      </c>
      <c r="K367" t="s">
        <v>1512</v>
      </c>
      <c r="O367">
        <f t="shared" si="6"/>
        <v>8</v>
      </c>
      <c r="P367" t="str">
        <f>+VLOOKUP(O367,X:Y,2,0)</f>
        <v>Agosto</v>
      </c>
    </row>
    <row r="368" spans="3:16" x14ac:dyDescent="0.35">
      <c r="C368" t="s">
        <v>14</v>
      </c>
      <c r="D368">
        <v>53051501</v>
      </c>
      <c r="E368" t="s">
        <v>1308</v>
      </c>
      <c r="F368" s="29">
        <v>3529</v>
      </c>
      <c r="G368" t="s">
        <v>1323</v>
      </c>
      <c r="H368" s="2">
        <v>45890</v>
      </c>
      <c r="I368" t="s">
        <v>155</v>
      </c>
      <c r="J368" t="s">
        <v>155</v>
      </c>
      <c r="K368" t="s">
        <v>29</v>
      </c>
      <c r="O368">
        <f t="shared" si="6"/>
        <v>8</v>
      </c>
      <c r="P368" t="str">
        <f>+VLOOKUP(O368,X:Y,2,0)</f>
        <v>Agosto</v>
      </c>
    </row>
    <row r="369" spans="3:16" x14ac:dyDescent="0.35">
      <c r="C369" t="s">
        <v>14</v>
      </c>
      <c r="D369">
        <v>53051502</v>
      </c>
      <c r="E369" t="s">
        <v>1309</v>
      </c>
      <c r="F369" s="29">
        <v>2495690</v>
      </c>
      <c r="G369" t="s">
        <v>1354</v>
      </c>
      <c r="H369" s="2">
        <v>45891</v>
      </c>
      <c r="I369" t="s">
        <v>1395</v>
      </c>
      <c r="J369" t="s">
        <v>1395</v>
      </c>
      <c r="K369" t="s">
        <v>1512</v>
      </c>
      <c r="O369">
        <f t="shared" si="6"/>
        <v>8</v>
      </c>
      <c r="P369" t="str">
        <f>+VLOOKUP(O369,X:Y,2,0)</f>
        <v>Agosto</v>
      </c>
    </row>
    <row r="370" spans="3:16" x14ac:dyDescent="0.35">
      <c r="C370" t="s">
        <v>14</v>
      </c>
      <c r="D370">
        <v>53051501</v>
      </c>
      <c r="E370" t="s">
        <v>1308</v>
      </c>
      <c r="F370" s="29">
        <v>3529</v>
      </c>
      <c r="G370" t="s">
        <v>1324</v>
      </c>
      <c r="H370" s="2">
        <v>45894</v>
      </c>
      <c r="I370" t="s">
        <v>155</v>
      </c>
      <c r="J370" t="s">
        <v>155</v>
      </c>
      <c r="K370" t="s">
        <v>29</v>
      </c>
      <c r="O370">
        <f t="shared" si="6"/>
        <v>8</v>
      </c>
      <c r="P370" t="str">
        <f>+VLOOKUP(O370,X:Y,2,0)</f>
        <v>Agosto</v>
      </c>
    </row>
    <row r="371" spans="3:16" x14ac:dyDescent="0.35">
      <c r="C371" t="s">
        <v>14</v>
      </c>
      <c r="D371">
        <v>53051501</v>
      </c>
      <c r="E371" t="s">
        <v>1308</v>
      </c>
      <c r="F371" s="29">
        <v>1942617</v>
      </c>
      <c r="G371" t="s">
        <v>1325</v>
      </c>
      <c r="H371" s="2">
        <v>45896</v>
      </c>
      <c r="I371" t="s">
        <v>1370</v>
      </c>
      <c r="J371" t="s">
        <v>1370</v>
      </c>
      <c r="K371" t="s">
        <v>19</v>
      </c>
      <c r="O371">
        <f t="shared" si="6"/>
        <v>8</v>
      </c>
      <c r="P371" t="str">
        <f>+VLOOKUP(O371,X:Y,2,0)</f>
        <v>Agosto</v>
      </c>
    </row>
    <row r="372" spans="3:16" x14ac:dyDescent="0.35">
      <c r="C372" t="s">
        <v>14</v>
      </c>
      <c r="D372">
        <v>53051501</v>
      </c>
      <c r="E372" t="s">
        <v>1308</v>
      </c>
      <c r="F372" s="29">
        <v>244750</v>
      </c>
      <c r="G372" t="s">
        <v>1326</v>
      </c>
      <c r="H372" s="2">
        <v>45896</v>
      </c>
      <c r="I372" t="s">
        <v>1371</v>
      </c>
      <c r="J372" t="s">
        <v>1371</v>
      </c>
      <c r="K372" t="s">
        <v>534</v>
      </c>
      <c r="O372">
        <f t="shared" si="6"/>
        <v>8</v>
      </c>
      <c r="P372" t="str">
        <f>+VLOOKUP(O372,X:Y,2,0)</f>
        <v>Agosto</v>
      </c>
    </row>
    <row r="373" spans="3:16" x14ac:dyDescent="0.35">
      <c r="C373" t="s">
        <v>14</v>
      </c>
      <c r="D373">
        <v>53051501</v>
      </c>
      <c r="E373" t="s">
        <v>1308</v>
      </c>
      <c r="F373" s="29">
        <v>7168113.8499999996</v>
      </c>
      <c r="G373" t="s">
        <v>1327</v>
      </c>
      <c r="H373" s="2">
        <v>45896</v>
      </c>
      <c r="I373" t="s">
        <v>1371</v>
      </c>
      <c r="J373" t="s">
        <v>1371</v>
      </c>
      <c r="K373" t="s">
        <v>29</v>
      </c>
      <c r="O373">
        <f t="shared" si="6"/>
        <v>8</v>
      </c>
      <c r="P373" t="str">
        <f>+VLOOKUP(O373,X:Y,2,0)</f>
        <v>Agosto</v>
      </c>
    </row>
    <row r="374" spans="3:16" x14ac:dyDescent="0.35">
      <c r="C374" t="s">
        <v>14</v>
      </c>
      <c r="D374">
        <v>53051501</v>
      </c>
      <c r="E374" t="s">
        <v>1308</v>
      </c>
      <c r="F374" s="29">
        <v>11075220.4</v>
      </c>
      <c r="G374" t="s">
        <v>1328</v>
      </c>
      <c r="H374" s="2">
        <v>45896</v>
      </c>
      <c r="I374" t="s">
        <v>1371</v>
      </c>
      <c r="J374" t="s">
        <v>1371</v>
      </c>
      <c r="K374" t="s">
        <v>1512</v>
      </c>
      <c r="O374">
        <f t="shared" si="6"/>
        <v>8</v>
      </c>
      <c r="P374" t="str">
        <f>+VLOOKUP(O374,X:Y,2,0)</f>
        <v>Agosto</v>
      </c>
    </row>
    <row r="375" spans="3:16" x14ac:dyDescent="0.35">
      <c r="C375" t="s">
        <v>14</v>
      </c>
      <c r="D375">
        <v>53051501</v>
      </c>
      <c r="E375" t="s">
        <v>1308</v>
      </c>
      <c r="F375" s="29">
        <v>22740</v>
      </c>
      <c r="G375" t="s">
        <v>1329</v>
      </c>
      <c r="H375" s="2">
        <v>45896</v>
      </c>
      <c r="I375" t="s">
        <v>1371</v>
      </c>
      <c r="J375" t="s">
        <v>1371</v>
      </c>
      <c r="K375" t="s">
        <v>1527</v>
      </c>
      <c r="O375">
        <f t="shared" si="6"/>
        <v>8</v>
      </c>
      <c r="P375" t="str">
        <f>+VLOOKUP(O375,X:Y,2,0)</f>
        <v>Agosto</v>
      </c>
    </row>
    <row r="376" spans="3:16" x14ac:dyDescent="0.35">
      <c r="C376" t="s">
        <v>14</v>
      </c>
      <c r="D376">
        <v>53051501</v>
      </c>
      <c r="E376" t="s">
        <v>1308</v>
      </c>
      <c r="F376" s="29">
        <v>5300</v>
      </c>
      <c r="G376" t="s">
        <v>1330</v>
      </c>
      <c r="H376" s="2">
        <v>45896</v>
      </c>
      <c r="I376" t="s">
        <v>1371</v>
      </c>
      <c r="J376" t="s">
        <v>1371</v>
      </c>
      <c r="K376" t="s">
        <v>25</v>
      </c>
      <c r="O376">
        <f t="shared" si="6"/>
        <v>8</v>
      </c>
      <c r="P376" t="str">
        <f>+VLOOKUP(O376,X:Y,2,0)</f>
        <v>Agosto</v>
      </c>
    </row>
    <row r="377" spans="3:16" x14ac:dyDescent="0.35">
      <c r="C377" t="s">
        <v>14</v>
      </c>
      <c r="D377">
        <v>53051501</v>
      </c>
      <c r="E377" t="s">
        <v>1308</v>
      </c>
      <c r="F377" s="29">
        <v>42900</v>
      </c>
      <c r="G377" t="s">
        <v>1331</v>
      </c>
      <c r="H377" s="2">
        <v>45896</v>
      </c>
      <c r="I377" t="s">
        <v>1371</v>
      </c>
      <c r="J377" t="s">
        <v>1371</v>
      </c>
      <c r="K377" t="s">
        <v>138</v>
      </c>
      <c r="O377">
        <f t="shared" si="6"/>
        <v>8</v>
      </c>
      <c r="P377" t="str">
        <f>+VLOOKUP(O377,X:Y,2,0)</f>
        <v>Agosto</v>
      </c>
    </row>
    <row r="378" spans="3:16" x14ac:dyDescent="0.35">
      <c r="C378" t="s">
        <v>14</v>
      </c>
      <c r="D378">
        <v>53051501</v>
      </c>
      <c r="E378" t="s">
        <v>1308</v>
      </c>
      <c r="F378" s="29">
        <v>19666013.809999999</v>
      </c>
      <c r="G378" t="s">
        <v>1332</v>
      </c>
      <c r="H378" s="2">
        <v>45896</v>
      </c>
      <c r="I378" t="s">
        <v>1371</v>
      </c>
      <c r="J378" t="s">
        <v>1371</v>
      </c>
      <c r="K378" t="s">
        <v>40</v>
      </c>
      <c r="O378">
        <f t="shared" si="6"/>
        <v>8</v>
      </c>
      <c r="P378" t="str">
        <f>+VLOOKUP(O378,X:Y,2,0)</f>
        <v>Agosto</v>
      </c>
    </row>
    <row r="379" spans="3:16" x14ac:dyDescent="0.35">
      <c r="C379" t="s">
        <v>14</v>
      </c>
      <c r="D379">
        <v>53051501</v>
      </c>
      <c r="E379" t="s">
        <v>1308</v>
      </c>
      <c r="F379" s="29">
        <v>3558750</v>
      </c>
      <c r="G379" t="s">
        <v>1333</v>
      </c>
      <c r="H379" s="2">
        <v>45896</v>
      </c>
      <c r="I379" t="s">
        <v>1371</v>
      </c>
      <c r="J379" t="s">
        <v>1371</v>
      </c>
      <c r="K379" t="s">
        <v>44</v>
      </c>
      <c r="O379">
        <f t="shared" si="6"/>
        <v>8</v>
      </c>
      <c r="P379" t="str">
        <f>+VLOOKUP(O379,X:Y,2,0)</f>
        <v>Agosto</v>
      </c>
    </row>
    <row r="380" spans="3:16" x14ac:dyDescent="0.35">
      <c r="C380" t="s">
        <v>14</v>
      </c>
      <c r="D380">
        <v>53051501</v>
      </c>
      <c r="E380" t="s">
        <v>1308</v>
      </c>
      <c r="F380" s="29">
        <v>226664.59</v>
      </c>
      <c r="G380" t="s">
        <v>1334</v>
      </c>
      <c r="H380" s="2">
        <v>45896</v>
      </c>
      <c r="I380" t="s">
        <v>1371</v>
      </c>
      <c r="J380" t="s">
        <v>1371</v>
      </c>
      <c r="K380" t="s">
        <v>46</v>
      </c>
      <c r="O380">
        <f t="shared" si="6"/>
        <v>8</v>
      </c>
      <c r="P380" t="str">
        <f>+VLOOKUP(O380,X:Y,2,0)</f>
        <v>Agosto</v>
      </c>
    </row>
    <row r="381" spans="3:16" x14ac:dyDescent="0.35">
      <c r="C381" t="s">
        <v>14</v>
      </c>
      <c r="D381">
        <v>53051501</v>
      </c>
      <c r="E381" t="s">
        <v>1308</v>
      </c>
      <c r="F381" s="29">
        <v>954830.25</v>
      </c>
      <c r="G381" t="s">
        <v>1335</v>
      </c>
      <c r="H381" s="2">
        <v>45896</v>
      </c>
      <c r="I381" t="s">
        <v>1371</v>
      </c>
      <c r="J381" t="s">
        <v>1371</v>
      </c>
      <c r="K381" t="s">
        <v>167</v>
      </c>
      <c r="O381">
        <f t="shared" si="6"/>
        <v>8</v>
      </c>
      <c r="P381" t="str">
        <f>+VLOOKUP(O381,X:Y,2,0)</f>
        <v>Agosto</v>
      </c>
    </row>
    <row r="382" spans="3:16" x14ac:dyDescent="0.35">
      <c r="C382" t="s">
        <v>14</v>
      </c>
      <c r="D382">
        <v>53051501</v>
      </c>
      <c r="E382" t="s">
        <v>1308</v>
      </c>
      <c r="F382" s="29">
        <v>3558750</v>
      </c>
      <c r="G382" t="s">
        <v>1336</v>
      </c>
      <c r="H382" s="2">
        <v>45896</v>
      </c>
      <c r="I382" t="s">
        <v>1372</v>
      </c>
      <c r="J382" t="s">
        <v>1372</v>
      </c>
      <c r="K382" t="s">
        <v>44</v>
      </c>
      <c r="O382">
        <f t="shared" si="6"/>
        <v>8</v>
      </c>
      <c r="P382" t="str">
        <f>+VLOOKUP(O382,X:Y,2,0)</f>
        <v>Agosto</v>
      </c>
    </row>
    <row r="383" spans="3:16" x14ac:dyDescent="0.35">
      <c r="C383" t="s">
        <v>14</v>
      </c>
      <c r="D383">
        <v>53051501</v>
      </c>
      <c r="E383" t="s">
        <v>1308</v>
      </c>
      <c r="F383" s="29">
        <v>931558</v>
      </c>
      <c r="G383" t="s">
        <v>1337</v>
      </c>
      <c r="H383" s="2">
        <v>45896</v>
      </c>
      <c r="I383" t="s">
        <v>1373</v>
      </c>
      <c r="J383" t="s">
        <v>1373</v>
      </c>
      <c r="K383" t="s">
        <v>29</v>
      </c>
      <c r="O383">
        <f t="shared" si="6"/>
        <v>8</v>
      </c>
      <c r="P383" t="str">
        <f>+VLOOKUP(O383,X:Y,2,0)</f>
        <v>Agosto</v>
      </c>
    </row>
    <row r="384" spans="3:16" x14ac:dyDescent="0.35">
      <c r="C384" t="s">
        <v>14</v>
      </c>
      <c r="D384">
        <v>53051501</v>
      </c>
      <c r="E384" t="s">
        <v>1308</v>
      </c>
      <c r="F384" s="29">
        <v>-22740</v>
      </c>
      <c r="G384" t="s">
        <v>1338</v>
      </c>
      <c r="H384" s="2">
        <v>45896</v>
      </c>
      <c r="I384" t="s">
        <v>1374</v>
      </c>
      <c r="J384" t="s">
        <v>1374</v>
      </c>
      <c r="K384" t="s">
        <v>1527</v>
      </c>
      <c r="O384">
        <f t="shared" si="6"/>
        <v>8</v>
      </c>
      <c r="P384" t="str">
        <f>+VLOOKUP(O384,X:Y,2,0)</f>
        <v>Agosto</v>
      </c>
    </row>
    <row r="385" spans="3:16" x14ac:dyDescent="0.35">
      <c r="C385" t="s">
        <v>14</v>
      </c>
      <c r="D385">
        <v>53051501</v>
      </c>
      <c r="E385" t="s">
        <v>1308</v>
      </c>
      <c r="F385" s="29">
        <v>-3558750</v>
      </c>
      <c r="G385" t="s">
        <v>1338</v>
      </c>
      <c r="H385" s="2">
        <v>45896</v>
      </c>
      <c r="I385" t="s">
        <v>1374</v>
      </c>
      <c r="J385" t="s">
        <v>1374</v>
      </c>
      <c r="K385" t="s">
        <v>44</v>
      </c>
      <c r="O385">
        <f t="shared" si="6"/>
        <v>8</v>
      </c>
      <c r="P385" t="str">
        <f>+VLOOKUP(O385,X:Y,2,0)</f>
        <v>Agosto</v>
      </c>
    </row>
    <row r="386" spans="3:16" x14ac:dyDescent="0.35">
      <c r="C386" t="s">
        <v>14</v>
      </c>
      <c r="D386">
        <v>53051501</v>
      </c>
      <c r="E386" t="s">
        <v>1308</v>
      </c>
      <c r="F386" s="29">
        <v>-1942617</v>
      </c>
      <c r="G386" t="s">
        <v>1338</v>
      </c>
      <c r="H386" s="2">
        <v>45896</v>
      </c>
      <c r="I386" t="s">
        <v>1374</v>
      </c>
      <c r="J386" t="s">
        <v>1374</v>
      </c>
      <c r="K386" t="s">
        <v>19</v>
      </c>
      <c r="O386">
        <f t="shared" si="6"/>
        <v>8</v>
      </c>
      <c r="P386" t="str">
        <f>+VLOOKUP(O386,X:Y,2,0)</f>
        <v>Agosto</v>
      </c>
    </row>
    <row r="387" spans="3:16" x14ac:dyDescent="0.35">
      <c r="C387" t="s">
        <v>14</v>
      </c>
      <c r="D387">
        <v>53051501</v>
      </c>
      <c r="E387" t="s">
        <v>1308</v>
      </c>
      <c r="F387" s="29">
        <v>-19666013.809999999</v>
      </c>
      <c r="G387" t="s">
        <v>1338</v>
      </c>
      <c r="H387" s="2">
        <v>45896</v>
      </c>
      <c r="I387" t="s">
        <v>1374</v>
      </c>
      <c r="J387" t="s">
        <v>1374</v>
      </c>
      <c r="K387" t="s">
        <v>40</v>
      </c>
      <c r="O387">
        <f t="shared" si="6"/>
        <v>8</v>
      </c>
      <c r="P387" t="str">
        <f>+VLOOKUP(O387,X:Y,2,0)</f>
        <v>Agosto</v>
      </c>
    </row>
    <row r="388" spans="3:16" x14ac:dyDescent="0.35">
      <c r="C388" t="s">
        <v>14</v>
      </c>
      <c r="D388">
        <v>53051501</v>
      </c>
      <c r="E388" t="s">
        <v>1308</v>
      </c>
      <c r="F388" s="29">
        <v>-5300</v>
      </c>
      <c r="G388" t="s">
        <v>1338</v>
      </c>
      <c r="H388" s="2">
        <v>45896</v>
      </c>
      <c r="I388" t="s">
        <v>1374</v>
      </c>
      <c r="J388" t="s">
        <v>1374</v>
      </c>
      <c r="K388" t="s">
        <v>25</v>
      </c>
      <c r="O388">
        <f t="shared" si="6"/>
        <v>8</v>
      </c>
      <c r="P388" t="str">
        <f>+VLOOKUP(O388,X:Y,2,0)</f>
        <v>Agosto</v>
      </c>
    </row>
    <row r="389" spans="3:16" x14ac:dyDescent="0.35">
      <c r="C389" t="s">
        <v>14</v>
      </c>
      <c r="D389">
        <v>53051501</v>
      </c>
      <c r="E389" t="s">
        <v>1308</v>
      </c>
      <c r="F389" s="29">
        <v>-11075220.4</v>
      </c>
      <c r="G389" t="s">
        <v>1338</v>
      </c>
      <c r="H389" s="2">
        <v>45896</v>
      </c>
      <c r="I389" t="s">
        <v>1374</v>
      </c>
      <c r="J389" t="s">
        <v>1374</v>
      </c>
      <c r="K389" t="s">
        <v>1512</v>
      </c>
      <c r="O389">
        <f t="shared" si="6"/>
        <v>8</v>
      </c>
      <c r="P389" t="str">
        <f>+VLOOKUP(O389,X:Y,2,0)</f>
        <v>Agosto</v>
      </c>
    </row>
    <row r="390" spans="3:16" x14ac:dyDescent="0.35">
      <c r="C390" t="s">
        <v>14</v>
      </c>
      <c r="D390">
        <v>53051501</v>
      </c>
      <c r="E390" t="s">
        <v>1308</v>
      </c>
      <c r="F390" s="29">
        <v>-42900</v>
      </c>
      <c r="G390" t="s">
        <v>1338</v>
      </c>
      <c r="H390" s="2">
        <v>45896</v>
      </c>
      <c r="I390" t="s">
        <v>1374</v>
      </c>
      <c r="J390" t="s">
        <v>1374</v>
      </c>
      <c r="K390" t="s">
        <v>138</v>
      </c>
      <c r="O390">
        <f t="shared" si="6"/>
        <v>8</v>
      </c>
      <c r="P390" t="str">
        <f>+VLOOKUP(O390,X:Y,2,0)</f>
        <v>Agosto</v>
      </c>
    </row>
    <row r="391" spans="3:16" x14ac:dyDescent="0.35">
      <c r="C391" t="s">
        <v>14</v>
      </c>
      <c r="D391">
        <v>53051501</v>
      </c>
      <c r="E391" t="s">
        <v>1308</v>
      </c>
      <c r="F391" s="29">
        <v>-244750</v>
      </c>
      <c r="G391" t="s">
        <v>1338</v>
      </c>
      <c r="H391" s="2">
        <v>45896</v>
      </c>
      <c r="I391" t="s">
        <v>1374</v>
      </c>
      <c r="J391" t="s">
        <v>1374</v>
      </c>
      <c r="K391" t="s">
        <v>534</v>
      </c>
      <c r="O391">
        <f t="shared" si="6"/>
        <v>8</v>
      </c>
      <c r="P391" t="str">
        <f>+VLOOKUP(O391,X:Y,2,0)</f>
        <v>Agosto</v>
      </c>
    </row>
    <row r="392" spans="3:16" x14ac:dyDescent="0.35">
      <c r="C392" t="s">
        <v>14</v>
      </c>
      <c r="D392">
        <v>53051501</v>
      </c>
      <c r="E392" t="s">
        <v>1308</v>
      </c>
      <c r="F392" s="29">
        <v>-954830.25</v>
      </c>
      <c r="G392" t="s">
        <v>1338</v>
      </c>
      <c r="H392" s="2">
        <v>45896</v>
      </c>
      <c r="I392" t="s">
        <v>1374</v>
      </c>
      <c r="J392" t="s">
        <v>1374</v>
      </c>
      <c r="K392" t="s">
        <v>167</v>
      </c>
      <c r="O392">
        <f t="shared" si="6"/>
        <v>8</v>
      </c>
      <c r="P392" t="str">
        <f>+VLOOKUP(O392,X:Y,2,0)</f>
        <v>Agosto</v>
      </c>
    </row>
    <row r="393" spans="3:16" x14ac:dyDescent="0.35">
      <c r="C393" t="s">
        <v>14</v>
      </c>
      <c r="D393">
        <v>53051501</v>
      </c>
      <c r="E393" t="s">
        <v>1308</v>
      </c>
      <c r="F393" s="29">
        <v>-7168113.8499999996</v>
      </c>
      <c r="G393" t="s">
        <v>1338</v>
      </c>
      <c r="H393" s="2">
        <v>45896</v>
      </c>
      <c r="I393" t="s">
        <v>1374</v>
      </c>
      <c r="J393" t="s">
        <v>1374</v>
      </c>
      <c r="K393" t="s">
        <v>29</v>
      </c>
      <c r="O393">
        <f t="shared" si="6"/>
        <v>8</v>
      </c>
      <c r="P393" t="str">
        <f>+VLOOKUP(O393,X:Y,2,0)</f>
        <v>Agosto</v>
      </c>
    </row>
    <row r="394" spans="3:16" x14ac:dyDescent="0.35">
      <c r="C394" t="s">
        <v>14</v>
      </c>
      <c r="D394">
        <v>53051501</v>
      </c>
      <c r="E394" t="s">
        <v>1308</v>
      </c>
      <c r="F394" s="29">
        <v>-226664.59</v>
      </c>
      <c r="G394" t="s">
        <v>1338</v>
      </c>
      <c r="H394" s="2">
        <v>45896</v>
      </c>
      <c r="I394" t="s">
        <v>1374</v>
      </c>
      <c r="J394" t="s">
        <v>1374</v>
      </c>
      <c r="K394" t="s">
        <v>46</v>
      </c>
      <c r="O394">
        <f t="shared" si="6"/>
        <v>8</v>
      </c>
      <c r="P394" t="str">
        <f>+VLOOKUP(O394,X:Y,2,0)</f>
        <v>Agosto</v>
      </c>
    </row>
    <row r="395" spans="3:16" x14ac:dyDescent="0.35">
      <c r="C395" t="s">
        <v>14</v>
      </c>
      <c r="D395">
        <v>53051502</v>
      </c>
      <c r="E395" t="s">
        <v>1309</v>
      </c>
      <c r="F395" s="29">
        <v>7004055.7800000003</v>
      </c>
      <c r="G395" t="s">
        <v>1355</v>
      </c>
      <c r="H395" s="2">
        <v>45896</v>
      </c>
      <c r="I395" t="s">
        <v>1396</v>
      </c>
      <c r="J395" t="s">
        <v>1396</v>
      </c>
      <c r="K395" t="s">
        <v>40</v>
      </c>
      <c r="O395">
        <f t="shared" si="6"/>
        <v>8</v>
      </c>
      <c r="P395" t="str">
        <f>+VLOOKUP(O395,X:Y,2,0)</f>
        <v>Agosto</v>
      </c>
    </row>
    <row r="396" spans="3:16" x14ac:dyDescent="0.35">
      <c r="C396" t="s">
        <v>14</v>
      </c>
      <c r="D396">
        <v>53051502</v>
      </c>
      <c r="E396" t="s">
        <v>1309</v>
      </c>
      <c r="F396" s="29">
        <v>3281477.9</v>
      </c>
      <c r="G396" t="s">
        <v>1356</v>
      </c>
      <c r="H396" s="2">
        <v>45896</v>
      </c>
      <c r="I396" t="s">
        <v>1397</v>
      </c>
      <c r="J396" t="s">
        <v>1397</v>
      </c>
      <c r="K396" t="s">
        <v>40</v>
      </c>
      <c r="O396">
        <f t="shared" si="6"/>
        <v>8</v>
      </c>
      <c r="P396" t="str">
        <f>+VLOOKUP(O396,X:Y,2,0)</f>
        <v>Agosto</v>
      </c>
    </row>
    <row r="397" spans="3:16" x14ac:dyDescent="0.35">
      <c r="C397" t="s">
        <v>14</v>
      </c>
      <c r="D397">
        <v>53051502</v>
      </c>
      <c r="E397" t="s">
        <v>1309</v>
      </c>
      <c r="F397" s="29">
        <v>14254636.27</v>
      </c>
      <c r="G397" t="s">
        <v>1357</v>
      </c>
      <c r="H397" s="2">
        <v>45897</v>
      </c>
      <c r="I397" t="s">
        <v>1398</v>
      </c>
      <c r="J397" t="s">
        <v>1398</v>
      </c>
      <c r="K397" t="s">
        <v>40</v>
      </c>
      <c r="O397">
        <f t="shared" ref="O397:O420" si="7">+MONTH(H397)</f>
        <v>8</v>
      </c>
      <c r="P397" t="str">
        <f>+VLOOKUP(O397,X:Y,2,0)</f>
        <v>Agosto</v>
      </c>
    </row>
    <row r="398" spans="3:16" x14ac:dyDescent="0.35">
      <c r="C398" t="s">
        <v>14</v>
      </c>
      <c r="D398">
        <v>53051501</v>
      </c>
      <c r="E398" t="s">
        <v>1308</v>
      </c>
      <c r="F398" s="29">
        <v>3529</v>
      </c>
      <c r="G398" t="s">
        <v>1339</v>
      </c>
      <c r="H398" s="2">
        <v>45898</v>
      </c>
      <c r="I398" t="s">
        <v>1360</v>
      </c>
      <c r="J398" t="s">
        <v>1360</v>
      </c>
      <c r="K398" t="s">
        <v>29</v>
      </c>
      <c r="O398">
        <f t="shared" si="7"/>
        <v>8</v>
      </c>
      <c r="P398" t="str">
        <f>+VLOOKUP(O398,X:Y,2,0)</f>
        <v>Agosto</v>
      </c>
    </row>
    <row r="399" spans="3:16" x14ac:dyDescent="0.35">
      <c r="C399" t="s">
        <v>14</v>
      </c>
      <c r="D399">
        <v>53051501</v>
      </c>
      <c r="E399" t="s">
        <v>1308</v>
      </c>
      <c r="F399" s="30">
        <v>1361323.2</v>
      </c>
      <c r="G399" s="31" t="s">
        <v>1340</v>
      </c>
      <c r="H399" s="32">
        <v>45900</v>
      </c>
      <c r="I399" s="31" t="s">
        <v>1375</v>
      </c>
      <c r="J399" s="31" t="s">
        <v>1375</v>
      </c>
      <c r="K399" t="s">
        <v>29</v>
      </c>
      <c r="O399">
        <f t="shared" si="7"/>
        <v>8</v>
      </c>
      <c r="P399" t="str">
        <f>+VLOOKUP(O399,X:Y,2,0)</f>
        <v>Agosto</v>
      </c>
    </row>
    <row r="400" spans="3:16" x14ac:dyDescent="0.35">
      <c r="C400" t="s">
        <v>14</v>
      </c>
      <c r="D400">
        <v>53051501</v>
      </c>
      <c r="E400" t="s">
        <v>1308</v>
      </c>
      <c r="F400" s="30">
        <v>2876425.26</v>
      </c>
      <c r="G400" s="31" t="s">
        <v>1341</v>
      </c>
      <c r="H400" s="32">
        <v>45900</v>
      </c>
      <c r="I400" s="31" t="s">
        <v>1244</v>
      </c>
      <c r="J400" s="31" t="s">
        <v>1244</v>
      </c>
      <c r="K400" t="s">
        <v>29</v>
      </c>
      <c r="O400">
        <f t="shared" si="7"/>
        <v>8</v>
      </c>
      <c r="P400" t="str">
        <f>+VLOOKUP(O400,X:Y,2,0)</f>
        <v>Agosto</v>
      </c>
    </row>
    <row r="401" spans="3:16" x14ac:dyDescent="0.35">
      <c r="C401" t="s">
        <v>14</v>
      </c>
      <c r="D401">
        <v>53051501</v>
      </c>
      <c r="E401" t="s">
        <v>1308</v>
      </c>
      <c r="F401" s="29">
        <v>1659528</v>
      </c>
      <c r="G401" t="s">
        <v>1342</v>
      </c>
      <c r="H401" s="2">
        <v>45900</v>
      </c>
      <c r="I401" t="s">
        <v>1376</v>
      </c>
      <c r="J401" t="s">
        <v>1376</v>
      </c>
      <c r="K401" t="s">
        <v>19</v>
      </c>
      <c r="O401">
        <f t="shared" si="7"/>
        <v>8</v>
      </c>
      <c r="P401" t="str">
        <f>+VLOOKUP(O401,X:Y,2,0)</f>
        <v>Agosto</v>
      </c>
    </row>
    <row r="402" spans="3:16" x14ac:dyDescent="0.35">
      <c r="C402" t="s">
        <v>14</v>
      </c>
      <c r="D402">
        <v>53051501</v>
      </c>
      <c r="E402" t="s">
        <v>1308</v>
      </c>
      <c r="F402" s="29">
        <v>73668</v>
      </c>
      <c r="G402" t="s">
        <v>1343</v>
      </c>
      <c r="H402" s="2">
        <v>45900</v>
      </c>
      <c r="I402" t="s">
        <v>1377</v>
      </c>
      <c r="J402" t="s">
        <v>1377</v>
      </c>
      <c r="K402" t="s">
        <v>19</v>
      </c>
      <c r="O402">
        <f t="shared" si="7"/>
        <v>8</v>
      </c>
      <c r="P402" t="str">
        <f>+VLOOKUP(O402,X:Y,2,0)</f>
        <v>Agosto</v>
      </c>
    </row>
    <row r="403" spans="3:16" x14ac:dyDescent="0.35">
      <c r="C403" t="s">
        <v>14</v>
      </c>
      <c r="D403">
        <v>53051501</v>
      </c>
      <c r="E403" t="s">
        <v>1308</v>
      </c>
      <c r="F403" s="29">
        <v>85000</v>
      </c>
      <c r="G403" t="s">
        <v>1344</v>
      </c>
      <c r="H403" s="2">
        <v>45900</v>
      </c>
      <c r="I403" t="s">
        <v>1378</v>
      </c>
      <c r="J403" t="s">
        <v>1378</v>
      </c>
      <c r="K403" t="s">
        <v>534</v>
      </c>
      <c r="O403">
        <f t="shared" si="7"/>
        <v>8</v>
      </c>
      <c r="P403" t="str">
        <f>+VLOOKUP(O403,X:Y,2,0)</f>
        <v>Agosto</v>
      </c>
    </row>
    <row r="404" spans="3:16" x14ac:dyDescent="0.35">
      <c r="C404" t="s">
        <v>14</v>
      </c>
      <c r="D404">
        <v>53051501</v>
      </c>
      <c r="E404" t="s">
        <v>1308</v>
      </c>
      <c r="F404" s="29">
        <v>191771</v>
      </c>
      <c r="G404" t="s">
        <v>1345</v>
      </c>
      <c r="H404" s="2">
        <v>45900</v>
      </c>
      <c r="I404" t="s">
        <v>1379</v>
      </c>
      <c r="J404" t="s">
        <v>1379</v>
      </c>
      <c r="K404" t="s">
        <v>1512</v>
      </c>
      <c r="O404">
        <f t="shared" si="7"/>
        <v>8</v>
      </c>
      <c r="P404" t="str">
        <f>+VLOOKUP(O404,X:Y,2,0)</f>
        <v>Agosto</v>
      </c>
    </row>
    <row r="405" spans="3:16" x14ac:dyDescent="0.35">
      <c r="C405" t="s">
        <v>14</v>
      </c>
      <c r="D405">
        <v>53051501</v>
      </c>
      <c r="E405" t="s">
        <v>1308</v>
      </c>
      <c r="F405" s="29">
        <v>54600</v>
      </c>
      <c r="G405" t="s">
        <v>1346</v>
      </c>
      <c r="H405" s="2">
        <v>45900</v>
      </c>
      <c r="I405" t="s">
        <v>1380</v>
      </c>
      <c r="J405" t="s">
        <v>1380</v>
      </c>
      <c r="K405" t="s">
        <v>40</v>
      </c>
      <c r="O405">
        <f t="shared" si="7"/>
        <v>8</v>
      </c>
      <c r="P405" t="str">
        <f>+VLOOKUP(O405,X:Y,2,0)</f>
        <v>Agosto</v>
      </c>
    </row>
    <row r="406" spans="3:16" x14ac:dyDescent="0.35">
      <c r="C406" t="s">
        <v>14</v>
      </c>
      <c r="D406">
        <v>53051501</v>
      </c>
      <c r="E406" t="s">
        <v>1308</v>
      </c>
      <c r="F406" s="29">
        <v>435836.75</v>
      </c>
      <c r="G406" t="s">
        <v>1347</v>
      </c>
      <c r="H406" s="2">
        <v>45900</v>
      </c>
      <c r="I406" t="s">
        <v>1381</v>
      </c>
      <c r="J406" t="s">
        <v>1381</v>
      </c>
      <c r="K406" t="s">
        <v>46</v>
      </c>
      <c r="O406">
        <f t="shared" si="7"/>
        <v>8</v>
      </c>
      <c r="P406" t="str">
        <f>+VLOOKUP(O406,X:Y,2,0)</f>
        <v>Agosto</v>
      </c>
    </row>
    <row r="407" spans="3:16" x14ac:dyDescent="0.35">
      <c r="C407" t="s">
        <v>14</v>
      </c>
      <c r="D407">
        <v>53051501</v>
      </c>
      <c r="E407" t="s">
        <v>1308</v>
      </c>
      <c r="F407" s="29">
        <v>602761.5</v>
      </c>
      <c r="G407" t="s">
        <v>1348</v>
      </c>
      <c r="H407" s="2">
        <v>45900</v>
      </c>
      <c r="I407" t="s">
        <v>1382</v>
      </c>
      <c r="J407" t="s">
        <v>1382</v>
      </c>
      <c r="K407" t="s">
        <v>167</v>
      </c>
      <c r="O407">
        <f t="shared" si="7"/>
        <v>8</v>
      </c>
      <c r="P407" t="str">
        <f>+VLOOKUP(O407,X:Y,2,0)</f>
        <v>Agosto</v>
      </c>
    </row>
    <row r="408" spans="3:16" x14ac:dyDescent="0.35">
      <c r="C408" t="s">
        <v>14</v>
      </c>
      <c r="D408">
        <v>53051502</v>
      </c>
      <c r="E408" t="s">
        <v>1309</v>
      </c>
      <c r="F408" s="29">
        <v>-4659745.4800000004</v>
      </c>
      <c r="G408" t="s">
        <v>1349</v>
      </c>
      <c r="H408" s="2">
        <v>45900</v>
      </c>
      <c r="I408" t="s">
        <v>1383</v>
      </c>
      <c r="J408" t="s">
        <v>1384</v>
      </c>
      <c r="K408" t="s">
        <v>172</v>
      </c>
      <c r="O408">
        <f t="shared" si="7"/>
        <v>8</v>
      </c>
      <c r="P408" t="str">
        <f>+VLOOKUP(O408,X:Y,2,0)</f>
        <v>Agosto</v>
      </c>
    </row>
    <row r="409" spans="3:16" x14ac:dyDescent="0.35">
      <c r="C409" t="s">
        <v>14</v>
      </c>
      <c r="D409">
        <v>53051502</v>
      </c>
      <c r="E409" t="s">
        <v>1309</v>
      </c>
      <c r="F409" s="29">
        <v>-6696543.8799999999</v>
      </c>
      <c r="G409" t="s">
        <v>1349</v>
      </c>
      <c r="H409" s="2">
        <v>45900</v>
      </c>
      <c r="I409" t="s">
        <v>1385</v>
      </c>
      <c r="J409" t="s">
        <v>1384</v>
      </c>
      <c r="K409" t="s">
        <v>172</v>
      </c>
      <c r="O409">
        <f t="shared" si="7"/>
        <v>8</v>
      </c>
      <c r="P409" t="str">
        <f>+VLOOKUP(O409,X:Y,2,0)</f>
        <v>Agosto</v>
      </c>
    </row>
    <row r="410" spans="3:16" x14ac:dyDescent="0.35">
      <c r="C410" t="s">
        <v>14</v>
      </c>
      <c r="D410">
        <v>53051502</v>
      </c>
      <c r="E410" t="s">
        <v>1309</v>
      </c>
      <c r="F410" s="29">
        <v>-12141321.060000001</v>
      </c>
      <c r="G410" t="s">
        <v>1349</v>
      </c>
      <c r="H410" s="2">
        <v>45900</v>
      </c>
      <c r="I410" t="s">
        <v>1386</v>
      </c>
      <c r="J410" t="s">
        <v>1384</v>
      </c>
      <c r="K410" t="s">
        <v>40</v>
      </c>
      <c r="O410">
        <f t="shared" si="7"/>
        <v>8</v>
      </c>
      <c r="P410" t="str">
        <f>+VLOOKUP(O410,X:Y,2,0)</f>
        <v>Agosto</v>
      </c>
    </row>
    <row r="411" spans="3:16" x14ac:dyDescent="0.35">
      <c r="C411" t="s">
        <v>14</v>
      </c>
      <c r="D411">
        <v>53051502</v>
      </c>
      <c r="E411" t="s">
        <v>1309</v>
      </c>
      <c r="F411" s="29">
        <v>-4428310.1900000004</v>
      </c>
      <c r="G411" t="s">
        <v>1349</v>
      </c>
      <c r="H411" s="2">
        <v>45900</v>
      </c>
      <c r="I411" t="s">
        <v>1387</v>
      </c>
      <c r="J411" t="s">
        <v>1384</v>
      </c>
      <c r="K411" t="s">
        <v>40</v>
      </c>
      <c r="O411">
        <f t="shared" si="7"/>
        <v>8</v>
      </c>
      <c r="P411" t="str">
        <f>+VLOOKUP(O411,X:Y,2,0)</f>
        <v>Agosto</v>
      </c>
    </row>
    <row r="412" spans="3:16" x14ac:dyDescent="0.35">
      <c r="C412" t="s">
        <v>14</v>
      </c>
      <c r="D412">
        <v>53051502</v>
      </c>
      <c r="E412" t="s">
        <v>1309</v>
      </c>
      <c r="F412" s="29">
        <v>-2558188</v>
      </c>
      <c r="G412" t="s">
        <v>1349</v>
      </c>
      <c r="H412" s="2">
        <v>45900</v>
      </c>
      <c r="I412" t="s">
        <v>1388</v>
      </c>
      <c r="J412" t="s">
        <v>1384</v>
      </c>
      <c r="K412" t="s">
        <v>1512</v>
      </c>
      <c r="O412">
        <f t="shared" si="7"/>
        <v>8</v>
      </c>
      <c r="P412" t="str">
        <f>+VLOOKUP(O412,X:Y,2,0)</f>
        <v>Agosto</v>
      </c>
    </row>
    <row r="413" spans="3:16" x14ac:dyDescent="0.35">
      <c r="C413" t="s">
        <v>14</v>
      </c>
      <c r="D413">
        <v>53051502</v>
      </c>
      <c r="E413" t="s">
        <v>1309</v>
      </c>
      <c r="F413" s="29">
        <v>-5765403</v>
      </c>
      <c r="G413" t="s">
        <v>1349</v>
      </c>
      <c r="H413" s="2">
        <v>45900</v>
      </c>
      <c r="I413" t="s">
        <v>1389</v>
      </c>
      <c r="J413" t="s">
        <v>1384</v>
      </c>
      <c r="K413" t="s">
        <v>1512</v>
      </c>
      <c r="O413">
        <f t="shared" si="7"/>
        <v>8</v>
      </c>
      <c r="P413" t="str">
        <f>+VLOOKUP(O413,X:Y,2,0)</f>
        <v>Agosto</v>
      </c>
    </row>
    <row r="414" spans="3:16" x14ac:dyDescent="0.35">
      <c r="C414" t="s">
        <v>14</v>
      </c>
      <c r="D414">
        <v>53051502</v>
      </c>
      <c r="E414" t="s">
        <v>1309</v>
      </c>
      <c r="F414" s="29">
        <v>-9731470.4600000009</v>
      </c>
      <c r="G414" t="s">
        <v>1349</v>
      </c>
      <c r="H414" s="2">
        <v>45900</v>
      </c>
      <c r="I414" t="s">
        <v>1390</v>
      </c>
      <c r="J414" t="s">
        <v>1384</v>
      </c>
      <c r="K414" t="s">
        <v>40</v>
      </c>
      <c r="O414">
        <f t="shared" si="7"/>
        <v>8</v>
      </c>
      <c r="P414" t="str">
        <f>+VLOOKUP(O414,X:Y,2,0)</f>
        <v>Agosto</v>
      </c>
    </row>
    <row r="415" spans="3:16" x14ac:dyDescent="0.35">
      <c r="C415" t="s">
        <v>14</v>
      </c>
      <c r="D415">
        <v>53051502</v>
      </c>
      <c r="E415" t="s">
        <v>1309</v>
      </c>
      <c r="F415" s="29">
        <v>-4428310.1900000004</v>
      </c>
      <c r="G415" t="s">
        <v>1414</v>
      </c>
      <c r="H415" s="2">
        <v>45900</v>
      </c>
      <c r="I415" t="s">
        <v>1416</v>
      </c>
      <c r="J415" t="s">
        <v>1417</v>
      </c>
      <c r="K415" t="s">
        <v>40</v>
      </c>
      <c r="O415">
        <f t="shared" si="7"/>
        <v>8</v>
      </c>
      <c r="P415" t="str">
        <f>+VLOOKUP(O415,X:Y,2,0)</f>
        <v>Agosto</v>
      </c>
    </row>
    <row r="416" spans="3:16" x14ac:dyDescent="0.35">
      <c r="C416" t="s">
        <v>14</v>
      </c>
      <c r="D416">
        <v>53051502</v>
      </c>
      <c r="E416" t="s">
        <v>1309</v>
      </c>
      <c r="F416" s="29">
        <v>-3001362</v>
      </c>
      <c r="G416" t="s">
        <v>1415</v>
      </c>
      <c r="H416" s="2">
        <v>45900</v>
      </c>
      <c r="I416" t="s">
        <v>1418</v>
      </c>
      <c r="J416" t="s">
        <v>1418</v>
      </c>
      <c r="K416" t="s">
        <v>1232</v>
      </c>
      <c r="O416">
        <f t="shared" si="7"/>
        <v>8</v>
      </c>
      <c r="P416" t="str">
        <f>+VLOOKUP(O416,X:Y,2,0)</f>
        <v>Agosto</v>
      </c>
    </row>
    <row r="417" spans="3:16" x14ac:dyDescent="0.35">
      <c r="C417" t="s">
        <v>14</v>
      </c>
      <c r="D417">
        <v>53051502</v>
      </c>
      <c r="E417" t="s">
        <v>1309</v>
      </c>
      <c r="F417" s="29">
        <v>3001362</v>
      </c>
      <c r="G417" t="s">
        <v>1415</v>
      </c>
      <c r="H417" s="2">
        <v>45900</v>
      </c>
      <c r="I417" t="s">
        <v>1418</v>
      </c>
      <c r="J417" t="s">
        <v>1418</v>
      </c>
      <c r="K417" t="s">
        <v>29</v>
      </c>
      <c r="O417">
        <f t="shared" si="7"/>
        <v>8</v>
      </c>
      <c r="P417" t="str">
        <f>+VLOOKUP(O417,X:Y,2,0)</f>
        <v>Agosto</v>
      </c>
    </row>
    <row r="418" spans="3:16" x14ac:dyDescent="0.35">
      <c r="C418" t="s">
        <v>14</v>
      </c>
      <c r="D418">
        <v>53051501</v>
      </c>
      <c r="E418" s="34" t="s">
        <v>1427</v>
      </c>
      <c r="F418" s="29">
        <v>16205000</v>
      </c>
      <c r="G418" t="s">
        <v>1350</v>
      </c>
      <c r="H418" s="2">
        <v>45900</v>
      </c>
      <c r="I418" t="s">
        <v>1391</v>
      </c>
      <c r="J418" t="s">
        <v>1391</v>
      </c>
      <c r="K418" t="s">
        <v>203</v>
      </c>
      <c r="O418">
        <f t="shared" si="7"/>
        <v>8</v>
      </c>
      <c r="P418" t="str">
        <f>+VLOOKUP(O418,X:Y,2,0)</f>
        <v>Agosto</v>
      </c>
    </row>
    <row r="419" spans="3:16" x14ac:dyDescent="0.35">
      <c r="C419" t="s">
        <v>14</v>
      </c>
      <c r="D419">
        <v>53051501</v>
      </c>
      <c r="E419" s="34" t="s">
        <v>1427</v>
      </c>
      <c r="F419" s="29">
        <v>2527054</v>
      </c>
      <c r="G419" t="s">
        <v>1351</v>
      </c>
      <c r="H419" s="2">
        <v>45900</v>
      </c>
      <c r="I419" t="s">
        <v>1392</v>
      </c>
      <c r="J419" t="s">
        <v>1392</v>
      </c>
      <c r="K419" t="s">
        <v>203</v>
      </c>
      <c r="O419">
        <f t="shared" si="7"/>
        <v>8</v>
      </c>
      <c r="P419" t="str">
        <f>+VLOOKUP(O419,X:Y,2,0)</f>
        <v>Agosto</v>
      </c>
    </row>
    <row r="420" spans="3:16" x14ac:dyDescent="0.35">
      <c r="C420" t="s">
        <v>14</v>
      </c>
      <c r="D420">
        <v>53051501</v>
      </c>
      <c r="E420" s="34" t="s">
        <v>1427</v>
      </c>
      <c r="F420" s="29">
        <v>5235893</v>
      </c>
      <c r="G420" t="s">
        <v>1352</v>
      </c>
      <c r="H420" s="2">
        <v>45900</v>
      </c>
      <c r="I420" t="s">
        <v>1393</v>
      </c>
      <c r="J420" t="s">
        <v>1393</v>
      </c>
      <c r="K420" t="s">
        <v>1172</v>
      </c>
      <c r="O420">
        <f t="shared" si="7"/>
        <v>8</v>
      </c>
      <c r="P420" t="str">
        <f>+VLOOKUP(O420,X:Y,2,0)</f>
        <v>Agosto</v>
      </c>
    </row>
    <row r="421" spans="3:16" x14ac:dyDescent="0.35">
      <c r="C421" t="s">
        <v>14</v>
      </c>
      <c r="D421">
        <v>53051502</v>
      </c>
      <c r="E421" t="s">
        <v>1309</v>
      </c>
      <c r="F421" s="29">
        <v>4659745.4800000004</v>
      </c>
      <c r="G421" t="s">
        <v>1349</v>
      </c>
      <c r="H421" s="2">
        <v>45900</v>
      </c>
      <c r="I421" t="s">
        <v>1383</v>
      </c>
      <c r="J421" t="s">
        <v>1384</v>
      </c>
      <c r="K421" t="s">
        <v>172</v>
      </c>
      <c r="O421">
        <f t="shared" ref="O421:O424" si="8">+MONTH(H421)</f>
        <v>8</v>
      </c>
      <c r="P421" t="str">
        <f>+VLOOKUP(O421,X:Y,2,0)</f>
        <v>Agosto</v>
      </c>
    </row>
    <row r="422" spans="3:16" x14ac:dyDescent="0.35">
      <c r="C422" t="s">
        <v>14</v>
      </c>
      <c r="D422">
        <v>53051502</v>
      </c>
      <c r="E422" t="s">
        <v>1309</v>
      </c>
      <c r="F422" s="29">
        <v>6696543.8799999999</v>
      </c>
      <c r="G422" t="s">
        <v>1349</v>
      </c>
      <c r="H422" s="2">
        <v>45900</v>
      </c>
      <c r="I422" t="s">
        <v>1385</v>
      </c>
      <c r="J422" t="s">
        <v>1384</v>
      </c>
      <c r="K422" t="s">
        <v>172</v>
      </c>
      <c r="O422">
        <f t="shared" si="8"/>
        <v>8</v>
      </c>
      <c r="P422" t="str">
        <f>+VLOOKUP(O422,X:Y,2,0)</f>
        <v>Agosto</v>
      </c>
    </row>
    <row r="423" spans="3:16" x14ac:dyDescent="0.35">
      <c r="C423" t="s">
        <v>14</v>
      </c>
      <c r="D423">
        <v>53051502</v>
      </c>
      <c r="E423" t="s">
        <v>1309</v>
      </c>
      <c r="F423" s="29">
        <v>12141321.060000001</v>
      </c>
      <c r="G423" t="s">
        <v>1349</v>
      </c>
      <c r="H423" s="2">
        <v>45900</v>
      </c>
      <c r="I423" t="s">
        <v>1386</v>
      </c>
      <c r="J423" t="s">
        <v>1384</v>
      </c>
      <c r="K423" t="s">
        <v>40</v>
      </c>
      <c r="O423">
        <f t="shared" si="8"/>
        <v>8</v>
      </c>
      <c r="P423" t="str">
        <f>+VLOOKUP(O423,X:Y,2,0)</f>
        <v>Agosto</v>
      </c>
    </row>
    <row r="424" spans="3:16" x14ac:dyDescent="0.35">
      <c r="C424" t="s">
        <v>14</v>
      </c>
      <c r="D424">
        <v>53051502</v>
      </c>
      <c r="E424" t="s">
        <v>1309</v>
      </c>
      <c r="F424" s="29">
        <v>4428310.1900000004</v>
      </c>
      <c r="G424" t="s">
        <v>1349</v>
      </c>
      <c r="H424" s="2">
        <v>45900</v>
      </c>
      <c r="I424" t="s">
        <v>1387</v>
      </c>
      <c r="J424" t="s">
        <v>1384</v>
      </c>
      <c r="K424" t="s">
        <v>40</v>
      </c>
      <c r="O424">
        <f t="shared" si="8"/>
        <v>8</v>
      </c>
      <c r="P424" t="str">
        <f>+VLOOKUP(O424,X:Y,2,0)</f>
        <v>Agosto</v>
      </c>
    </row>
    <row r="425" spans="3:16" x14ac:dyDescent="0.35">
      <c r="C425" t="s">
        <v>14</v>
      </c>
      <c r="D425">
        <v>53051502</v>
      </c>
      <c r="E425" t="s">
        <v>1309</v>
      </c>
      <c r="F425" s="29">
        <v>2558188</v>
      </c>
      <c r="G425" t="s">
        <v>1349</v>
      </c>
      <c r="H425" s="2">
        <v>45900</v>
      </c>
      <c r="I425" t="s">
        <v>1388</v>
      </c>
      <c r="J425" t="s">
        <v>1384</v>
      </c>
      <c r="K425" t="s">
        <v>1512</v>
      </c>
      <c r="O425">
        <f t="shared" ref="O425:O437" si="9">+MONTH(H425)</f>
        <v>8</v>
      </c>
      <c r="P425" t="str">
        <f>+VLOOKUP(O425,X:Y,2,0)</f>
        <v>Agosto</v>
      </c>
    </row>
    <row r="426" spans="3:16" x14ac:dyDescent="0.35">
      <c r="C426" t="s">
        <v>14</v>
      </c>
      <c r="D426">
        <v>53051502</v>
      </c>
      <c r="E426" t="s">
        <v>1309</v>
      </c>
      <c r="F426" s="29">
        <v>5765403</v>
      </c>
      <c r="G426" t="s">
        <v>1349</v>
      </c>
      <c r="H426" s="2">
        <v>45900</v>
      </c>
      <c r="I426" t="s">
        <v>1389</v>
      </c>
      <c r="J426" t="s">
        <v>1384</v>
      </c>
      <c r="K426" t="s">
        <v>1512</v>
      </c>
      <c r="O426">
        <f t="shared" si="9"/>
        <v>8</v>
      </c>
      <c r="P426" t="str">
        <f>+VLOOKUP(O426,X:Y,2,0)</f>
        <v>Agosto</v>
      </c>
    </row>
    <row r="427" spans="3:16" x14ac:dyDescent="0.35">
      <c r="C427" t="s">
        <v>14</v>
      </c>
      <c r="D427">
        <v>53051502</v>
      </c>
      <c r="E427" t="s">
        <v>1309</v>
      </c>
      <c r="F427" s="29">
        <v>9731470.4600000009</v>
      </c>
      <c r="G427" t="s">
        <v>1349</v>
      </c>
      <c r="H427" s="2">
        <v>45900</v>
      </c>
      <c r="I427" t="s">
        <v>1390</v>
      </c>
      <c r="J427" t="s">
        <v>1384</v>
      </c>
      <c r="K427" t="s">
        <v>40</v>
      </c>
      <c r="O427">
        <f t="shared" si="9"/>
        <v>8</v>
      </c>
      <c r="P427" t="str">
        <f>+VLOOKUP(O427,X:Y,2,0)</f>
        <v>Agosto</v>
      </c>
    </row>
    <row r="428" spans="3:16" x14ac:dyDescent="0.35">
      <c r="C428" t="s">
        <v>14</v>
      </c>
      <c r="D428">
        <v>53051502</v>
      </c>
      <c r="E428" t="s">
        <v>1309</v>
      </c>
      <c r="F428" s="29">
        <v>-3048560.25</v>
      </c>
      <c r="G428" t="s">
        <v>1414</v>
      </c>
      <c r="H428" s="2">
        <v>45900</v>
      </c>
      <c r="I428" t="s">
        <v>1419</v>
      </c>
      <c r="J428" t="s">
        <v>1417</v>
      </c>
      <c r="K428" t="s">
        <v>29</v>
      </c>
      <c r="O428">
        <f t="shared" si="9"/>
        <v>8</v>
      </c>
      <c r="P428" t="str">
        <f>+VLOOKUP(O428,X:Y,2,0)</f>
        <v>Agosto</v>
      </c>
    </row>
    <row r="429" spans="3:16" x14ac:dyDescent="0.35">
      <c r="C429" t="s">
        <v>14</v>
      </c>
      <c r="D429">
        <v>53051502</v>
      </c>
      <c r="E429" t="s">
        <v>1309</v>
      </c>
      <c r="F429" s="29">
        <v>-9731470.4600000009</v>
      </c>
      <c r="G429" t="s">
        <v>1414</v>
      </c>
      <c r="H429" s="2">
        <v>45900</v>
      </c>
      <c r="I429" t="s">
        <v>1420</v>
      </c>
      <c r="J429" t="s">
        <v>1417</v>
      </c>
      <c r="K429" t="s">
        <v>40</v>
      </c>
      <c r="O429">
        <f t="shared" si="9"/>
        <v>8</v>
      </c>
      <c r="P429" t="str">
        <f>+VLOOKUP(O429,X:Y,2,0)</f>
        <v>Agosto</v>
      </c>
    </row>
    <row r="430" spans="3:16" x14ac:dyDescent="0.35">
      <c r="C430" t="s">
        <v>14</v>
      </c>
      <c r="D430">
        <v>53051502</v>
      </c>
      <c r="E430" t="s">
        <v>1309</v>
      </c>
      <c r="F430" s="29">
        <v>-2558188</v>
      </c>
      <c r="G430" t="s">
        <v>1414</v>
      </c>
      <c r="H430" s="2">
        <v>45900</v>
      </c>
      <c r="I430" t="s">
        <v>1421</v>
      </c>
      <c r="J430" t="s">
        <v>1417</v>
      </c>
      <c r="K430" t="s">
        <v>1512</v>
      </c>
      <c r="O430">
        <f t="shared" si="9"/>
        <v>8</v>
      </c>
      <c r="P430" t="str">
        <f>+VLOOKUP(O430,X:Y,2,0)</f>
        <v>Agosto</v>
      </c>
    </row>
    <row r="431" spans="3:16" x14ac:dyDescent="0.35">
      <c r="C431" t="s">
        <v>14</v>
      </c>
      <c r="D431">
        <v>53051502</v>
      </c>
      <c r="E431" t="s">
        <v>1309</v>
      </c>
      <c r="F431" s="29">
        <v>-12141321.060000001</v>
      </c>
      <c r="G431" t="s">
        <v>1414</v>
      </c>
      <c r="H431" s="2">
        <v>45900</v>
      </c>
      <c r="I431" t="s">
        <v>1422</v>
      </c>
      <c r="J431" t="s">
        <v>1417</v>
      </c>
      <c r="K431" t="s">
        <v>40</v>
      </c>
      <c r="O431">
        <f t="shared" si="9"/>
        <v>8</v>
      </c>
      <c r="P431" t="str">
        <f>+VLOOKUP(O431,X:Y,2,0)</f>
        <v>Agosto</v>
      </c>
    </row>
    <row r="432" spans="3:16" x14ac:dyDescent="0.35">
      <c r="C432" t="s">
        <v>14</v>
      </c>
      <c r="D432">
        <v>53051502</v>
      </c>
      <c r="E432" t="s">
        <v>1309</v>
      </c>
      <c r="F432" s="29">
        <v>-3281477.9</v>
      </c>
      <c r="G432" t="s">
        <v>1414</v>
      </c>
      <c r="H432" s="2">
        <v>45900</v>
      </c>
      <c r="I432" t="s">
        <v>1423</v>
      </c>
      <c r="J432" t="s">
        <v>1417</v>
      </c>
      <c r="K432" t="s">
        <v>40</v>
      </c>
      <c r="O432">
        <f t="shared" si="9"/>
        <v>8</v>
      </c>
      <c r="P432" t="str">
        <f>+VLOOKUP(O432,X:Y,2,0)</f>
        <v>Agosto</v>
      </c>
    </row>
    <row r="433" spans="3:20" x14ac:dyDescent="0.35">
      <c r="C433" t="s">
        <v>14</v>
      </c>
      <c r="D433">
        <v>53051502</v>
      </c>
      <c r="E433" t="s">
        <v>1309</v>
      </c>
      <c r="F433" s="29">
        <v>-14254636.27</v>
      </c>
      <c r="G433" t="s">
        <v>1414</v>
      </c>
      <c r="H433" s="2">
        <v>45900</v>
      </c>
      <c r="I433" t="s">
        <v>1424</v>
      </c>
      <c r="J433" t="s">
        <v>1417</v>
      </c>
      <c r="K433" t="s">
        <v>40</v>
      </c>
      <c r="O433">
        <f t="shared" si="9"/>
        <v>8</v>
      </c>
      <c r="P433" t="str">
        <f>+VLOOKUP(O433,X:Y,2,0)</f>
        <v>Agosto</v>
      </c>
    </row>
    <row r="434" spans="3:20" x14ac:dyDescent="0.35">
      <c r="C434" t="s">
        <v>14</v>
      </c>
      <c r="D434">
        <v>53051502</v>
      </c>
      <c r="E434" t="s">
        <v>1309</v>
      </c>
      <c r="F434" s="29">
        <v>-7004055.7800000003</v>
      </c>
      <c r="G434" t="s">
        <v>1414</v>
      </c>
      <c r="H434" s="2">
        <v>45900</v>
      </c>
      <c r="I434" t="s">
        <v>1425</v>
      </c>
      <c r="J434" t="s">
        <v>1417</v>
      </c>
      <c r="K434" t="s">
        <v>40</v>
      </c>
      <c r="O434">
        <f t="shared" si="9"/>
        <v>8</v>
      </c>
      <c r="P434" t="str">
        <f>+VLOOKUP(O434,X:Y,2,0)</f>
        <v>Agosto</v>
      </c>
    </row>
    <row r="435" spans="3:20" x14ac:dyDescent="0.35">
      <c r="C435" t="s">
        <v>14</v>
      </c>
      <c r="D435">
        <v>53051502</v>
      </c>
      <c r="E435" t="s">
        <v>1309</v>
      </c>
      <c r="F435" s="29">
        <v>-2495690</v>
      </c>
      <c r="G435" t="s">
        <v>1414</v>
      </c>
      <c r="H435" s="2">
        <v>45900</v>
      </c>
      <c r="I435" t="s">
        <v>1426</v>
      </c>
      <c r="J435" t="s">
        <v>1417</v>
      </c>
      <c r="K435" t="s">
        <v>1512</v>
      </c>
      <c r="O435">
        <f t="shared" si="9"/>
        <v>8</v>
      </c>
      <c r="P435" t="str">
        <f>+VLOOKUP(O435,X:Y,2,0)</f>
        <v>Agosto</v>
      </c>
    </row>
    <row r="436" spans="3:20" x14ac:dyDescent="0.35">
      <c r="C436" t="s">
        <v>14</v>
      </c>
      <c r="D436">
        <v>53051502</v>
      </c>
      <c r="E436" t="s">
        <v>1309</v>
      </c>
      <c r="F436" s="29">
        <v>-3048560.25</v>
      </c>
      <c r="G436" t="s">
        <v>1415</v>
      </c>
      <c r="H436" s="2">
        <v>45900</v>
      </c>
      <c r="I436" t="s">
        <v>1418</v>
      </c>
      <c r="J436" t="s">
        <v>1418</v>
      </c>
      <c r="K436" t="s">
        <v>1232</v>
      </c>
      <c r="O436">
        <f t="shared" si="9"/>
        <v>8</v>
      </c>
      <c r="P436" t="str">
        <f>+VLOOKUP(O436,X:Y,2,0)</f>
        <v>Agosto</v>
      </c>
    </row>
    <row r="437" spans="3:20" x14ac:dyDescent="0.35">
      <c r="C437" t="s">
        <v>14</v>
      </c>
      <c r="D437">
        <v>53051502</v>
      </c>
      <c r="E437" t="s">
        <v>1309</v>
      </c>
      <c r="F437" s="29">
        <v>3048560.25</v>
      </c>
      <c r="G437" t="s">
        <v>1415</v>
      </c>
      <c r="H437" s="2">
        <v>45900</v>
      </c>
      <c r="I437" t="s">
        <v>1418</v>
      </c>
      <c r="J437" t="s">
        <v>1418</v>
      </c>
      <c r="K437" t="s">
        <v>29</v>
      </c>
      <c r="O437">
        <f t="shared" si="9"/>
        <v>8</v>
      </c>
      <c r="P437" t="str">
        <f>+VLOOKUP(O437,X:Y,2,0)</f>
        <v>Agosto</v>
      </c>
    </row>
    <row r="438" spans="3:20" s="35" customFormat="1" x14ac:dyDescent="0.35">
      <c r="C438" s="35" t="s">
        <v>14</v>
      </c>
      <c r="D438" s="35">
        <v>53051501</v>
      </c>
      <c r="E438" s="35" t="s">
        <v>1308</v>
      </c>
      <c r="F438" s="36">
        <v>3529</v>
      </c>
      <c r="G438" s="35" t="s">
        <v>1428</v>
      </c>
      <c r="H438" s="33">
        <v>45901</v>
      </c>
      <c r="I438" s="35" t="s">
        <v>1474</v>
      </c>
      <c r="J438" s="35" t="s">
        <v>1474</v>
      </c>
      <c r="K438" s="35" t="s">
        <v>29</v>
      </c>
      <c r="O438" s="35">
        <f t="shared" ref="O438:O493" si="10">+MONTH(H438)</f>
        <v>9</v>
      </c>
      <c r="P438" s="35" t="str">
        <f>+VLOOKUP(O438,X:Y,2,0)</f>
        <v>Septiembre</v>
      </c>
    </row>
    <row r="439" spans="3:20" x14ac:dyDescent="0.35">
      <c r="C439" t="s">
        <v>14</v>
      </c>
      <c r="D439">
        <v>53051501</v>
      </c>
      <c r="E439" t="s">
        <v>1308</v>
      </c>
      <c r="F439" s="1">
        <v>3529</v>
      </c>
      <c r="G439" t="s">
        <v>1429</v>
      </c>
      <c r="H439" s="2">
        <v>45901</v>
      </c>
      <c r="I439" t="s">
        <v>216</v>
      </c>
      <c r="J439" t="s">
        <v>216</v>
      </c>
      <c r="K439" t="s">
        <v>29</v>
      </c>
      <c r="O439">
        <f t="shared" si="10"/>
        <v>9</v>
      </c>
      <c r="P439" t="str">
        <f>+VLOOKUP(O439,X:Y,2,0)</f>
        <v>Septiembre</v>
      </c>
    </row>
    <row r="440" spans="3:20" x14ac:dyDescent="0.35">
      <c r="C440" t="s">
        <v>14</v>
      </c>
      <c r="D440">
        <v>53051501</v>
      </c>
      <c r="E440" t="s">
        <v>1308</v>
      </c>
      <c r="F440" s="1">
        <v>3529</v>
      </c>
      <c r="G440" t="s">
        <v>1430</v>
      </c>
      <c r="H440" s="2">
        <v>45902</v>
      </c>
      <c r="I440" t="s">
        <v>1475</v>
      </c>
      <c r="J440" t="s">
        <v>1475</v>
      </c>
      <c r="K440" t="s">
        <v>29</v>
      </c>
      <c r="O440">
        <f t="shared" si="10"/>
        <v>9</v>
      </c>
      <c r="P440" t="str">
        <f>+VLOOKUP(O440,X:Y,2,0)</f>
        <v>Septiembre</v>
      </c>
    </row>
    <row r="441" spans="3:20" x14ac:dyDescent="0.35">
      <c r="C441" t="s">
        <v>14</v>
      </c>
      <c r="D441">
        <v>53051501</v>
      </c>
      <c r="E441" t="s">
        <v>1308</v>
      </c>
      <c r="F441" s="1">
        <v>3529</v>
      </c>
      <c r="G441" t="s">
        <v>1431</v>
      </c>
      <c r="H441" s="2">
        <v>45908</v>
      </c>
      <c r="I441" t="s">
        <v>1476</v>
      </c>
      <c r="J441" t="s">
        <v>1476</v>
      </c>
      <c r="K441" t="s">
        <v>29</v>
      </c>
      <c r="O441">
        <f t="shared" si="10"/>
        <v>9</v>
      </c>
      <c r="P441" t="str">
        <f>+VLOOKUP(O441,X:Y,2,0)</f>
        <v>Septiembre</v>
      </c>
      <c r="T441" t="s">
        <v>29</v>
      </c>
    </row>
    <row r="442" spans="3:20" x14ac:dyDescent="0.35">
      <c r="C442" t="s">
        <v>14</v>
      </c>
      <c r="D442">
        <v>53051501</v>
      </c>
      <c r="E442" t="s">
        <v>1308</v>
      </c>
      <c r="F442" s="1">
        <v>13140</v>
      </c>
      <c r="G442" t="s">
        <v>1432</v>
      </c>
      <c r="H442" s="2">
        <v>45909</v>
      </c>
      <c r="I442" t="s">
        <v>1477</v>
      </c>
      <c r="J442" t="s">
        <v>1477</v>
      </c>
      <c r="K442" t="s">
        <v>1527</v>
      </c>
      <c r="O442">
        <f t="shared" si="10"/>
        <v>9</v>
      </c>
      <c r="P442" t="str">
        <f>+VLOOKUP(O442,X:Y,2,0)</f>
        <v>Septiembre</v>
      </c>
    </row>
    <row r="443" spans="3:20" x14ac:dyDescent="0.35">
      <c r="C443" t="s">
        <v>14</v>
      </c>
      <c r="D443" s="40">
        <v>53051501</v>
      </c>
      <c r="E443" s="40" t="s">
        <v>1308</v>
      </c>
      <c r="F443" s="41">
        <v>4428310.1900000004</v>
      </c>
      <c r="G443" s="40" t="s">
        <v>1433</v>
      </c>
      <c r="H443" s="42">
        <v>45912</v>
      </c>
      <c r="I443" s="40"/>
      <c r="J443" s="40"/>
      <c r="K443" t="s">
        <v>40</v>
      </c>
      <c r="O443">
        <f t="shared" si="10"/>
        <v>9</v>
      </c>
      <c r="P443" t="str">
        <f>+VLOOKUP(O443,X:Y,2,0)</f>
        <v>Septiembre</v>
      </c>
    </row>
    <row r="444" spans="3:20" x14ac:dyDescent="0.35">
      <c r="C444" t="s">
        <v>14</v>
      </c>
      <c r="D444">
        <v>53051501</v>
      </c>
      <c r="E444" t="s">
        <v>1308</v>
      </c>
      <c r="F444" s="1">
        <v>3529</v>
      </c>
      <c r="G444" t="s">
        <v>1434</v>
      </c>
      <c r="H444" s="2">
        <v>45916</v>
      </c>
      <c r="I444" t="s">
        <v>1478</v>
      </c>
      <c r="J444" t="s">
        <v>1478</v>
      </c>
      <c r="K444" t="s">
        <v>29</v>
      </c>
      <c r="O444">
        <f t="shared" si="10"/>
        <v>9</v>
      </c>
      <c r="P444" t="str">
        <f>+VLOOKUP(O444,X:Y,2,0)</f>
        <v>Septiembre</v>
      </c>
    </row>
    <row r="445" spans="3:20" x14ac:dyDescent="0.35">
      <c r="C445" t="s">
        <v>14</v>
      </c>
      <c r="D445">
        <v>53051501</v>
      </c>
      <c r="E445" t="s">
        <v>1308</v>
      </c>
      <c r="F445" s="1">
        <v>13140</v>
      </c>
      <c r="G445" t="s">
        <v>1435</v>
      </c>
      <c r="H445" s="2">
        <v>45917</v>
      </c>
      <c r="I445" t="s">
        <v>1479</v>
      </c>
      <c r="J445" t="s">
        <v>1479</v>
      </c>
      <c r="K445" t="s">
        <v>1527</v>
      </c>
      <c r="O445">
        <f t="shared" si="10"/>
        <v>9</v>
      </c>
      <c r="P445" t="str">
        <f>+VLOOKUP(O445,X:Y,2,0)</f>
        <v>Septiembre</v>
      </c>
    </row>
    <row r="446" spans="3:20" x14ac:dyDescent="0.35">
      <c r="C446" t="s">
        <v>14</v>
      </c>
      <c r="D446">
        <v>53051501</v>
      </c>
      <c r="E446" t="s">
        <v>1308</v>
      </c>
      <c r="F446" s="1">
        <v>3558750.42</v>
      </c>
      <c r="G446" t="s">
        <v>1436</v>
      </c>
      <c r="H446" s="2">
        <v>45917</v>
      </c>
      <c r="I446" t="s">
        <v>1480</v>
      </c>
      <c r="J446" t="s">
        <v>1480</v>
      </c>
      <c r="K446" t="s">
        <v>44</v>
      </c>
      <c r="O446">
        <f t="shared" si="10"/>
        <v>9</v>
      </c>
      <c r="P446" t="str">
        <f>+VLOOKUP(O446,X:Y,2,0)</f>
        <v>Septiembre</v>
      </c>
    </row>
    <row r="447" spans="3:20" x14ac:dyDescent="0.35">
      <c r="C447" t="s">
        <v>14</v>
      </c>
      <c r="D447">
        <v>53051501</v>
      </c>
      <c r="E447" t="s">
        <v>1308</v>
      </c>
      <c r="F447" s="1">
        <v>1</v>
      </c>
      <c r="G447" t="s">
        <v>1437</v>
      </c>
      <c r="H447" s="2">
        <v>45918</v>
      </c>
      <c r="I447" t="s">
        <v>1481</v>
      </c>
      <c r="J447" t="s">
        <v>1481</v>
      </c>
      <c r="K447" t="s">
        <v>19</v>
      </c>
      <c r="O447">
        <f t="shared" si="10"/>
        <v>9</v>
      </c>
      <c r="P447" t="str">
        <f>+VLOOKUP(O447,X:Y,2,0)</f>
        <v>Septiembre</v>
      </c>
    </row>
    <row r="448" spans="3:20" x14ac:dyDescent="0.35">
      <c r="C448" t="s">
        <v>14</v>
      </c>
      <c r="D448">
        <v>53051501</v>
      </c>
      <c r="E448" t="s">
        <v>1308</v>
      </c>
      <c r="F448" s="1">
        <v>1</v>
      </c>
      <c r="G448" t="s">
        <v>1438</v>
      </c>
      <c r="H448" s="2">
        <v>45918</v>
      </c>
      <c r="I448" t="s">
        <v>1481</v>
      </c>
      <c r="J448" t="s">
        <v>1481</v>
      </c>
      <c r="K448" t="s">
        <v>19</v>
      </c>
      <c r="O448">
        <f t="shared" si="10"/>
        <v>9</v>
      </c>
      <c r="P448" t="str">
        <f>+VLOOKUP(O448,X:Y,2,0)</f>
        <v>Septiembre</v>
      </c>
    </row>
    <row r="449" spans="3:16" x14ac:dyDescent="0.35">
      <c r="C449" t="s">
        <v>14</v>
      </c>
      <c r="D449">
        <v>53051501</v>
      </c>
      <c r="E449" s="34" t="s">
        <v>1427</v>
      </c>
      <c r="F449" s="1">
        <v>23705</v>
      </c>
      <c r="G449" t="s">
        <v>1439</v>
      </c>
      <c r="H449" s="2">
        <v>45918</v>
      </c>
      <c r="I449" t="s">
        <v>1482</v>
      </c>
      <c r="J449" t="s">
        <v>1482</v>
      </c>
      <c r="K449" t="s">
        <v>203</v>
      </c>
      <c r="O449">
        <f t="shared" si="10"/>
        <v>9</v>
      </c>
      <c r="P449" t="str">
        <f>+VLOOKUP(O449,X:Y,2,0)</f>
        <v>Septiembre</v>
      </c>
    </row>
    <row r="450" spans="3:16" x14ac:dyDescent="0.35">
      <c r="C450" t="s">
        <v>14</v>
      </c>
      <c r="D450">
        <v>53051501</v>
      </c>
      <c r="E450" s="37" t="s">
        <v>1308</v>
      </c>
      <c r="F450" s="39">
        <v>168067.23</v>
      </c>
      <c r="G450" s="37" t="s">
        <v>1440</v>
      </c>
      <c r="H450" s="38">
        <v>45919</v>
      </c>
      <c r="I450" s="37" t="s">
        <v>1483</v>
      </c>
      <c r="J450" s="37" t="s">
        <v>1483</v>
      </c>
      <c r="K450" t="s">
        <v>172</v>
      </c>
      <c r="O450">
        <f t="shared" si="10"/>
        <v>9</v>
      </c>
      <c r="P450" t="str">
        <f>+VLOOKUP(O450,X:Y,2,0)</f>
        <v>Septiembre</v>
      </c>
    </row>
    <row r="451" spans="3:16" x14ac:dyDescent="0.35">
      <c r="C451" t="s">
        <v>14</v>
      </c>
      <c r="D451">
        <v>53051501</v>
      </c>
      <c r="E451" t="s">
        <v>1308</v>
      </c>
      <c r="F451" s="1">
        <v>80000</v>
      </c>
      <c r="G451" t="s">
        <v>1441</v>
      </c>
      <c r="H451" s="2">
        <v>45922</v>
      </c>
      <c r="I451" t="s">
        <v>1484</v>
      </c>
      <c r="J451" t="s">
        <v>1485</v>
      </c>
      <c r="K451" t="s">
        <v>29</v>
      </c>
      <c r="O451">
        <f t="shared" si="10"/>
        <v>9</v>
      </c>
      <c r="P451" t="str">
        <f>+VLOOKUP(O451,X:Y,2,0)</f>
        <v>Septiembre</v>
      </c>
    </row>
    <row r="452" spans="3:16" x14ac:dyDescent="0.35">
      <c r="C452" t="s">
        <v>14</v>
      </c>
      <c r="D452">
        <v>53051501</v>
      </c>
      <c r="E452" t="s">
        <v>1308</v>
      </c>
      <c r="F452" s="1">
        <v>3529</v>
      </c>
      <c r="G452" t="s">
        <v>1442</v>
      </c>
      <c r="H452" s="2">
        <v>45922</v>
      </c>
      <c r="I452" t="s">
        <v>1269</v>
      </c>
      <c r="J452" t="s">
        <v>1269</v>
      </c>
      <c r="K452" t="s">
        <v>29</v>
      </c>
      <c r="O452">
        <f t="shared" si="10"/>
        <v>9</v>
      </c>
      <c r="P452" t="str">
        <f>+VLOOKUP(O452,X:Y,2,0)</f>
        <v>Septiembre</v>
      </c>
    </row>
    <row r="453" spans="3:16" x14ac:dyDescent="0.35">
      <c r="C453" t="s">
        <v>14</v>
      </c>
      <c r="D453">
        <v>53051501</v>
      </c>
      <c r="E453" t="s">
        <v>1308</v>
      </c>
      <c r="F453" s="1">
        <v>3529</v>
      </c>
      <c r="G453" t="s">
        <v>1443</v>
      </c>
      <c r="H453" s="2">
        <v>45923</v>
      </c>
      <c r="I453" t="s">
        <v>1486</v>
      </c>
      <c r="J453" t="s">
        <v>1486</v>
      </c>
      <c r="K453" t="s">
        <v>29</v>
      </c>
      <c r="O453">
        <f t="shared" si="10"/>
        <v>9</v>
      </c>
      <c r="P453" t="str">
        <f>+VLOOKUP(O453,X:Y,2,0)</f>
        <v>Septiembre</v>
      </c>
    </row>
    <row r="454" spans="3:16" x14ac:dyDescent="0.35">
      <c r="C454" t="s">
        <v>14</v>
      </c>
      <c r="D454">
        <v>53051501</v>
      </c>
      <c r="E454" t="s">
        <v>1308</v>
      </c>
      <c r="F454" s="1">
        <v>3529</v>
      </c>
      <c r="G454" t="s">
        <v>1444</v>
      </c>
      <c r="H454" s="2">
        <v>45924</v>
      </c>
      <c r="I454" t="s">
        <v>1360</v>
      </c>
      <c r="J454" t="s">
        <v>1360</v>
      </c>
      <c r="K454" t="s">
        <v>29</v>
      </c>
      <c r="O454">
        <f t="shared" si="10"/>
        <v>9</v>
      </c>
      <c r="P454" t="str">
        <f>+VLOOKUP(O454,X:Y,2,0)</f>
        <v>Septiembre</v>
      </c>
    </row>
    <row r="455" spans="3:16" x14ac:dyDescent="0.35">
      <c r="C455" t="s">
        <v>14</v>
      </c>
      <c r="D455">
        <v>53051501</v>
      </c>
      <c r="E455" t="s">
        <v>1308</v>
      </c>
      <c r="F455" s="1">
        <v>1733196</v>
      </c>
      <c r="G455" t="s">
        <v>1445</v>
      </c>
      <c r="H455" s="2">
        <v>45926</v>
      </c>
      <c r="I455" t="s">
        <v>1487</v>
      </c>
      <c r="J455" t="s">
        <v>1487</v>
      </c>
      <c r="K455" t="s">
        <v>19</v>
      </c>
      <c r="O455">
        <f t="shared" si="10"/>
        <v>9</v>
      </c>
      <c r="P455" t="str">
        <f>+VLOOKUP(O455,X:Y,2,0)</f>
        <v>Septiembre</v>
      </c>
    </row>
    <row r="456" spans="3:16" x14ac:dyDescent="0.35">
      <c r="C456" t="s">
        <v>14</v>
      </c>
      <c r="D456">
        <v>53051501</v>
      </c>
      <c r="E456" t="s">
        <v>1308</v>
      </c>
      <c r="F456" s="1">
        <v>85000</v>
      </c>
      <c r="G456" t="s">
        <v>1446</v>
      </c>
      <c r="H456" s="2">
        <v>45926</v>
      </c>
      <c r="I456" t="s">
        <v>1479</v>
      </c>
      <c r="J456" t="s">
        <v>1479</v>
      </c>
      <c r="K456" t="s">
        <v>534</v>
      </c>
      <c r="O456">
        <f t="shared" si="10"/>
        <v>9</v>
      </c>
      <c r="P456" t="str">
        <f>+VLOOKUP(O456,X:Y,2,0)</f>
        <v>Septiembre</v>
      </c>
    </row>
    <row r="457" spans="3:16" x14ac:dyDescent="0.35">
      <c r="C457" t="s">
        <v>14</v>
      </c>
      <c r="D457">
        <v>53051501</v>
      </c>
      <c r="E457" t="s">
        <v>1308</v>
      </c>
      <c r="F457" s="1">
        <v>8198900.46</v>
      </c>
      <c r="G457" t="s">
        <v>1447</v>
      </c>
      <c r="H457" s="2">
        <v>45926</v>
      </c>
      <c r="I457" t="s">
        <v>1479</v>
      </c>
      <c r="J457" t="s">
        <v>1479</v>
      </c>
      <c r="K457" t="s">
        <v>29</v>
      </c>
      <c r="O457">
        <f t="shared" si="10"/>
        <v>9</v>
      </c>
      <c r="P457" t="str">
        <f>+VLOOKUP(O457,X:Y,2,0)</f>
        <v>Septiembre</v>
      </c>
    </row>
    <row r="458" spans="3:16" x14ac:dyDescent="0.35">
      <c r="C458" t="s">
        <v>14</v>
      </c>
      <c r="D458">
        <v>53051501</v>
      </c>
      <c r="E458" t="s">
        <v>1308</v>
      </c>
      <c r="F458" s="1">
        <v>191771</v>
      </c>
      <c r="G458" t="s">
        <v>1448</v>
      </c>
      <c r="H458" s="2">
        <v>45926</v>
      </c>
      <c r="I458" t="s">
        <v>1479</v>
      </c>
      <c r="J458" t="s">
        <v>1479</v>
      </c>
      <c r="K458" t="s">
        <v>1512</v>
      </c>
      <c r="O458">
        <f t="shared" si="10"/>
        <v>9</v>
      </c>
      <c r="P458" t="str">
        <f>+VLOOKUP(O458,X:Y,2,0)</f>
        <v>Septiembre</v>
      </c>
    </row>
    <row r="459" spans="3:16" x14ac:dyDescent="0.35">
      <c r="C459" t="s">
        <v>14</v>
      </c>
      <c r="D459">
        <v>53051501</v>
      </c>
      <c r="E459" t="s">
        <v>1308</v>
      </c>
      <c r="F459" s="1">
        <v>3558750</v>
      </c>
      <c r="G459" t="s">
        <v>1449</v>
      </c>
      <c r="H459" s="2">
        <v>45926</v>
      </c>
      <c r="I459" t="s">
        <v>1488</v>
      </c>
      <c r="J459" t="s">
        <v>1488</v>
      </c>
      <c r="K459" t="s">
        <v>44</v>
      </c>
      <c r="O459">
        <f t="shared" si="10"/>
        <v>9</v>
      </c>
      <c r="P459" t="str">
        <f>+VLOOKUP(O459,X:Y,2,0)</f>
        <v>Septiembre</v>
      </c>
    </row>
    <row r="460" spans="3:16" x14ac:dyDescent="0.35">
      <c r="C460" t="s">
        <v>14</v>
      </c>
      <c r="D460">
        <v>53051501</v>
      </c>
      <c r="E460" t="s">
        <v>1308</v>
      </c>
      <c r="F460" s="1">
        <v>435836.75</v>
      </c>
      <c r="G460" t="s">
        <v>1450</v>
      </c>
      <c r="H460" s="2">
        <v>45926</v>
      </c>
      <c r="I460" t="s">
        <v>1489</v>
      </c>
      <c r="J460" t="s">
        <v>1489</v>
      </c>
      <c r="K460" t="s">
        <v>46</v>
      </c>
      <c r="O460">
        <f t="shared" si="10"/>
        <v>9</v>
      </c>
      <c r="P460" t="str">
        <f>+VLOOKUP(O460,X:Y,2,0)</f>
        <v>Septiembre</v>
      </c>
    </row>
    <row r="461" spans="3:16" x14ac:dyDescent="0.35">
      <c r="C461" t="s">
        <v>14</v>
      </c>
      <c r="D461">
        <v>53051501</v>
      </c>
      <c r="E461" t="s">
        <v>1308</v>
      </c>
      <c r="F461" s="1">
        <v>602761.5</v>
      </c>
      <c r="G461" t="s">
        <v>1451</v>
      </c>
      <c r="H461" s="2">
        <v>45926</v>
      </c>
      <c r="I461" t="s">
        <v>1489</v>
      </c>
      <c r="J461" t="s">
        <v>1489</v>
      </c>
      <c r="K461" t="s">
        <v>167</v>
      </c>
      <c r="O461">
        <f t="shared" si="10"/>
        <v>9</v>
      </c>
      <c r="P461" t="str">
        <f>+VLOOKUP(O461,X:Y,2,0)</f>
        <v>Septiembre</v>
      </c>
    </row>
    <row r="462" spans="3:16" x14ac:dyDescent="0.35">
      <c r="C462" t="s">
        <v>14</v>
      </c>
      <c r="D462">
        <v>53051501</v>
      </c>
      <c r="E462" t="s">
        <v>1308</v>
      </c>
      <c r="F462" s="1">
        <v>-3558750</v>
      </c>
      <c r="G462" t="s">
        <v>1452</v>
      </c>
      <c r="H462" s="2">
        <v>45929</v>
      </c>
      <c r="I462" t="s">
        <v>1490</v>
      </c>
      <c r="J462" t="s">
        <v>1490</v>
      </c>
      <c r="K462" t="s">
        <v>44</v>
      </c>
      <c r="O462">
        <f t="shared" si="10"/>
        <v>9</v>
      </c>
      <c r="P462" t="str">
        <f>+VLOOKUP(O462,X:Y,2,0)</f>
        <v>Septiembre</v>
      </c>
    </row>
    <row r="463" spans="3:16" x14ac:dyDescent="0.35">
      <c r="C463" t="s">
        <v>14</v>
      </c>
      <c r="D463">
        <v>53051501</v>
      </c>
      <c r="E463" t="s">
        <v>1308</v>
      </c>
      <c r="F463" s="1">
        <v>-1733196</v>
      </c>
      <c r="G463" t="s">
        <v>1452</v>
      </c>
      <c r="H463" s="2">
        <v>45929</v>
      </c>
      <c r="I463" t="s">
        <v>1490</v>
      </c>
      <c r="J463" t="s">
        <v>1490</v>
      </c>
      <c r="K463" t="s">
        <v>19</v>
      </c>
      <c r="O463">
        <f t="shared" si="10"/>
        <v>9</v>
      </c>
      <c r="P463" t="str">
        <f>+VLOOKUP(O463,X:Y,2,0)</f>
        <v>Septiembre</v>
      </c>
    </row>
    <row r="464" spans="3:16" x14ac:dyDescent="0.35">
      <c r="C464" t="s">
        <v>14</v>
      </c>
      <c r="D464">
        <v>53051501</v>
      </c>
      <c r="E464" t="s">
        <v>1308</v>
      </c>
      <c r="F464" s="1">
        <v>-191771</v>
      </c>
      <c r="G464" t="s">
        <v>1452</v>
      </c>
      <c r="H464" s="2">
        <v>45929</v>
      </c>
      <c r="I464" t="s">
        <v>1490</v>
      </c>
      <c r="J464" t="s">
        <v>1490</v>
      </c>
      <c r="K464" t="s">
        <v>1512</v>
      </c>
      <c r="O464">
        <f t="shared" si="10"/>
        <v>9</v>
      </c>
      <c r="P464" t="str">
        <f>+VLOOKUP(O464,X:Y,2,0)</f>
        <v>Septiembre</v>
      </c>
    </row>
    <row r="465" spans="3:16" x14ac:dyDescent="0.35">
      <c r="C465" t="s">
        <v>14</v>
      </c>
      <c r="D465">
        <v>53051501</v>
      </c>
      <c r="E465" t="s">
        <v>1308</v>
      </c>
      <c r="F465" s="1">
        <v>-85000</v>
      </c>
      <c r="G465" t="s">
        <v>1452</v>
      </c>
      <c r="H465" s="2">
        <v>45929</v>
      </c>
      <c r="I465" t="s">
        <v>1490</v>
      </c>
      <c r="J465" t="s">
        <v>1490</v>
      </c>
      <c r="K465" t="s">
        <v>534</v>
      </c>
      <c r="O465">
        <f t="shared" si="10"/>
        <v>9</v>
      </c>
      <c r="P465" t="str">
        <f>+VLOOKUP(O465,X:Y,2,0)</f>
        <v>Septiembre</v>
      </c>
    </row>
    <row r="466" spans="3:16" x14ac:dyDescent="0.35">
      <c r="C466" t="s">
        <v>14</v>
      </c>
      <c r="D466">
        <v>53051501</v>
      </c>
      <c r="E466" t="s">
        <v>1308</v>
      </c>
      <c r="F466" s="1">
        <v>-602761.5</v>
      </c>
      <c r="G466" t="s">
        <v>1452</v>
      </c>
      <c r="H466" s="2">
        <v>45929</v>
      </c>
      <c r="I466" t="s">
        <v>1490</v>
      </c>
      <c r="J466" t="s">
        <v>1490</v>
      </c>
      <c r="K466" t="s">
        <v>167</v>
      </c>
      <c r="O466">
        <f t="shared" si="10"/>
        <v>9</v>
      </c>
      <c r="P466" t="str">
        <f>+VLOOKUP(O466,X:Y,2,0)</f>
        <v>Septiembre</v>
      </c>
    </row>
    <row r="467" spans="3:16" x14ac:dyDescent="0.35">
      <c r="C467" t="s">
        <v>14</v>
      </c>
      <c r="D467">
        <v>53051501</v>
      </c>
      <c r="E467" t="s">
        <v>1308</v>
      </c>
      <c r="F467" s="1">
        <v>-8198900.46</v>
      </c>
      <c r="G467" t="s">
        <v>1452</v>
      </c>
      <c r="H467" s="2">
        <v>45929</v>
      </c>
      <c r="I467" t="s">
        <v>1490</v>
      </c>
      <c r="J467" t="s">
        <v>1490</v>
      </c>
      <c r="K467" t="s">
        <v>29</v>
      </c>
      <c r="O467">
        <f t="shared" si="10"/>
        <v>9</v>
      </c>
      <c r="P467" t="str">
        <f>+VLOOKUP(O467,X:Y,2,0)</f>
        <v>Septiembre</v>
      </c>
    </row>
    <row r="468" spans="3:16" x14ac:dyDescent="0.35">
      <c r="C468" t="s">
        <v>14</v>
      </c>
      <c r="D468">
        <v>53051501</v>
      </c>
      <c r="E468" t="s">
        <v>1308</v>
      </c>
      <c r="F468" s="1">
        <v>-435836.75</v>
      </c>
      <c r="G468" t="s">
        <v>1452</v>
      </c>
      <c r="H468" s="2">
        <v>45929</v>
      </c>
      <c r="I468" t="s">
        <v>1490</v>
      </c>
      <c r="J468" t="s">
        <v>1490</v>
      </c>
      <c r="K468" t="s">
        <v>46</v>
      </c>
      <c r="O468">
        <f t="shared" si="10"/>
        <v>9</v>
      </c>
      <c r="P468" t="str">
        <f>+VLOOKUP(O468,X:Y,2,0)</f>
        <v>Septiembre</v>
      </c>
    </row>
    <row r="469" spans="3:16" x14ac:dyDescent="0.35">
      <c r="C469" t="s">
        <v>14</v>
      </c>
      <c r="D469">
        <v>53051501</v>
      </c>
      <c r="E469" t="s">
        <v>1308</v>
      </c>
      <c r="F469" s="1">
        <v>3529</v>
      </c>
      <c r="G469" t="s">
        <v>1453</v>
      </c>
      <c r="H469" s="2">
        <v>45929</v>
      </c>
      <c r="I469" t="s">
        <v>1491</v>
      </c>
      <c r="J469" t="s">
        <v>1491</v>
      </c>
      <c r="K469" t="s">
        <v>29</v>
      </c>
      <c r="O469">
        <f t="shared" si="10"/>
        <v>9</v>
      </c>
      <c r="P469" t="str">
        <f>+VLOOKUP(O469,X:Y,2,0)</f>
        <v>Septiembre</v>
      </c>
    </row>
    <row r="470" spans="3:16" x14ac:dyDescent="0.35">
      <c r="C470" t="s">
        <v>14</v>
      </c>
      <c r="D470">
        <v>53051501</v>
      </c>
      <c r="E470" t="s">
        <v>1308</v>
      </c>
      <c r="F470" s="1">
        <v>1423500</v>
      </c>
      <c r="G470" t="s">
        <v>1454</v>
      </c>
      <c r="H470" s="2">
        <v>45930</v>
      </c>
      <c r="I470" t="s">
        <v>1492</v>
      </c>
      <c r="J470" t="s">
        <v>1492</v>
      </c>
      <c r="K470" t="s">
        <v>75</v>
      </c>
      <c r="O470">
        <f t="shared" si="10"/>
        <v>9</v>
      </c>
      <c r="P470" t="str">
        <f>+VLOOKUP(O470,X:Y,2,0)</f>
        <v>Septiembre</v>
      </c>
    </row>
    <row r="471" spans="3:16" x14ac:dyDescent="0.35">
      <c r="C471" t="s">
        <v>14</v>
      </c>
      <c r="D471">
        <v>53051501</v>
      </c>
      <c r="E471" t="s">
        <v>1308</v>
      </c>
      <c r="F471" s="1">
        <v>99500</v>
      </c>
      <c r="G471" t="s">
        <v>1455</v>
      </c>
      <c r="H471" s="2">
        <v>45930</v>
      </c>
      <c r="I471" t="s">
        <v>1493</v>
      </c>
      <c r="J471" t="s">
        <v>1493</v>
      </c>
      <c r="K471" t="s">
        <v>19</v>
      </c>
      <c r="O471">
        <f t="shared" si="10"/>
        <v>9</v>
      </c>
      <c r="P471" t="str">
        <f>+VLOOKUP(O471,X:Y,2,0)</f>
        <v>Septiembre</v>
      </c>
    </row>
    <row r="472" spans="3:16" x14ac:dyDescent="0.35">
      <c r="C472" t="s">
        <v>14</v>
      </c>
      <c r="D472">
        <v>53051501</v>
      </c>
      <c r="E472" t="s">
        <v>1308</v>
      </c>
      <c r="F472" s="1">
        <v>326967.11</v>
      </c>
      <c r="G472" t="s">
        <v>1456</v>
      </c>
      <c r="H472" s="2">
        <v>45930</v>
      </c>
      <c r="I472" t="s">
        <v>1494</v>
      </c>
      <c r="J472" t="s">
        <v>1494</v>
      </c>
      <c r="K472" t="s">
        <v>46</v>
      </c>
      <c r="O472">
        <f t="shared" si="10"/>
        <v>9</v>
      </c>
      <c r="P472" t="str">
        <f>+VLOOKUP(O472,X:Y,2,0)</f>
        <v>Septiembre</v>
      </c>
    </row>
    <row r="473" spans="3:16" x14ac:dyDescent="0.35">
      <c r="C473" t="s">
        <v>14</v>
      </c>
      <c r="D473">
        <v>53051501</v>
      </c>
      <c r="E473" t="s">
        <v>1308</v>
      </c>
      <c r="F473" s="1">
        <v>238180.6</v>
      </c>
      <c r="G473" t="s">
        <v>1513</v>
      </c>
      <c r="H473" s="2">
        <v>45930</v>
      </c>
      <c r="I473" t="s">
        <v>1520</v>
      </c>
      <c r="J473" t="s">
        <v>1520</v>
      </c>
      <c r="K473" t="s">
        <v>1512</v>
      </c>
      <c r="O473">
        <f t="shared" si="10"/>
        <v>9</v>
      </c>
      <c r="P473" t="str">
        <f>+VLOOKUP(O473,X:Y,2,0)</f>
        <v>Septiembre</v>
      </c>
    </row>
    <row r="474" spans="3:16" x14ac:dyDescent="0.35">
      <c r="C474" t="s">
        <v>14</v>
      </c>
      <c r="D474">
        <v>53051501</v>
      </c>
      <c r="E474" t="s">
        <v>1308</v>
      </c>
      <c r="F474" s="1">
        <v>19528</v>
      </c>
      <c r="G474" t="s">
        <v>1514</v>
      </c>
      <c r="H474" s="2">
        <v>45930</v>
      </c>
      <c r="I474" t="s">
        <v>1521</v>
      </c>
      <c r="J474" t="s">
        <v>1521</v>
      </c>
      <c r="K474" t="s">
        <v>19</v>
      </c>
      <c r="O474">
        <f t="shared" si="10"/>
        <v>9</v>
      </c>
      <c r="P474" t="str">
        <f>+VLOOKUP(O474,X:Y,2,0)</f>
        <v>Septiembre</v>
      </c>
    </row>
    <row r="475" spans="3:16" x14ac:dyDescent="0.35">
      <c r="C475" t="s">
        <v>14</v>
      </c>
      <c r="D475">
        <v>53051501</v>
      </c>
      <c r="E475" t="s">
        <v>1308</v>
      </c>
      <c r="F475" s="1">
        <v>85000</v>
      </c>
      <c r="G475" t="s">
        <v>1515</v>
      </c>
      <c r="H475" s="2">
        <v>45930</v>
      </c>
      <c r="I475" t="s">
        <v>1522</v>
      </c>
      <c r="J475" t="s">
        <v>1522</v>
      </c>
      <c r="K475" t="s">
        <v>534</v>
      </c>
      <c r="O475">
        <f t="shared" si="10"/>
        <v>9</v>
      </c>
      <c r="P475" t="str">
        <f>+VLOOKUP(O475,X:Y,2,0)</f>
        <v>Septiembre</v>
      </c>
    </row>
    <row r="476" spans="3:16" x14ac:dyDescent="0.35">
      <c r="C476" t="s">
        <v>14</v>
      </c>
      <c r="D476">
        <v>53051501</v>
      </c>
      <c r="E476" t="s">
        <v>1308</v>
      </c>
      <c r="F476" s="1">
        <v>2614908.6800000002</v>
      </c>
      <c r="G476" t="s">
        <v>1516</v>
      </c>
      <c r="H476" s="2">
        <v>45930</v>
      </c>
      <c r="I476" t="s">
        <v>1523</v>
      </c>
      <c r="J476" t="s">
        <v>1523</v>
      </c>
      <c r="K476" t="s">
        <v>29</v>
      </c>
      <c r="O476">
        <f t="shared" si="10"/>
        <v>9</v>
      </c>
      <c r="P476" t="str">
        <f>+VLOOKUP(O476,X:Y,2,0)</f>
        <v>Septiembre</v>
      </c>
    </row>
    <row r="477" spans="3:16" x14ac:dyDescent="0.35">
      <c r="C477" t="s">
        <v>14</v>
      </c>
      <c r="D477">
        <v>53051501</v>
      </c>
      <c r="E477" t="s">
        <v>1308</v>
      </c>
      <c r="F477" s="1">
        <v>725198.32</v>
      </c>
      <c r="G477" t="s">
        <v>1517</v>
      </c>
      <c r="H477" s="2">
        <v>45930</v>
      </c>
      <c r="I477" t="s">
        <v>1524</v>
      </c>
      <c r="J477" t="s">
        <v>1524</v>
      </c>
      <c r="K477" t="s">
        <v>29</v>
      </c>
      <c r="O477">
        <f t="shared" si="10"/>
        <v>9</v>
      </c>
      <c r="P477" t="str">
        <f>+VLOOKUP(O477,X:Y,2,0)</f>
        <v>Septiembre</v>
      </c>
    </row>
    <row r="478" spans="3:16" x14ac:dyDescent="0.35">
      <c r="C478" t="s">
        <v>14</v>
      </c>
      <c r="D478">
        <v>53051501</v>
      </c>
      <c r="E478" t="s">
        <v>1308</v>
      </c>
      <c r="F478" s="1">
        <v>1248380</v>
      </c>
      <c r="G478" t="s">
        <v>1518</v>
      </c>
      <c r="H478" s="2">
        <v>45930</v>
      </c>
      <c r="I478" t="s">
        <v>1525</v>
      </c>
      <c r="J478" t="s">
        <v>1525</v>
      </c>
      <c r="K478" t="s">
        <v>19</v>
      </c>
      <c r="O478">
        <f t="shared" si="10"/>
        <v>9</v>
      </c>
      <c r="P478" t="str">
        <f>+VLOOKUP(O478,X:Y,2,0)</f>
        <v>Septiembre</v>
      </c>
    </row>
    <row r="479" spans="3:16" x14ac:dyDescent="0.35">
      <c r="C479" t="s">
        <v>14</v>
      </c>
      <c r="D479">
        <v>53051501</v>
      </c>
      <c r="E479" t="s">
        <v>1308</v>
      </c>
      <c r="F479" s="1">
        <v>72800</v>
      </c>
      <c r="G479" t="s">
        <v>1519</v>
      </c>
      <c r="H479" s="2">
        <v>45930</v>
      </c>
      <c r="I479" t="s">
        <v>1526</v>
      </c>
      <c r="J479" t="s">
        <v>1526</v>
      </c>
      <c r="K479" t="s">
        <v>40</v>
      </c>
      <c r="O479">
        <f t="shared" si="10"/>
        <v>9</v>
      </c>
      <c r="P479" t="str">
        <f>+VLOOKUP(O479,X:Y,2,0)</f>
        <v>Septiembre</v>
      </c>
    </row>
    <row r="480" spans="3:16" x14ac:dyDescent="0.35">
      <c r="C480" t="s">
        <v>14</v>
      </c>
      <c r="D480">
        <v>53051501</v>
      </c>
      <c r="E480" t="s">
        <v>1308</v>
      </c>
      <c r="F480" s="39">
        <v>-4503836.42</v>
      </c>
      <c r="G480" s="37" t="s">
        <v>1528</v>
      </c>
      <c r="H480" s="38">
        <v>45930</v>
      </c>
      <c r="I480" s="37" t="s">
        <v>1530</v>
      </c>
      <c r="J480" s="37" t="s">
        <v>1530</v>
      </c>
      <c r="K480" t="s">
        <v>40</v>
      </c>
      <c r="O480">
        <f t="shared" si="10"/>
        <v>9</v>
      </c>
      <c r="P480" t="str">
        <f>+VLOOKUP(O480,X:Y,2,0)</f>
        <v>Septiembre</v>
      </c>
    </row>
    <row r="481" spans="3:16" x14ac:dyDescent="0.35">
      <c r="C481" t="s">
        <v>14</v>
      </c>
      <c r="D481">
        <v>53051501</v>
      </c>
      <c r="E481" t="s">
        <v>1308</v>
      </c>
      <c r="F481" s="1">
        <v>3250000</v>
      </c>
      <c r="G481" t="s">
        <v>1457</v>
      </c>
      <c r="H481" s="2">
        <v>45930</v>
      </c>
      <c r="I481" t="s">
        <v>1495</v>
      </c>
      <c r="J481" t="s">
        <v>1495</v>
      </c>
      <c r="K481" t="s">
        <v>44</v>
      </c>
      <c r="O481">
        <f t="shared" si="10"/>
        <v>9</v>
      </c>
      <c r="P481" t="str">
        <f>+VLOOKUP(O481,X:Y,2,0)</f>
        <v>Septiembre</v>
      </c>
    </row>
    <row r="482" spans="3:16" x14ac:dyDescent="0.35">
      <c r="C482" t="s">
        <v>14</v>
      </c>
      <c r="D482">
        <v>53051502</v>
      </c>
      <c r="E482" t="s">
        <v>1309</v>
      </c>
      <c r="F482" s="1">
        <v>8316266.0999999996</v>
      </c>
      <c r="G482" t="s">
        <v>1458</v>
      </c>
      <c r="H482" s="2">
        <v>45904</v>
      </c>
      <c r="I482" t="s">
        <v>1496</v>
      </c>
      <c r="J482" t="s">
        <v>1496</v>
      </c>
      <c r="K482" t="s">
        <v>40</v>
      </c>
      <c r="O482">
        <f t="shared" si="10"/>
        <v>9</v>
      </c>
      <c r="P482" t="str">
        <f>+VLOOKUP(O482,X:Y,2,0)</f>
        <v>Septiembre</v>
      </c>
    </row>
    <row r="483" spans="3:16" x14ac:dyDescent="0.35">
      <c r="C483" t="s">
        <v>14</v>
      </c>
      <c r="D483">
        <v>53051502</v>
      </c>
      <c r="E483" t="s">
        <v>1309</v>
      </c>
      <c r="F483" s="1">
        <v>4503836.42</v>
      </c>
      <c r="G483" t="s">
        <v>1459</v>
      </c>
      <c r="H483" s="2">
        <v>45904</v>
      </c>
      <c r="I483" t="s">
        <v>1497</v>
      </c>
      <c r="J483" t="s">
        <v>1497</v>
      </c>
      <c r="K483" t="s">
        <v>40</v>
      </c>
      <c r="O483">
        <f t="shared" si="10"/>
        <v>9</v>
      </c>
      <c r="P483" t="str">
        <f>+VLOOKUP(O483,X:Y,2,0)</f>
        <v>Septiembre</v>
      </c>
    </row>
    <row r="484" spans="3:16" x14ac:dyDescent="0.35">
      <c r="C484" t="s">
        <v>14</v>
      </c>
      <c r="D484">
        <v>53051502</v>
      </c>
      <c r="E484" t="s">
        <v>1309</v>
      </c>
      <c r="F484" s="1">
        <v>8898788.9499999993</v>
      </c>
      <c r="G484" t="s">
        <v>1460</v>
      </c>
      <c r="H484" s="2">
        <v>45905</v>
      </c>
      <c r="I484" t="s">
        <v>1498</v>
      </c>
      <c r="J484" t="s">
        <v>1498</v>
      </c>
      <c r="K484" t="s">
        <v>40</v>
      </c>
      <c r="O484">
        <f t="shared" si="10"/>
        <v>9</v>
      </c>
      <c r="P484" t="str">
        <f>+VLOOKUP(O484,X:Y,2,0)</f>
        <v>Septiembre</v>
      </c>
    </row>
    <row r="485" spans="3:16" x14ac:dyDescent="0.35">
      <c r="C485" t="s">
        <v>14</v>
      </c>
      <c r="D485">
        <v>53051502</v>
      </c>
      <c r="E485" t="s">
        <v>1309</v>
      </c>
      <c r="F485" s="1">
        <v>9377974.2300000004</v>
      </c>
      <c r="G485" t="s">
        <v>1461</v>
      </c>
      <c r="H485" s="2">
        <v>45905</v>
      </c>
      <c r="I485" t="s">
        <v>1499</v>
      </c>
      <c r="J485" t="s">
        <v>1499</v>
      </c>
      <c r="K485" t="s">
        <v>172</v>
      </c>
      <c r="O485">
        <f t="shared" si="10"/>
        <v>9</v>
      </c>
      <c r="P485" t="str">
        <f>+VLOOKUP(O485,X:Y,2,0)</f>
        <v>Septiembre</v>
      </c>
    </row>
    <row r="486" spans="3:16" x14ac:dyDescent="0.35">
      <c r="C486" t="s">
        <v>14</v>
      </c>
      <c r="D486">
        <v>53051502</v>
      </c>
      <c r="E486" t="s">
        <v>1309</v>
      </c>
      <c r="F486" s="1">
        <v>3822352.84</v>
      </c>
      <c r="G486" s="37" t="s">
        <v>1462</v>
      </c>
      <c r="H486" s="2">
        <v>45905</v>
      </c>
      <c r="I486" t="s">
        <v>1500</v>
      </c>
      <c r="J486" t="s">
        <v>1500</v>
      </c>
      <c r="K486" s="37" t="s">
        <v>1512</v>
      </c>
      <c r="O486">
        <f t="shared" si="10"/>
        <v>9</v>
      </c>
      <c r="P486" t="str">
        <f>+VLOOKUP(O486,X:Y,2,0)</f>
        <v>Septiembre</v>
      </c>
    </row>
    <row r="487" spans="3:16" x14ac:dyDescent="0.35">
      <c r="C487" t="s">
        <v>14</v>
      </c>
      <c r="D487">
        <v>53051502</v>
      </c>
      <c r="E487" t="s">
        <v>1309</v>
      </c>
      <c r="F487" s="1">
        <v>8322514.0499999998</v>
      </c>
      <c r="G487" t="s">
        <v>1463</v>
      </c>
      <c r="H487" s="2">
        <v>45912</v>
      </c>
      <c r="I487" t="s">
        <v>1501</v>
      </c>
      <c r="J487" t="s">
        <v>1501</v>
      </c>
      <c r="K487" t="s">
        <v>40</v>
      </c>
      <c r="O487">
        <f t="shared" si="10"/>
        <v>9</v>
      </c>
      <c r="P487" t="str">
        <f>+VLOOKUP(O487,X:Y,2,0)</f>
        <v>Septiembre</v>
      </c>
    </row>
    <row r="488" spans="3:16" x14ac:dyDescent="0.35">
      <c r="C488" t="s">
        <v>14</v>
      </c>
      <c r="D488">
        <v>53051502</v>
      </c>
      <c r="E488" t="s">
        <v>1309</v>
      </c>
      <c r="F488" s="1">
        <v>884743</v>
      </c>
      <c r="G488" t="s">
        <v>1464</v>
      </c>
      <c r="H488" s="2">
        <v>45912</v>
      </c>
      <c r="I488" t="s">
        <v>1502</v>
      </c>
      <c r="J488" t="s">
        <v>1502</v>
      </c>
      <c r="K488" t="s">
        <v>1512</v>
      </c>
      <c r="O488">
        <f t="shared" si="10"/>
        <v>9</v>
      </c>
      <c r="P488" t="str">
        <f>+VLOOKUP(O488,X:Y,2,0)</f>
        <v>Septiembre</v>
      </c>
    </row>
    <row r="489" spans="3:16" x14ac:dyDescent="0.35">
      <c r="C489" t="s">
        <v>14</v>
      </c>
      <c r="D489">
        <v>53051502</v>
      </c>
      <c r="E489" t="s">
        <v>1309</v>
      </c>
      <c r="F489" s="1">
        <v>46412961.469999999</v>
      </c>
      <c r="G489" t="s">
        <v>1433</v>
      </c>
      <c r="H489" s="2">
        <v>45912</v>
      </c>
      <c r="K489" t="s">
        <v>40</v>
      </c>
      <c r="O489">
        <f t="shared" si="10"/>
        <v>9</v>
      </c>
      <c r="P489" t="str">
        <f>+VLOOKUP(O489,X:Y,2,0)</f>
        <v>Septiembre</v>
      </c>
    </row>
    <row r="490" spans="3:16" x14ac:dyDescent="0.35">
      <c r="C490" t="s">
        <v>14</v>
      </c>
      <c r="D490">
        <v>53051502</v>
      </c>
      <c r="E490" t="s">
        <v>1309</v>
      </c>
      <c r="F490" s="1">
        <v>5053878</v>
      </c>
      <c r="G490" t="s">
        <v>1433</v>
      </c>
      <c r="H490" s="2">
        <v>45912</v>
      </c>
      <c r="K490" t="s">
        <v>1512</v>
      </c>
      <c r="O490">
        <f t="shared" si="10"/>
        <v>9</v>
      </c>
      <c r="P490" t="str">
        <f>+VLOOKUP(O490,X:Y,2,0)</f>
        <v>Septiembre</v>
      </c>
    </row>
    <row r="491" spans="3:16" x14ac:dyDescent="0.35">
      <c r="C491" t="s">
        <v>14</v>
      </c>
      <c r="D491">
        <v>53051502</v>
      </c>
      <c r="E491" t="s">
        <v>1309</v>
      </c>
      <c r="F491" s="1">
        <v>3048560.25</v>
      </c>
      <c r="G491" t="s">
        <v>1433</v>
      </c>
      <c r="H491" s="2">
        <v>45912</v>
      </c>
      <c r="K491" t="s">
        <v>29</v>
      </c>
      <c r="O491">
        <f t="shared" si="10"/>
        <v>9</v>
      </c>
      <c r="P491" t="str">
        <f>+VLOOKUP(O491,X:Y,2,0)</f>
        <v>Septiembre</v>
      </c>
    </row>
    <row r="492" spans="3:16" x14ac:dyDescent="0.35">
      <c r="C492" t="s">
        <v>14</v>
      </c>
      <c r="D492">
        <v>53051502</v>
      </c>
      <c r="E492" t="s">
        <v>1309</v>
      </c>
      <c r="F492" s="1">
        <v>3627582.23</v>
      </c>
      <c r="G492" t="s">
        <v>1465</v>
      </c>
      <c r="H492" s="2">
        <v>45915</v>
      </c>
      <c r="I492" t="s">
        <v>1503</v>
      </c>
      <c r="J492" t="s">
        <v>1503</v>
      </c>
      <c r="K492" t="s">
        <v>172</v>
      </c>
      <c r="O492">
        <f t="shared" si="10"/>
        <v>9</v>
      </c>
      <c r="P492" t="str">
        <f>+VLOOKUP(O492,X:Y,2,0)</f>
        <v>Septiembre</v>
      </c>
    </row>
    <row r="493" spans="3:16" x14ac:dyDescent="0.35">
      <c r="C493" t="s">
        <v>14</v>
      </c>
      <c r="D493">
        <v>53051502</v>
      </c>
      <c r="E493" t="s">
        <v>1309</v>
      </c>
      <c r="F493" s="1">
        <v>7954700.4400000004</v>
      </c>
      <c r="G493" t="s">
        <v>1466</v>
      </c>
      <c r="H493" s="2">
        <v>45919</v>
      </c>
      <c r="I493" t="s">
        <v>1504</v>
      </c>
      <c r="J493" t="s">
        <v>1504</v>
      </c>
      <c r="K493" t="s">
        <v>40</v>
      </c>
      <c r="O493">
        <f t="shared" si="10"/>
        <v>9</v>
      </c>
      <c r="P493" t="str">
        <f>+VLOOKUP(O493,X:Y,2,0)</f>
        <v>Septiembre</v>
      </c>
    </row>
    <row r="494" spans="3:16" x14ac:dyDescent="0.35">
      <c r="C494" t="s">
        <v>14</v>
      </c>
      <c r="D494">
        <v>53051502</v>
      </c>
      <c r="E494" t="s">
        <v>1309</v>
      </c>
      <c r="F494" s="1">
        <v>4657397</v>
      </c>
      <c r="G494" t="s">
        <v>1440</v>
      </c>
      <c r="H494" s="2">
        <v>45919</v>
      </c>
      <c r="I494" t="s">
        <v>1483</v>
      </c>
      <c r="J494" t="s">
        <v>1483</v>
      </c>
      <c r="K494" t="s">
        <v>172</v>
      </c>
      <c r="O494">
        <f t="shared" ref="O494:O500" si="11">+MONTH(H494)</f>
        <v>9</v>
      </c>
      <c r="P494" t="str">
        <f>+VLOOKUP(O494,X:Y,2,0)</f>
        <v>Septiembre</v>
      </c>
    </row>
    <row r="495" spans="3:16" x14ac:dyDescent="0.35">
      <c r="C495" t="s">
        <v>14</v>
      </c>
      <c r="D495">
        <v>53051502</v>
      </c>
      <c r="E495" t="s">
        <v>1309</v>
      </c>
      <c r="F495" s="1">
        <v>4406293</v>
      </c>
      <c r="G495" s="37" t="s">
        <v>1467</v>
      </c>
      <c r="H495" s="2">
        <v>45919</v>
      </c>
      <c r="I495" t="s">
        <v>1505</v>
      </c>
      <c r="J495" t="s">
        <v>1505</v>
      </c>
      <c r="K495" s="37" t="s">
        <v>1512</v>
      </c>
      <c r="O495">
        <f t="shared" si="11"/>
        <v>9</v>
      </c>
      <c r="P495" t="str">
        <f>+VLOOKUP(O495,X:Y,2,0)</f>
        <v>Septiembre</v>
      </c>
    </row>
    <row r="496" spans="3:16" x14ac:dyDescent="0.35">
      <c r="C496" t="s">
        <v>14</v>
      </c>
      <c r="D496">
        <v>53051502</v>
      </c>
      <c r="E496" t="s">
        <v>1309</v>
      </c>
      <c r="F496" s="1">
        <v>11581864.460000001</v>
      </c>
      <c r="G496" t="s">
        <v>1468</v>
      </c>
      <c r="H496" s="2">
        <v>45925</v>
      </c>
      <c r="I496" t="s">
        <v>1506</v>
      </c>
      <c r="J496" t="s">
        <v>1506</v>
      </c>
      <c r="K496" t="s">
        <v>172</v>
      </c>
      <c r="O496">
        <f t="shared" si="11"/>
        <v>9</v>
      </c>
      <c r="P496" t="str">
        <f>+VLOOKUP(O496,X:Y,2,0)</f>
        <v>Septiembre</v>
      </c>
    </row>
    <row r="497" spans="3:16" x14ac:dyDescent="0.35">
      <c r="C497" t="s">
        <v>14</v>
      </c>
      <c r="D497">
        <v>53051502</v>
      </c>
      <c r="E497" t="s">
        <v>1309</v>
      </c>
      <c r="F497" s="1">
        <v>1427631</v>
      </c>
      <c r="G497" t="s">
        <v>1469</v>
      </c>
      <c r="H497" s="2">
        <v>45930</v>
      </c>
      <c r="I497" t="s">
        <v>1507</v>
      </c>
      <c r="J497" t="s">
        <v>1507</v>
      </c>
      <c r="K497" t="s">
        <v>29</v>
      </c>
      <c r="O497">
        <f t="shared" si="11"/>
        <v>9</v>
      </c>
      <c r="P497" t="str">
        <f>+VLOOKUP(O497,X:Y,2,0)</f>
        <v>Septiembre</v>
      </c>
    </row>
    <row r="498" spans="3:16" x14ac:dyDescent="0.35">
      <c r="C498" t="s">
        <v>14</v>
      </c>
      <c r="D498">
        <v>53051502</v>
      </c>
      <c r="E498" t="s">
        <v>1309</v>
      </c>
      <c r="F498" s="1">
        <v>5864771</v>
      </c>
      <c r="G498" t="s">
        <v>1470</v>
      </c>
      <c r="H498" s="2">
        <v>45930</v>
      </c>
      <c r="I498" t="s">
        <v>1508</v>
      </c>
      <c r="J498" t="s">
        <v>1508</v>
      </c>
      <c r="K498" t="s">
        <v>29</v>
      </c>
      <c r="O498">
        <f t="shared" si="11"/>
        <v>9</v>
      </c>
      <c r="P498" t="str">
        <f>+VLOOKUP(O498,X:Y,2,0)</f>
        <v>Septiembre</v>
      </c>
    </row>
    <row r="499" spans="3:16" x14ac:dyDescent="0.35">
      <c r="C499" t="s">
        <v>14</v>
      </c>
      <c r="D499">
        <v>53051502</v>
      </c>
      <c r="E499" t="s">
        <v>1309</v>
      </c>
      <c r="F499" s="1">
        <v>3589614.87</v>
      </c>
      <c r="G499" t="s">
        <v>1471</v>
      </c>
      <c r="H499" s="2">
        <v>45930</v>
      </c>
      <c r="I499" t="s">
        <v>1509</v>
      </c>
      <c r="J499" t="s">
        <v>1509</v>
      </c>
      <c r="K499" t="s">
        <v>40</v>
      </c>
      <c r="O499">
        <f t="shared" si="11"/>
        <v>9</v>
      </c>
      <c r="P499" t="str">
        <f>+VLOOKUP(O499,X:Y,2,0)</f>
        <v>Septiembre</v>
      </c>
    </row>
    <row r="500" spans="3:16" x14ac:dyDescent="0.35">
      <c r="C500" t="s">
        <v>14</v>
      </c>
      <c r="D500">
        <v>53051502</v>
      </c>
      <c r="E500" t="s">
        <v>1309</v>
      </c>
      <c r="F500" s="1">
        <v>12668288.76</v>
      </c>
      <c r="G500" t="s">
        <v>1472</v>
      </c>
      <c r="H500" s="2">
        <v>45930</v>
      </c>
      <c r="I500" t="s">
        <v>1510</v>
      </c>
      <c r="J500" t="s">
        <v>1510</v>
      </c>
      <c r="K500" t="s">
        <v>40</v>
      </c>
      <c r="O500">
        <f t="shared" si="11"/>
        <v>9</v>
      </c>
      <c r="P500" t="str">
        <f>+VLOOKUP(O500,X:Y,2,0)</f>
        <v>Septiembre</v>
      </c>
    </row>
    <row r="501" spans="3:16" x14ac:dyDescent="0.35">
      <c r="C501" t="s">
        <v>14</v>
      </c>
      <c r="D501">
        <v>53051502</v>
      </c>
      <c r="E501" t="s">
        <v>1309</v>
      </c>
      <c r="F501" s="1">
        <v>5083142.5999999996</v>
      </c>
      <c r="G501" t="s">
        <v>1473</v>
      </c>
      <c r="H501" s="2">
        <v>45930</v>
      </c>
      <c r="I501" t="s">
        <v>1511</v>
      </c>
      <c r="J501" t="s">
        <v>1511</v>
      </c>
      <c r="K501" t="s">
        <v>40</v>
      </c>
      <c r="O501">
        <f t="shared" ref="O501:O506" si="12">+MONTH(H501)</f>
        <v>9</v>
      </c>
      <c r="P501" t="str">
        <f>+VLOOKUP(O501,X:Y,2,0)</f>
        <v>Septiembre</v>
      </c>
    </row>
    <row r="502" spans="3:16" x14ac:dyDescent="0.35">
      <c r="C502" t="s">
        <v>14</v>
      </c>
      <c r="D502">
        <v>53051502</v>
      </c>
      <c r="E502" t="s">
        <v>1309</v>
      </c>
      <c r="F502" s="1">
        <v>-65666624</v>
      </c>
      <c r="G502" t="s">
        <v>1529</v>
      </c>
      <c r="H502" s="2">
        <v>45930</v>
      </c>
      <c r="I502" t="s">
        <v>1531</v>
      </c>
      <c r="J502" t="s">
        <v>1531</v>
      </c>
      <c r="K502" t="s">
        <v>40</v>
      </c>
      <c r="O502">
        <f t="shared" si="12"/>
        <v>9</v>
      </c>
      <c r="P502" t="str">
        <f>+VLOOKUP(O502,X:Y,2,0)</f>
        <v>Septiembre</v>
      </c>
    </row>
    <row r="503" spans="3:16" x14ac:dyDescent="0.35">
      <c r="C503" t="s">
        <v>14</v>
      </c>
      <c r="D503">
        <v>53051502</v>
      </c>
      <c r="E503" t="s">
        <v>1309</v>
      </c>
      <c r="F503" s="1">
        <v>-5291036</v>
      </c>
      <c r="G503" t="s">
        <v>1529</v>
      </c>
      <c r="H503" s="2">
        <v>45930</v>
      </c>
      <c r="I503" t="s">
        <v>1531</v>
      </c>
      <c r="J503" t="s">
        <v>1531</v>
      </c>
      <c r="K503" t="s">
        <v>1512</v>
      </c>
      <c r="O503">
        <f t="shared" si="12"/>
        <v>9</v>
      </c>
      <c r="P503" t="str">
        <f>+VLOOKUP(O503,X:Y,2,0)</f>
        <v>Septiembre</v>
      </c>
    </row>
    <row r="504" spans="3:16" x14ac:dyDescent="0.35">
      <c r="C504" t="s">
        <v>14</v>
      </c>
      <c r="D504">
        <v>53051502</v>
      </c>
      <c r="E504" t="s">
        <v>1309</v>
      </c>
      <c r="F504" s="1">
        <v>-5864771</v>
      </c>
      <c r="G504" t="s">
        <v>1529</v>
      </c>
      <c r="H504" s="2">
        <v>45930</v>
      </c>
      <c r="I504" t="s">
        <v>1531</v>
      </c>
      <c r="J504" t="s">
        <v>1531</v>
      </c>
      <c r="K504" t="s">
        <v>29</v>
      </c>
      <c r="O504">
        <f t="shared" si="12"/>
        <v>9</v>
      </c>
      <c r="P504" t="str">
        <f>+VLOOKUP(O504,X:Y,2,0)</f>
        <v>Septiembre</v>
      </c>
    </row>
    <row r="505" spans="3:16" x14ac:dyDescent="0.35">
      <c r="C505" t="s">
        <v>14</v>
      </c>
      <c r="D505">
        <v>53051502</v>
      </c>
      <c r="E505" t="s">
        <v>1309</v>
      </c>
      <c r="F505" s="1">
        <v>-11783160.6</v>
      </c>
      <c r="G505" t="s">
        <v>1529</v>
      </c>
      <c r="H505" s="2">
        <v>45930</v>
      </c>
      <c r="I505" t="s">
        <v>1531</v>
      </c>
      <c r="J505" t="s">
        <v>1531</v>
      </c>
      <c r="K505" t="s">
        <v>172</v>
      </c>
      <c r="O505">
        <f t="shared" si="12"/>
        <v>9</v>
      </c>
      <c r="P505" t="str">
        <f>+VLOOKUP(O505,X:Y,2,0)</f>
        <v>Septiembre</v>
      </c>
    </row>
    <row r="506" spans="3:16" x14ac:dyDescent="0.35">
      <c r="C506" t="s">
        <v>14</v>
      </c>
      <c r="D506">
        <v>53051502</v>
      </c>
      <c r="E506" t="s">
        <v>1309</v>
      </c>
      <c r="F506" s="1">
        <v>4503836.42</v>
      </c>
      <c r="G506" t="s">
        <v>1528</v>
      </c>
      <c r="H506" s="2">
        <v>45930</v>
      </c>
      <c r="I506" t="s">
        <v>1530</v>
      </c>
      <c r="J506" t="s">
        <v>1530</v>
      </c>
      <c r="K506" t="s">
        <v>40</v>
      </c>
      <c r="O506">
        <f t="shared" si="12"/>
        <v>9</v>
      </c>
      <c r="P506" t="str">
        <f>+VLOOKUP(O506,X:Y,2,0)</f>
        <v>Septiembre</v>
      </c>
    </row>
    <row r="507" spans="3:16" s="43" customFormat="1" ht="6.75" customHeight="1" x14ac:dyDescent="0.35">
      <c r="F507" s="44"/>
    </row>
    <row r="508" spans="3:16" x14ac:dyDescent="0.35">
      <c r="C508" t="s">
        <v>14</v>
      </c>
      <c r="D508">
        <v>53051502</v>
      </c>
      <c r="E508" t="s">
        <v>1309</v>
      </c>
      <c r="F508" s="1">
        <v>5291035</v>
      </c>
      <c r="G508" t="s">
        <v>1543</v>
      </c>
      <c r="H508" s="2">
        <v>45946</v>
      </c>
      <c r="I508" t="s">
        <v>1595</v>
      </c>
      <c r="J508" t="s">
        <v>1595</v>
      </c>
      <c r="K508" t="s">
        <v>1512</v>
      </c>
      <c r="O508">
        <f t="shared" ref="O508" si="13">+MONTH(H508)</f>
        <v>10</v>
      </c>
      <c r="P508" t="str">
        <f>+VLOOKUP(O508,X:Y,2,0)</f>
        <v>Octubre</v>
      </c>
    </row>
    <row r="509" spans="3:16" x14ac:dyDescent="0.35">
      <c r="C509" t="s">
        <v>14</v>
      </c>
      <c r="D509">
        <v>53051502</v>
      </c>
      <c r="E509" t="s">
        <v>1309</v>
      </c>
      <c r="F509" s="1">
        <v>3163943.31</v>
      </c>
      <c r="G509" t="s">
        <v>1544</v>
      </c>
      <c r="H509" s="2">
        <v>45947</v>
      </c>
      <c r="I509" t="s">
        <v>1596</v>
      </c>
      <c r="J509" t="s">
        <v>1596</v>
      </c>
      <c r="K509" t="s">
        <v>40</v>
      </c>
      <c r="O509">
        <f t="shared" ref="O509:O569" si="14">+MONTH(H509)</f>
        <v>10</v>
      </c>
      <c r="P509" t="str">
        <f>+VLOOKUP(O509,X:Y,2,0)</f>
        <v>Octubre</v>
      </c>
    </row>
    <row r="510" spans="3:16" x14ac:dyDescent="0.35">
      <c r="C510" t="s">
        <v>14</v>
      </c>
      <c r="D510">
        <v>53051502</v>
      </c>
      <c r="E510" t="s">
        <v>1309</v>
      </c>
      <c r="F510" s="1">
        <v>10865558.289999999</v>
      </c>
      <c r="G510" t="s">
        <v>1545</v>
      </c>
      <c r="H510" s="2">
        <v>45947</v>
      </c>
      <c r="I510" t="s">
        <v>1597</v>
      </c>
      <c r="J510" t="s">
        <v>1597</v>
      </c>
      <c r="K510" t="s">
        <v>40</v>
      </c>
      <c r="O510">
        <f t="shared" si="14"/>
        <v>10</v>
      </c>
      <c r="P510" t="str">
        <f>+VLOOKUP(O510,X:Y,2,0)</f>
        <v>Octubre</v>
      </c>
    </row>
    <row r="511" spans="3:16" x14ac:dyDescent="0.35">
      <c r="C511" t="s">
        <v>14</v>
      </c>
      <c r="D511">
        <v>53051502</v>
      </c>
      <c r="E511" t="s">
        <v>1309</v>
      </c>
      <c r="F511" s="1">
        <v>3597316.73</v>
      </c>
      <c r="G511" t="s">
        <v>1546</v>
      </c>
      <c r="H511" s="2">
        <v>45947</v>
      </c>
      <c r="I511" t="s">
        <v>1598</v>
      </c>
      <c r="J511" t="s">
        <v>1598</v>
      </c>
      <c r="K511" t="s">
        <v>172</v>
      </c>
      <c r="O511">
        <f t="shared" si="14"/>
        <v>10</v>
      </c>
      <c r="P511" t="str">
        <f>+VLOOKUP(O511,X:Y,2,0)</f>
        <v>Octubre</v>
      </c>
    </row>
    <row r="512" spans="3:16" x14ac:dyDescent="0.35">
      <c r="C512" t="s">
        <v>14</v>
      </c>
      <c r="D512">
        <v>53051502</v>
      </c>
      <c r="E512" t="s">
        <v>1309</v>
      </c>
      <c r="F512" s="1">
        <v>5730641.7000000002</v>
      </c>
      <c r="G512" t="s">
        <v>1547</v>
      </c>
      <c r="H512" s="2">
        <v>45952</v>
      </c>
      <c r="I512" t="s">
        <v>1599</v>
      </c>
      <c r="J512" t="s">
        <v>1599</v>
      </c>
      <c r="K512" t="s">
        <v>40</v>
      </c>
      <c r="O512">
        <f t="shared" si="14"/>
        <v>10</v>
      </c>
      <c r="P512" t="str">
        <f>+VLOOKUP(O512,X:Y,2,0)</f>
        <v>Octubre</v>
      </c>
    </row>
    <row r="513" spans="3:16" x14ac:dyDescent="0.35">
      <c r="C513" t="s">
        <v>14</v>
      </c>
      <c r="D513">
        <v>53051502</v>
      </c>
      <c r="E513" t="s">
        <v>1309</v>
      </c>
      <c r="F513" s="1">
        <v>7719622</v>
      </c>
      <c r="G513" t="s">
        <v>1548</v>
      </c>
      <c r="H513" s="2">
        <v>45952</v>
      </c>
      <c r="I513" t="s">
        <v>1600</v>
      </c>
      <c r="J513" t="s">
        <v>1600</v>
      </c>
      <c r="K513" t="s">
        <v>1512</v>
      </c>
      <c r="O513">
        <f t="shared" si="14"/>
        <v>10</v>
      </c>
      <c r="P513" t="str">
        <f>+VLOOKUP(O513,X:Y,2,0)</f>
        <v>Octubre</v>
      </c>
    </row>
    <row r="514" spans="3:16" x14ac:dyDescent="0.35">
      <c r="C514" t="s">
        <v>14</v>
      </c>
      <c r="D514">
        <v>53051502</v>
      </c>
      <c r="E514" t="s">
        <v>1309</v>
      </c>
      <c r="F514" s="1">
        <v>5864771</v>
      </c>
      <c r="G514" t="s">
        <v>1549</v>
      </c>
      <c r="H514" s="2">
        <v>45953</v>
      </c>
      <c r="I514" t="s">
        <v>1601</v>
      </c>
      <c r="J514" t="s">
        <v>1601</v>
      </c>
      <c r="K514" t="s">
        <v>29</v>
      </c>
      <c r="O514">
        <f t="shared" si="14"/>
        <v>10</v>
      </c>
      <c r="P514" t="str">
        <f>+VLOOKUP(O514,X:Y,2,0)</f>
        <v>Octubre</v>
      </c>
    </row>
    <row r="515" spans="3:16" x14ac:dyDescent="0.35">
      <c r="C515" t="s">
        <v>14</v>
      </c>
      <c r="D515">
        <v>53051502</v>
      </c>
      <c r="E515" t="s">
        <v>1309</v>
      </c>
      <c r="F515" s="1">
        <v>2471196</v>
      </c>
      <c r="G515" t="s">
        <v>1550</v>
      </c>
      <c r="H515" s="2">
        <v>45954</v>
      </c>
      <c r="I515" t="s">
        <v>1602</v>
      </c>
      <c r="J515" t="s">
        <v>1602</v>
      </c>
      <c r="K515" t="s">
        <v>1512</v>
      </c>
      <c r="O515">
        <f t="shared" si="14"/>
        <v>10</v>
      </c>
      <c r="P515" t="str">
        <f>+VLOOKUP(O515,X:Y,2,0)</f>
        <v>Octubre</v>
      </c>
    </row>
    <row r="516" spans="3:16" x14ac:dyDescent="0.35">
      <c r="C516" t="s">
        <v>14</v>
      </c>
      <c r="D516">
        <v>53051502</v>
      </c>
      <c r="E516" t="s">
        <v>1309</v>
      </c>
      <c r="F516" s="1">
        <v>4233756.42</v>
      </c>
      <c r="G516" t="s">
        <v>1551</v>
      </c>
      <c r="H516" s="2">
        <v>45954</v>
      </c>
      <c r="I516" t="s">
        <v>1603</v>
      </c>
      <c r="J516" t="s">
        <v>1603</v>
      </c>
      <c r="K516" t="s">
        <v>40</v>
      </c>
      <c r="O516">
        <f t="shared" si="14"/>
        <v>10</v>
      </c>
      <c r="P516" t="str">
        <f>+VLOOKUP(O516,X:Y,2,0)</f>
        <v>Octubre</v>
      </c>
    </row>
    <row r="517" spans="3:16" x14ac:dyDescent="0.35">
      <c r="C517" t="s">
        <v>14</v>
      </c>
      <c r="D517">
        <v>53051502</v>
      </c>
      <c r="E517" t="s">
        <v>1309</v>
      </c>
      <c r="F517" s="1">
        <v>6300330.5700000003</v>
      </c>
      <c r="G517" t="s">
        <v>1552</v>
      </c>
      <c r="H517" s="2">
        <v>45961</v>
      </c>
      <c r="I517" t="s">
        <v>1604</v>
      </c>
      <c r="J517" t="s">
        <v>1604</v>
      </c>
      <c r="K517" t="s">
        <v>40</v>
      </c>
      <c r="O517">
        <f t="shared" si="14"/>
        <v>10</v>
      </c>
      <c r="P517" t="str">
        <f>+VLOOKUP(O517,X:Y,2,0)</f>
        <v>Octubre</v>
      </c>
    </row>
    <row r="518" spans="3:16" x14ac:dyDescent="0.35">
      <c r="C518" t="s">
        <v>14</v>
      </c>
      <c r="D518">
        <v>53051502</v>
      </c>
      <c r="E518" t="s">
        <v>1309</v>
      </c>
      <c r="F518" s="1">
        <v>3770564.91</v>
      </c>
      <c r="G518" t="s">
        <v>1553</v>
      </c>
      <c r="H518" s="2">
        <v>45961</v>
      </c>
      <c r="I518" t="s">
        <v>1605</v>
      </c>
      <c r="J518" t="s">
        <v>1605</v>
      </c>
      <c r="K518" t="s">
        <v>40</v>
      </c>
      <c r="O518">
        <f t="shared" si="14"/>
        <v>10</v>
      </c>
      <c r="P518" t="str">
        <f>+VLOOKUP(O518,X:Y,2,0)</f>
        <v>Octubre</v>
      </c>
    </row>
    <row r="519" spans="3:16" x14ac:dyDescent="0.35">
      <c r="C519" t="s">
        <v>14</v>
      </c>
      <c r="D519">
        <v>53051502</v>
      </c>
      <c r="E519" t="s">
        <v>1309</v>
      </c>
      <c r="F519" s="1">
        <v>45167249.009999998</v>
      </c>
      <c r="G519" t="s">
        <v>1554</v>
      </c>
      <c r="H519" s="2">
        <v>45961</v>
      </c>
      <c r="I519" t="s">
        <v>1606</v>
      </c>
      <c r="J519" t="s">
        <v>1606</v>
      </c>
      <c r="K519" t="s">
        <v>40</v>
      </c>
      <c r="O519">
        <f t="shared" si="14"/>
        <v>10</v>
      </c>
      <c r="P519" t="str">
        <f>+VLOOKUP(O519,X:Y,2,0)</f>
        <v>Octubre</v>
      </c>
    </row>
    <row r="520" spans="3:16" x14ac:dyDescent="0.35">
      <c r="C520" t="s">
        <v>14</v>
      </c>
      <c r="D520">
        <v>53051502</v>
      </c>
      <c r="E520" t="s">
        <v>1309</v>
      </c>
      <c r="F520" s="1">
        <v>7325764</v>
      </c>
      <c r="G520" t="s">
        <v>1554</v>
      </c>
      <c r="H520" s="2">
        <v>45961</v>
      </c>
      <c r="I520" t="s">
        <v>1606</v>
      </c>
      <c r="J520" t="s">
        <v>1606</v>
      </c>
      <c r="K520" t="s">
        <v>172</v>
      </c>
      <c r="O520">
        <f t="shared" si="14"/>
        <v>10</v>
      </c>
      <c r="P520" t="str">
        <f>+VLOOKUP(O520,X:Y,2,0)</f>
        <v>Octubre</v>
      </c>
    </row>
    <row r="521" spans="3:16" x14ac:dyDescent="0.35">
      <c r="C521" t="s">
        <v>14</v>
      </c>
      <c r="D521">
        <v>53051502</v>
      </c>
      <c r="E521" t="s">
        <v>1309</v>
      </c>
      <c r="F521" s="1">
        <v>787874</v>
      </c>
      <c r="G521" t="s">
        <v>1555</v>
      </c>
      <c r="H521" s="2">
        <v>45961</v>
      </c>
      <c r="I521" t="s">
        <v>1607</v>
      </c>
      <c r="J521" t="s">
        <v>1607</v>
      </c>
      <c r="K521" t="s">
        <v>172</v>
      </c>
      <c r="O521">
        <f t="shared" si="14"/>
        <v>10</v>
      </c>
      <c r="P521" t="str">
        <f>+VLOOKUP(O521,X:Y,2,0)</f>
        <v>Octubre</v>
      </c>
    </row>
    <row r="522" spans="3:16" x14ac:dyDescent="0.35">
      <c r="C522" t="s">
        <v>14</v>
      </c>
      <c r="D522">
        <v>53051502</v>
      </c>
      <c r="E522" t="s">
        <v>1309</v>
      </c>
      <c r="F522" s="1">
        <v>-4406293</v>
      </c>
      <c r="G522" t="s">
        <v>1556</v>
      </c>
      <c r="H522" s="2">
        <v>45961</v>
      </c>
      <c r="I522" t="s">
        <v>1608</v>
      </c>
      <c r="J522" t="s">
        <v>1608</v>
      </c>
      <c r="K522" t="s">
        <v>1059</v>
      </c>
      <c r="O522">
        <f t="shared" si="14"/>
        <v>10</v>
      </c>
      <c r="P522" t="str">
        <f>+VLOOKUP(O522,X:Y,2,0)</f>
        <v>Octubre</v>
      </c>
    </row>
    <row r="523" spans="3:16" x14ac:dyDescent="0.35">
      <c r="C523" t="s">
        <v>14</v>
      </c>
      <c r="D523">
        <v>53051502</v>
      </c>
      <c r="E523" t="s">
        <v>1309</v>
      </c>
      <c r="F523" s="1">
        <v>4406293</v>
      </c>
      <c r="G523" t="s">
        <v>1556</v>
      </c>
      <c r="H523" s="2">
        <v>45961</v>
      </c>
      <c r="I523" t="s">
        <v>1608</v>
      </c>
      <c r="J523" t="s">
        <v>1608</v>
      </c>
      <c r="K523" t="s">
        <v>1512</v>
      </c>
      <c r="O523">
        <f t="shared" si="14"/>
        <v>10</v>
      </c>
      <c r="P523" t="str">
        <f>+VLOOKUP(O523,X:Y,2,0)</f>
        <v>Octubre</v>
      </c>
    </row>
    <row r="524" spans="3:16" x14ac:dyDescent="0.35">
      <c r="C524" t="s">
        <v>14</v>
      </c>
      <c r="D524">
        <v>53051502</v>
      </c>
      <c r="E524" t="s">
        <v>1309</v>
      </c>
      <c r="F524" s="1">
        <v>5101710</v>
      </c>
      <c r="G524" t="s">
        <v>1557</v>
      </c>
      <c r="H524" s="2">
        <v>45961</v>
      </c>
      <c r="I524" t="s">
        <v>1609</v>
      </c>
      <c r="J524" t="s">
        <v>1609</v>
      </c>
      <c r="K524" t="s">
        <v>172</v>
      </c>
      <c r="O524">
        <f t="shared" si="14"/>
        <v>10</v>
      </c>
      <c r="P524" t="str">
        <f>+VLOOKUP(O524,X:Y,2,0)</f>
        <v>Octubre</v>
      </c>
    </row>
    <row r="525" spans="3:16" x14ac:dyDescent="0.35">
      <c r="C525" t="s">
        <v>14</v>
      </c>
      <c r="D525">
        <v>53051501</v>
      </c>
      <c r="E525" t="s">
        <v>1308</v>
      </c>
      <c r="F525" s="1">
        <v>3529</v>
      </c>
      <c r="G525" t="s">
        <v>1558</v>
      </c>
      <c r="H525" s="2">
        <v>45933</v>
      </c>
      <c r="I525" t="s">
        <v>1610</v>
      </c>
      <c r="J525" t="s">
        <v>1610</v>
      </c>
      <c r="K525" t="s">
        <v>29</v>
      </c>
      <c r="O525">
        <f t="shared" si="14"/>
        <v>10</v>
      </c>
      <c r="P525" t="str">
        <f>+VLOOKUP(O525,X:Y,2,0)</f>
        <v>Octubre</v>
      </c>
    </row>
    <row r="526" spans="3:16" x14ac:dyDescent="0.35">
      <c r="C526" t="s">
        <v>14</v>
      </c>
      <c r="D526">
        <v>53051501</v>
      </c>
      <c r="E526" t="s">
        <v>1308</v>
      </c>
      <c r="F526" s="1">
        <v>12483</v>
      </c>
      <c r="G526" t="s">
        <v>1559</v>
      </c>
      <c r="H526" s="2">
        <v>45936</v>
      </c>
      <c r="I526" t="s">
        <v>1611</v>
      </c>
      <c r="J526" t="s">
        <v>1611</v>
      </c>
      <c r="K526" t="s">
        <v>1527</v>
      </c>
      <c r="O526">
        <f t="shared" si="14"/>
        <v>10</v>
      </c>
      <c r="P526" t="str">
        <f>+VLOOKUP(O526,X:Y,2,0)</f>
        <v>Octubre</v>
      </c>
    </row>
    <row r="527" spans="3:16" x14ac:dyDescent="0.35">
      <c r="C527" t="s">
        <v>14</v>
      </c>
      <c r="D527">
        <v>53051501</v>
      </c>
      <c r="E527" s="34" t="s">
        <v>1427</v>
      </c>
      <c r="F527" s="1">
        <v>16078</v>
      </c>
      <c r="G527" t="s">
        <v>1560</v>
      </c>
      <c r="H527" s="2">
        <v>45936</v>
      </c>
      <c r="I527" t="s">
        <v>1612</v>
      </c>
      <c r="J527" t="s">
        <v>1612</v>
      </c>
      <c r="K527" t="s">
        <v>203</v>
      </c>
      <c r="O527">
        <f t="shared" si="14"/>
        <v>10</v>
      </c>
      <c r="P527" t="str">
        <f>+VLOOKUP(O527,X:Y,2,0)</f>
        <v>Octubre</v>
      </c>
    </row>
    <row r="528" spans="3:16" x14ac:dyDescent="0.35">
      <c r="C528" t="s">
        <v>14</v>
      </c>
      <c r="D528">
        <v>53051501</v>
      </c>
      <c r="E528" s="34" t="s">
        <v>1427</v>
      </c>
      <c r="F528" s="1">
        <v>23205</v>
      </c>
      <c r="G528" t="s">
        <v>1561</v>
      </c>
      <c r="H528" s="2">
        <v>45936</v>
      </c>
      <c r="I528" t="s">
        <v>1613</v>
      </c>
      <c r="J528" t="s">
        <v>1613</v>
      </c>
      <c r="K528" t="s">
        <v>203</v>
      </c>
      <c r="O528">
        <f t="shared" si="14"/>
        <v>10</v>
      </c>
      <c r="P528" t="str">
        <f>+VLOOKUP(O528,X:Y,2,0)</f>
        <v>Octubre</v>
      </c>
    </row>
    <row r="529" spans="3:16" x14ac:dyDescent="0.35">
      <c r="C529" t="s">
        <v>14</v>
      </c>
      <c r="D529">
        <v>53051501</v>
      </c>
      <c r="E529" s="34" t="s">
        <v>1427</v>
      </c>
      <c r="F529" s="1">
        <v>3596059</v>
      </c>
      <c r="G529" t="s">
        <v>1562</v>
      </c>
      <c r="H529" s="2">
        <v>45936</v>
      </c>
      <c r="I529" t="s">
        <v>1614</v>
      </c>
      <c r="J529" t="s">
        <v>1614</v>
      </c>
      <c r="K529" t="s">
        <v>203</v>
      </c>
      <c r="O529">
        <f t="shared" si="14"/>
        <v>10</v>
      </c>
      <c r="P529" t="str">
        <f>+VLOOKUP(O529,X:Y,2,0)</f>
        <v>Octubre</v>
      </c>
    </row>
    <row r="530" spans="3:16" x14ac:dyDescent="0.35">
      <c r="C530" t="s">
        <v>14</v>
      </c>
      <c r="D530">
        <v>53051501</v>
      </c>
      <c r="E530" s="34" t="s">
        <v>1427</v>
      </c>
      <c r="F530" s="1">
        <v>20335092</v>
      </c>
      <c r="G530" t="s">
        <v>1563</v>
      </c>
      <c r="H530" s="2">
        <v>45936</v>
      </c>
      <c r="I530" t="s">
        <v>1615</v>
      </c>
      <c r="J530" t="s">
        <v>1615</v>
      </c>
      <c r="K530" t="s">
        <v>203</v>
      </c>
      <c r="O530">
        <f t="shared" si="14"/>
        <v>10</v>
      </c>
      <c r="P530" t="str">
        <f>+VLOOKUP(O530,X:Y,2,0)</f>
        <v>Octubre</v>
      </c>
    </row>
    <row r="531" spans="3:16" x14ac:dyDescent="0.35">
      <c r="C531" t="s">
        <v>14</v>
      </c>
      <c r="D531">
        <v>53051501</v>
      </c>
      <c r="E531" s="34" t="s">
        <v>1308</v>
      </c>
      <c r="F531" s="1">
        <v>3529</v>
      </c>
      <c r="G531" t="s">
        <v>1564</v>
      </c>
      <c r="H531" s="2">
        <v>45936</v>
      </c>
      <c r="I531" t="s">
        <v>208</v>
      </c>
      <c r="J531" t="s">
        <v>208</v>
      </c>
      <c r="K531" t="s">
        <v>29</v>
      </c>
      <c r="O531">
        <f t="shared" si="14"/>
        <v>10</v>
      </c>
      <c r="P531" t="str">
        <f>+VLOOKUP(O531,X:Y,2,0)</f>
        <v>Octubre</v>
      </c>
    </row>
    <row r="532" spans="3:16" x14ac:dyDescent="0.35">
      <c r="C532" t="s">
        <v>14</v>
      </c>
      <c r="D532">
        <v>53051501</v>
      </c>
      <c r="E532" s="34" t="s">
        <v>1308</v>
      </c>
      <c r="F532" s="1">
        <v>116026.2</v>
      </c>
      <c r="G532" t="s">
        <v>1565</v>
      </c>
      <c r="H532" s="2">
        <v>45938</v>
      </c>
      <c r="I532" t="s">
        <v>1616</v>
      </c>
      <c r="J532" t="s">
        <v>1616</v>
      </c>
      <c r="K532" t="s">
        <v>46</v>
      </c>
      <c r="O532">
        <f t="shared" si="14"/>
        <v>10</v>
      </c>
      <c r="P532" t="str">
        <f>+VLOOKUP(O532,X:Y,2,0)</f>
        <v>Octubre</v>
      </c>
    </row>
    <row r="533" spans="3:16" x14ac:dyDescent="0.35">
      <c r="C533" t="s">
        <v>14</v>
      </c>
      <c r="D533">
        <v>53051501</v>
      </c>
      <c r="E533" s="34" t="s">
        <v>1308</v>
      </c>
      <c r="F533" s="1">
        <v>3529</v>
      </c>
      <c r="G533" t="s">
        <v>1566</v>
      </c>
      <c r="H533" s="2">
        <v>45945</v>
      </c>
      <c r="I533" t="s">
        <v>1617</v>
      </c>
      <c r="J533" t="s">
        <v>1617</v>
      </c>
      <c r="K533" t="s">
        <v>29</v>
      </c>
      <c r="O533">
        <f t="shared" si="14"/>
        <v>10</v>
      </c>
      <c r="P533" t="str">
        <f>+VLOOKUP(O533,X:Y,2,0)</f>
        <v>Octubre</v>
      </c>
    </row>
    <row r="534" spans="3:16" x14ac:dyDescent="0.35">
      <c r="C534" t="s">
        <v>14</v>
      </c>
      <c r="D534">
        <v>53051501</v>
      </c>
      <c r="E534" s="34" t="s">
        <v>1308</v>
      </c>
      <c r="F534" s="1">
        <v>3529</v>
      </c>
      <c r="G534" t="s">
        <v>1567</v>
      </c>
      <c r="H534" s="2">
        <v>45957</v>
      </c>
      <c r="I534" t="s">
        <v>1618</v>
      </c>
      <c r="J534" t="s">
        <v>1619</v>
      </c>
      <c r="K534" t="s">
        <v>29</v>
      </c>
      <c r="O534">
        <f t="shared" si="14"/>
        <v>10</v>
      </c>
      <c r="P534" t="str">
        <f>+VLOOKUP(O534,X:Y,2,0)</f>
        <v>Octubre</v>
      </c>
    </row>
    <row r="535" spans="3:16" x14ac:dyDescent="0.35">
      <c r="C535" t="s">
        <v>14</v>
      </c>
      <c r="D535">
        <v>53051501</v>
      </c>
      <c r="E535" s="34" t="s">
        <v>1308</v>
      </c>
      <c r="F535" s="1">
        <v>3558750</v>
      </c>
      <c r="G535" t="s">
        <v>1568</v>
      </c>
      <c r="H535" s="2">
        <v>45958</v>
      </c>
      <c r="I535" t="s">
        <v>1620</v>
      </c>
      <c r="J535" t="s">
        <v>1620</v>
      </c>
      <c r="K535" t="s">
        <v>44</v>
      </c>
      <c r="O535">
        <f t="shared" si="14"/>
        <v>10</v>
      </c>
      <c r="P535" t="str">
        <f>+VLOOKUP(O535,X:Y,2,0)</f>
        <v>Octubre</v>
      </c>
    </row>
    <row r="536" spans="3:16" x14ac:dyDescent="0.35">
      <c r="C536" t="s">
        <v>14</v>
      </c>
      <c r="D536">
        <v>53051501</v>
      </c>
      <c r="E536" s="34" t="s">
        <v>1308</v>
      </c>
      <c r="F536" s="1">
        <v>1475690</v>
      </c>
      <c r="G536" t="s">
        <v>1569</v>
      </c>
      <c r="H536" s="2">
        <v>45959</v>
      </c>
      <c r="I536" t="s">
        <v>1621</v>
      </c>
      <c r="J536" t="s">
        <v>1621</v>
      </c>
      <c r="K536" t="s">
        <v>19</v>
      </c>
      <c r="O536">
        <f t="shared" si="14"/>
        <v>10</v>
      </c>
      <c r="P536" t="str">
        <f>+VLOOKUP(O536,X:Y,2,0)</f>
        <v>Octubre</v>
      </c>
    </row>
    <row r="537" spans="3:16" x14ac:dyDescent="0.35">
      <c r="C537" t="s">
        <v>14</v>
      </c>
      <c r="D537">
        <v>53051501</v>
      </c>
      <c r="E537" s="34" t="s">
        <v>1308</v>
      </c>
      <c r="F537" s="1">
        <v>85000</v>
      </c>
      <c r="G537" t="s">
        <v>1570</v>
      </c>
      <c r="H537" s="2">
        <v>45959</v>
      </c>
      <c r="I537" t="s">
        <v>1621</v>
      </c>
      <c r="J537" t="s">
        <v>1621</v>
      </c>
      <c r="K537" t="s">
        <v>534</v>
      </c>
      <c r="O537">
        <f t="shared" si="14"/>
        <v>10</v>
      </c>
      <c r="P537" t="str">
        <f>+VLOOKUP(O537,X:Y,2,0)</f>
        <v>Octubre</v>
      </c>
    </row>
    <row r="538" spans="3:16" x14ac:dyDescent="0.35">
      <c r="C538" t="s">
        <v>14</v>
      </c>
      <c r="D538">
        <v>53051501</v>
      </c>
      <c r="E538" s="34" t="s">
        <v>1308</v>
      </c>
      <c r="F538" s="1">
        <v>3451868</v>
      </c>
      <c r="G538" t="s">
        <v>1571</v>
      </c>
      <c r="H538" s="2">
        <v>45959</v>
      </c>
      <c r="I538" t="s">
        <v>1621</v>
      </c>
      <c r="J538" t="s">
        <v>1621</v>
      </c>
      <c r="K538" t="s">
        <v>29</v>
      </c>
      <c r="O538">
        <f t="shared" si="14"/>
        <v>10</v>
      </c>
      <c r="P538" t="str">
        <f>+VLOOKUP(O538,X:Y,2,0)</f>
        <v>Octubre</v>
      </c>
    </row>
    <row r="539" spans="3:16" x14ac:dyDescent="0.35">
      <c r="C539" t="s">
        <v>14</v>
      </c>
      <c r="D539">
        <v>53051501</v>
      </c>
      <c r="E539" s="34" t="s">
        <v>1308</v>
      </c>
      <c r="F539" s="1">
        <v>238180.6</v>
      </c>
      <c r="G539" t="s">
        <v>1572</v>
      </c>
      <c r="H539" s="2">
        <v>45959</v>
      </c>
      <c r="I539" t="s">
        <v>1621</v>
      </c>
      <c r="J539" t="s">
        <v>1621</v>
      </c>
      <c r="K539" t="s">
        <v>1512</v>
      </c>
      <c r="O539">
        <f t="shared" si="14"/>
        <v>10</v>
      </c>
      <c r="P539" t="str">
        <f>+VLOOKUP(O539,X:Y,2,0)</f>
        <v>Octubre</v>
      </c>
    </row>
    <row r="540" spans="3:16" x14ac:dyDescent="0.35">
      <c r="C540" t="s">
        <v>14</v>
      </c>
      <c r="D540">
        <v>53051501</v>
      </c>
      <c r="E540" s="34" t="s">
        <v>1308</v>
      </c>
      <c r="F540" s="1">
        <v>26280</v>
      </c>
      <c r="G540" t="s">
        <v>1573</v>
      </c>
      <c r="H540" s="2">
        <v>45959</v>
      </c>
      <c r="I540" t="s">
        <v>1621</v>
      </c>
      <c r="J540" t="s">
        <v>1621</v>
      </c>
      <c r="K540" t="s">
        <v>1527</v>
      </c>
      <c r="O540">
        <f t="shared" si="14"/>
        <v>10</v>
      </c>
      <c r="P540" t="str">
        <f>+VLOOKUP(O540,X:Y,2,0)</f>
        <v>Octubre</v>
      </c>
    </row>
    <row r="541" spans="3:16" x14ac:dyDescent="0.35">
      <c r="C541" t="s">
        <v>14</v>
      </c>
      <c r="D541">
        <v>53051501</v>
      </c>
      <c r="E541" s="34" t="s">
        <v>1308</v>
      </c>
      <c r="F541" s="1">
        <v>1423500</v>
      </c>
      <c r="G541" t="s">
        <v>1574</v>
      </c>
      <c r="H541" s="2">
        <v>45959</v>
      </c>
      <c r="I541" t="s">
        <v>1622</v>
      </c>
      <c r="J541" t="s">
        <v>1622</v>
      </c>
      <c r="K541" t="s">
        <v>75</v>
      </c>
      <c r="O541">
        <f t="shared" si="14"/>
        <v>10</v>
      </c>
      <c r="P541" t="str">
        <f>+VLOOKUP(O541,X:Y,2,0)</f>
        <v>Octubre</v>
      </c>
    </row>
    <row r="542" spans="3:16" x14ac:dyDescent="0.35">
      <c r="C542" t="s">
        <v>14</v>
      </c>
      <c r="D542">
        <v>53051501</v>
      </c>
      <c r="E542" s="34" t="s">
        <v>1308</v>
      </c>
      <c r="F542" s="1">
        <v>6808750.4199999999</v>
      </c>
      <c r="G542" t="s">
        <v>1575</v>
      </c>
      <c r="H542" s="2">
        <v>45959</v>
      </c>
      <c r="I542" t="s">
        <v>1621</v>
      </c>
      <c r="J542" t="s">
        <v>1621</v>
      </c>
      <c r="K542" t="s">
        <v>44</v>
      </c>
      <c r="O542">
        <f t="shared" si="14"/>
        <v>10</v>
      </c>
      <c r="P542" t="str">
        <f>+VLOOKUP(O542,X:Y,2,0)</f>
        <v>Octubre</v>
      </c>
    </row>
    <row r="543" spans="3:16" x14ac:dyDescent="0.35">
      <c r="C543" t="s">
        <v>14</v>
      </c>
      <c r="D543">
        <v>53051501</v>
      </c>
      <c r="E543" s="34" t="s">
        <v>1308</v>
      </c>
      <c r="F543" s="1">
        <v>326967.11</v>
      </c>
      <c r="G543" t="s">
        <v>1576</v>
      </c>
      <c r="H543" s="2">
        <v>45959</v>
      </c>
      <c r="I543" t="s">
        <v>1622</v>
      </c>
      <c r="J543" t="s">
        <v>1622</v>
      </c>
      <c r="K543" t="s">
        <v>46</v>
      </c>
      <c r="O543">
        <f t="shared" si="14"/>
        <v>10</v>
      </c>
      <c r="P543" t="str">
        <f>+VLOOKUP(O543,X:Y,2,0)</f>
        <v>Octubre</v>
      </c>
    </row>
    <row r="544" spans="3:16" x14ac:dyDescent="0.35">
      <c r="C544" t="s">
        <v>14</v>
      </c>
      <c r="D544">
        <v>53051501</v>
      </c>
      <c r="E544" s="34" t="s">
        <v>1308</v>
      </c>
      <c r="F544" s="1">
        <v>-26280</v>
      </c>
      <c r="G544" t="s">
        <v>1577</v>
      </c>
      <c r="H544" s="2">
        <v>45959</v>
      </c>
      <c r="I544" t="s">
        <v>1623</v>
      </c>
      <c r="J544" t="s">
        <v>1623</v>
      </c>
      <c r="K544" t="s">
        <v>1527</v>
      </c>
      <c r="O544">
        <f t="shared" si="14"/>
        <v>10</v>
      </c>
      <c r="P544" t="str">
        <f>+VLOOKUP(O544,X:Y,2,0)</f>
        <v>Octubre</v>
      </c>
    </row>
    <row r="545" spans="3:16" x14ac:dyDescent="0.35">
      <c r="C545" t="s">
        <v>14</v>
      </c>
      <c r="D545">
        <v>53051501</v>
      </c>
      <c r="E545" s="34" t="s">
        <v>1308</v>
      </c>
      <c r="F545" s="1">
        <v>-6808750.4199999999</v>
      </c>
      <c r="G545" t="s">
        <v>1577</v>
      </c>
      <c r="H545" s="2">
        <v>45959</v>
      </c>
      <c r="I545" t="s">
        <v>1623</v>
      </c>
      <c r="J545" t="s">
        <v>1623</v>
      </c>
      <c r="K545" t="s">
        <v>44</v>
      </c>
      <c r="O545">
        <f t="shared" si="14"/>
        <v>10</v>
      </c>
      <c r="P545" t="str">
        <f>+VLOOKUP(O545,X:Y,2,0)</f>
        <v>Octubre</v>
      </c>
    </row>
    <row r="546" spans="3:16" x14ac:dyDescent="0.35">
      <c r="C546" t="s">
        <v>14</v>
      </c>
      <c r="D546">
        <v>53051501</v>
      </c>
      <c r="E546" s="34" t="s">
        <v>1308</v>
      </c>
      <c r="F546" s="1">
        <v>-1475690</v>
      </c>
      <c r="G546" t="s">
        <v>1577</v>
      </c>
      <c r="H546" s="2">
        <v>45959</v>
      </c>
      <c r="I546" t="s">
        <v>1623</v>
      </c>
      <c r="J546" t="s">
        <v>1623</v>
      </c>
      <c r="K546" t="s">
        <v>19</v>
      </c>
      <c r="O546">
        <f t="shared" si="14"/>
        <v>10</v>
      </c>
      <c r="P546" t="str">
        <f>+VLOOKUP(O546,X:Y,2,0)</f>
        <v>Octubre</v>
      </c>
    </row>
    <row r="547" spans="3:16" x14ac:dyDescent="0.35">
      <c r="C547" t="s">
        <v>14</v>
      </c>
      <c r="D547">
        <v>53051501</v>
      </c>
      <c r="E547" s="34" t="s">
        <v>1308</v>
      </c>
      <c r="F547" s="1">
        <v>-238180.6</v>
      </c>
      <c r="G547" t="s">
        <v>1577</v>
      </c>
      <c r="H547" s="2">
        <v>45959</v>
      </c>
      <c r="I547" t="s">
        <v>1623</v>
      </c>
      <c r="J547" t="s">
        <v>1623</v>
      </c>
      <c r="K547" t="s">
        <v>1512</v>
      </c>
      <c r="O547">
        <f t="shared" si="14"/>
        <v>10</v>
      </c>
      <c r="P547" t="str">
        <f>+VLOOKUP(O547,X:Y,2,0)</f>
        <v>Octubre</v>
      </c>
    </row>
    <row r="548" spans="3:16" x14ac:dyDescent="0.35">
      <c r="C548" t="s">
        <v>14</v>
      </c>
      <c r="D548">
        <v>53051501</v>
      </c>
      <c r="E548" s="34" t="s">
        <v>1308</v>
      </c>
      <c r="F548" s="1">
        <v>-1423500</v>
      </c>
      <c r="G548" t="s">
        <v>1577</v>
      </c>
      <c r="H548" s="2">
        <v>45959</v>
      </c>
      <c r="I548" t="s">
        <v>1623</v>
      </c>
      <c r="J548" t="s">
        <v>1623</v>
      </c>
      <c r="K548" t="s">
        <v>75</v>
      </c>
      <c r="O548">
        <f t="shared" si="14"/>
        <v>10</v>
      </c>
      <c r="P548" t="str">
        <f>+VLOOKUP(O548,X:Y,2,0)</f>
        <v>Octubre</v>
      </c>
    </row>
    <row r="549" spans="3:16" x14ac:dyDescent="0.35">
      <c r="C549" t="s">
        <v>14</v>
      </c>
      <c r="D549">
        <v>53051501</v>
      </c>
      <c r="E549" s="34" t="s">
        <v>1308</v>
      </c>
      <c r="F549" s="1">
        <v>-85000</v>
      </c>
      <c r="G549" t="s">
        <v>1577</v>
      </c>
      <c r="H549" s="2">
        <v>45959</v>
      </c>
      <c r="I549" t="s">
        <v>1623</v>
      </c>
      <c r="J549" t="s">
        <v>1623</v>
      </c>
      <c r="K549" t="s">
        <v>534</v>
      </c>
      <c r="O549">
        <f t="shared" si="14"/>
        <v>10</v>
      </c>
      <c r="P549" t="str">
        <f>+VLOOKUP(O549,X:Y,2,0)</f>
        <v>Octubre</v>
      </c>
    </row>
    <row r="550" spans="3:16" x14ac:dyDescent="0.35">
      <c r="C550" t="s">
        <v>14</v>
      </c>
      <c r="D550">
        <v>53051501</v>
      </c>
      <c r="E550" s="34" t="s">
        <v>1308</v>
      </c>
      <c r="F550" s="1">
        <v>-3451868</v>
      </c>
      <c r="G550" t="s">
        <v>1577</v>
      </c>
      <c r="H550" s="2">
        <v>45959</v>
      </c>
      <c r="I550" t="s">
        <v>1623</v>
      </c>
      <c r="J550" t="s">
        <v>1623</v>
      </c>
      <c r="K550" t="s">
        <v>29</v>
      </c>
      <c r="O550">
        <f t="shared" si="14"/>
        <v>10</v>
      </c>
      <c r="P550" t="str">
        <f>+VLOOKUP(O550,X:Y,2,0)</f>
        <v>Octubre</v>
      </c>
    </row>
    <row r="551" spans="3:16" x14ac:dyDescent="0.35">
      <c r="C551" t="s">
        <v>14</v>
      </c>
      <c r="D551">
        <v>53051501</v>
      </c>
      <c r="E551" s="34" t="s">
        <v>1308</v>
      </c>
      <c r="F551" s="1">
        <v>-326967.11</v>
      </c>
      <c r="G551" t="s">
        <v>1577</v>
      </c>
      <c r="H551" s="2">
        <v>45959</v>
      </c>
      <c r="I551" t="s">
        <v>1623</v>
      </c>
      <c r="J551" t="s">
        <v>1623</v>
      </c>
      <c r="K551" t="s">
        <v>46</v>
      </c>
      <c r="O551">
        <f t="shared" si="14"/>
        <v>10</v>
      </c>
      <c r="P551" t="str">
        <f>+VLOOKUP(O551,X:Y,2,0)</f>
        <v>Octubre</v>
      </c>
    </row>
    <row r="552" spans="3:16" x14ac:dyDescent="0.35">
      <c r="C552" t="s">
        <v>14</v>
      </c>
      <c r="D552">
        <v>53051501</v>
      </c>
      <c r="E552" s="34" t="s">
        <v>1308</v>
      </c>
      <c r="F552" s="1">
        <v>3529</v>
      </c>
      <c r="G552" t="s">
        <v>1578</v>
      </c>
      <c r="H552" s="2">
        <v>45959</v>
      </c>
      <c r="I552" t="s">
        <v>208</v>
      </c>
      <c r="J552" t="s">
        <v>208</v>
      </c>
      <c r="K552" t="s">
        <v>29</v>
      </c>
      <c r="O552">
        <f t="shared" si="14"/>
        <v>10</v>
      </c>
      <c r="P552" t="str">
        <f>+VLOOKUP(O552,X:Y,2,0)</f>
        <v>Octubre</v>
      </c>
    </row>
    <row r="553" spans="3:16" x14ac:dyDescent="0.35">
      <c r="C553" t="s">
        <v>14</v>
      </c>
      <c r="D553">
        <v>53051501</v>
      </c>
      <c r="E553" s="34" t="s">
        <v>1308</v>
      </c>
      <c r="F553" s="1">
        <v>153000</v>
      </c>
      <c r="G553" t="s">
        <v>1579</v>
      </c>
      <c r="H553" s="2">
        <v>45959</v>
      </c>
      <c r="I553" t="s">
        <v>1624</v>
      </c>
      <c r="J553" t="s">
        <v>1625</v>
      </c>
      <c r="K553" t="s">
        <v>534</v>
      </c>
      <c r="O553">
        <f t="shared" si="14"/>
        <v>10</v>
      </c>
      <c r="P553" t="str">
        <f>+VLOOKUP(O553,X:Y,2,0)</f>
        <v>Octubre</v>
      </c>
    </row>
    <row r="554" spans="3:16" x14ac:dyDescent="0.35">
      <c r="C554" t="s">
        <v>14</v>
      </c>
      <c r="D554">
        <v>53051501</v>
      </c>
      <c r="E554" s="34" t="s">
        <v>1308</v>
      </c>
      <c r="F554" s="1">
        <v>6750</v>
      </c>
      <c r="G554" t="s">
        <v>1579</v>
      </c>
      <c r="H554" s="2">
        <v>45959</v>
      </c>
      <c r="I554" t="s">
        <v>1626</v>
      </c>
      <c r="J554" t="s">
        <v>1625</v>
      </c>
      <c r="K554" t="s">
        <v>534</v>
      </c>
      <c r="O554">
        <f t="shared" si="14"/>
        <v>10</v>
      </c>
      <c r="P554" t="str">
        <f>+VLOOKUP(O554,X:Y,2,0)</f>
        <v>Octubre</v>
      </c>
    </row>
    <row r="555" spans="3:16" x14ac:dyDescent="0.35">
      <c r="C555" t="s">
        <v>14</v>
      </c>
      <c r="D555">
        <v>53051501</v>
      </c>
      <c r="E555" s="34" t="s">
        <v>1308</v>
      </c>
      <c r="F555" s="1">
        <v>54600</v>
      </c>
      <c r="G555" t="s">
        <v>1580</v>
      </c>
      <c r="H555" s="2">
        <v>45961</v>
      </c>
      <c r="I555" t="s">
        <v>1627</v>
      </c>
      <c r="J555" t="s">
        <v>1627</v>
      </c>
      <c r="K555" t="s">
        <v>40</v>
      </c>
      <c r="O555">
        <f t="shared" si="14"/>
        <v>10</v>
      </c>
      <c r="P555" t="str">
        <f>+VLOOKUP(O555,X:Y,2,0)</f>
        <v>Octubre</v>
      </c>
    </row>
    <row r="556" spans="3:16" x14ac:dyDescent="0.35">
      <c r="C556" t="s">
        <v>14</v>
      </c>
      <c r="D556">
        <v>53051501</v>
      </c>
      <c r="E556" s="34" t="s">
        <v>1308</v>
      </c>
      <c r="F556" s="1">
        <v>85000</v>
      </c>
      <c r="G556" t="s">
        <v>1581</v>
      </c>
      <c r="H556" s="2">
        <v>45961</v>
      </c>
      <c r="I556" t="s">
        <v>1628</v>
      </c>
      <c r="J556" t="s">
        <v>1628</v>
      </c>
      <c r="K556" t="s">
        <v>534</v>
      </c>
      <c r="O556">
        <f t="shared" si="14"/>
        <v>10</v>
      </c>
      <c r="P556" t="str">
        <f>+VLOOKUP(O556,X:Y,2,0)</f>
        <v>Octubre</v>
      </c>
    </row>
    <row r="557" spans="3:16" x14ac:dyDescent="0.35">
      <c r="C557" t="s">
        <v>14</v>
      </c>
      <c r="D557">
        <v>53051501</v>
      </c>
      <c r="E557" s="34" t="s">
        <v>1308</v>
      </c>
      <c r="F557" s="1">
        <v>286217.56</v>
      </c>
      <c r="G557" t="s">
        <v>1582</v>
      </c>
      <c r="H557" s="2">
        <v>45961</v>
      </c>
      <c r="I557" t="s">
        <v>1629</v>
      </c>
      <c r="J557" t="s">
        <v>1629</v>
      </c>
      <c r="K557" t="s">
        <v>46</v>
      </c>
      <c r="O557">
        <f t="shared" si="14"/>
        <v>10</v>
      </c>
      <c r="P557" t="str">
        <f>+VLOOKUP(O557,X:Y,2,0)</f>
        <v>Octubre</v>
      </c>
    </row>
    <row r="558" spans="3:16" x14ac:dyDescent="0.35">
      <c r="C558" t="s">
        <v>14</v>
      </c>
      <c r="D558">
        <v>53051501</v>
      </c>
      <c r="E558" s="34" t="s">
        <v>1308</v>
      </c>
      <c r="F558" s="1">
        <v>1717669</v>
      </c>
      <c r="G558" t="s">
        <v>1583</v>
      </c>
      <c r="H558" s="2">
        <v>45961</v>
      </c>
      <c r="I558" t="s">
        <v>1630</v>
      </c>
      <c r="J558" t="s">
        <v>1630</v>
      </c>
      <c r="K558" t="s">
        <v>19</v>
      </c>
      <c r="O558">
        <f t="shared" si="14"/>
        <v>10</v>
      </c>
      <c r="P558" t="str">
        <f>+VLOOKUP(O558,X:Y,2,0)</f>
        <v>Octubre</v>
      </c>
    </row>
    <row r="559" spans="3:16" x14ac:dyDescent="0.35">
      <c r="C559" t="s">
        <v>14</v>
      </c>
      <c r="D559">
        <v>53051501</v>
      </c>
      <c r="E559" s="34" t="s">
        <v>1308</v>
      </c>
      <c r="F559" s="1">
        <v>70440</v>
      </c>
      <c r="G559" t="s">
        <v>1584</v>
      </c>
      <c r="H559" s="2">
        <v>45961</v>
      </c>
      <c r="I559" t="s">
        <v>1631</v>
      </c>
      <c r="J559" t="s">
        <v>1631</v>
      </c>
      <c r="K559" t="s">
        <v>19</v>
      </c>
      <c r="O559">
        <f t="shared" si="14"/>
        <v>10</v>
      </c>
      <c r="P559" t="str">
        <f>+VLOOKUP(O559,X:Y,2,0)</f>
        <v>Octubre</v>
      </c>
    </row>
    <row r="560" spans="3:16" x14ac:dyDescent="0.35">
      <c r="C560" t="s">
        <v>14</v>
      </c>
      <c r="D560">
        <v>53051501</v>
      </c>
      <c r="E560" s="34" t="s">
        <v>1308</v>
      </c>
      <c r="F560" s="1">
        <v>-596.66999999999996</v>
      </c>
      <c r="G560" t="s">
        <v>1585</v>
      </c>
      <c r="H560" s="2">
        <v>45961</v>
      </c>
      <c r="I560" t="s">
        <v>1632</v>
      </c>
      <c r="J560" t="s">
        <v>1632</v>
      </c>
      <c r="K560" t="s">
        <v>29</v>
      </c>
      <c r="O560">
        <f t="shared" si="14"/>
        <v>10</v>
      </c>
      <c r="P560" t="str">
        <f>+VLOOKUP(O560,X:Y,2,0)</f>
        <v>Octubre</v>
      </c>
    </row>
    <row r="561" spans="3:16" x14ac:dyDescent="0.35">
      <c r="C561" t="s">
        <v>14</v>
      </c>
      <c r="D561">
        <v>53051501</v>
      </c>
      <c r="E561" s="34" t="s">
        <v>1308</v>
      </c>
      <c r="F561" s="1">
        <v>2651268.63</v>
      </c>
      <c r="G561" t="s">
        <v>1586</v>
      </c>
      <c r="H561" s="2">
        <v>45961</v>
      </c>
      <c r="I561" t="s">
        <v>1633</v>
      </c>
      <c r="J561" t="s">
        <v>1633</v>
      </c>
      <c r="K561" t="s">
        <v>29</v>
      </c>
      <c r="O561">
        <f t="shared" si="14"/>
        <v>10</v>
      </c>
      <c r="P561" t="str">
        <f>+VLOOKUP(O561,X:Y,2,0)</f>
        <v>Octubre</v>
      </c>
    </row>
    <row r="562" spans="3:16" x14ac:dyDescent="0.35">
      <c r="C562" t="s">
        <v>14</v>
      </c>
      <c r="D562">
        <v>53051501</v>
      </c>
      <c r="E562" s="34" t="s">
        <v>1308</v>
      </c>
      <c r="F562" s="1">
        <v>1247896.92</v>
      </c>
      <c r="G562" t="s">
        <v>1587</v>
      </c>
      <c r="H562" s="2">
        <v>45961</v>
      </c>
      <c r="I562" t="s">
        <v>1634</v>
      </c>
      <c r="J562" t="s">
        <v>1634</v>
      </c>
      <c r="K562" t="s">
        <v>29</v>
      </c>
      <c r="O562">
        <f t="shared" si="14"/>
        <v>10</v>
      </c>
      <c r="P562" t="str">
        <f>+VLOOKUP(O562,X:Y,2,0)</f>
        <v>Octubre</v>
      </c>
    </row>
    <row r="563" spans="3:16" x14ac:dyDescent="0.35">
      <c r="C563" t="s">
        <v>14</v>
      </c>
      <c r="D563">
        <v>53051501</v>
      </c>
      <c r="E563" s="34" t="s">
        <v>1308</v>
      </c>
      <c r="F563" s="1">
        <v>308456.40000000002</v>
      </c>
      <c r="G563" t="s">
        <v>1588</v>
      </c>
      <c r="H563" s="2">
        <v>45961</v>
      </c>
      <c r="I563" t="s">
        <v>1635</v>
      </c>
      <c r="J563" t="s">
        <v>1635</v>
      </c>
      <c r="K563" t="s">
        <v>1512</v>
      </c>
      <c r="O563">
        <f t="shared" si="14"/>
        <v>10</v>
      </c>
      <c r="P563" t="str">
        <f>+VLOOKUP(O563,X:Y,2,0)</f>
        <v>Octubre</v>
      </c>
    </row>
    <row r="564" spans="3:16" x14ac:dyDescent="0.35">
      <c r="C564" t="s">
        <v>14</v>
      </c>
      <c r="D564">
        <v>53051501</v>
      </c>
      <c r="E564" s="34" t="s">
        <v>1427</v>
      </c>
      <c r="F564" s="1">
        <v>22367328</v>
      </c>
      <c r="G564" t="s">
        <v>1589</v>
      </c>
      <c r="H564" s="2">
        <v>45961</v>
      </c>
      <c r="I564" t="s">
        <v>1636</v>
      </c>
      <c r="J564" t="s">
        <v>1636</v>
      </c>
      <c r="K564" t="s">
        <v>203</v>
      </c>
      <c r="O564">
        <f t="shared" si="14"/>
        <v>10</v>
      </c>
      <c r="P564" t="str">
        <f>+VLOOKUP(O564,X:Y,2,0)</f>
        <v>Octubre</v>
      </c>
    </row>
    <row r="565" spans="3:16" x14ac:dyDescent="0.35">
      <c r="C565" t="s">
        <v>14</v>
      </c>
      <c r="D565">
        <v>53051501</v>
      </c>
      <c r="E565" s="34" t="s">
        <v>1427</v>
      </c>
      <c r="F565" s="1">
        <v>3102260</v>
      </c>
      <c r="G565" t="s">
        <v>1590</v>
      </c>
      <c r="H565" s="2">
        <v>45961</v>
      </c>
      <c r="I565" t="s">
        <v>1637</v>
      </c>
      <c r="J565" t="s">
        <v>1637</v>
      </c>
      <c r="K565" t="s">
        <v>203</v>
      </c>
      <c r="O565">
        <f t="shared" si="14"/>
        <v>10</v>
      </c>
      <c r="P565" t="str">
        <f>+VLOOKUP(O565,X:Y,2,0)</f>
        <v>Octubre</v>
      </c>
    </row>
    <row r="566" spans="3:16" x14ac:dyDescent="0.35">
      <c r="C566" t="s">
        <v>14</v>
      </c>
      <c r="D566">
        <v>53051501</v>
      </c>
      <c r="E566" s="34" t="s">
        <v>1427</v>
      </c>
      <c r="F566" s="1">
        <v>30319</v>
      </c>
      <c r="G566" t="s">
        <v>1591</v>
      </c>
      <c r="H566" s="2">
        <v>45961</v>
      </c>
      <c r="I566" t="s">
        <v>1638</v>
      </c>
      <c r="J566" t="s">
        <v>1638</v>
      </c>
      <c r="K566" t="s">
        <v>203</v>
      </c>
      <c r="O566">
        <f t="shared" si="14"/>
        <v>10</v>
      </c>
      <c r="P566" t="str">
        <f>+VLOOKUP(O566,X:Y,2,0)</f>
        <v>Octubre</v>
      </c>
    </row>
    <row r="567" spans="3:16" x14ac:dyDescent="0.35">
      <c r="C567" t="s">
        <v>14</v>
      </c>
      <c r="D567">
        <v>53051501</v>
      </c>
      <c r="E567" s="34" t="s">
        <v>1427</v>
      </c>
      <c r="F567" s="1">
        <v>6209</v>
      </c>
      <c r="G567" t="s">
        <v>1592</v>
      </c>
      <c r="H567" s="2">
        <v>45961</v>
      </c>
      <c r="I567" t="s">
        <v>1639</v>
      </c>
      <c r="J567" t="s">
        <v>1639</v>
      </c>
      <c r="K567" t="s">
        <v>203</v>
      </c>
      <c r="O567">
        <f t="shared" si="14"/>
        <v>10</v>
      </c>
      <c r="P567" t="str">
        <f>+VLOOKUP(O567,X:Y,2,0)</f>
        <v>Octubre</v>
      </c>
    </row>
    <row r="568" spans="3:16" x14ac:dyDescent="0.35">
      <c r="C568" t="s">
        <v>14</v>
      </c>
      <c r="D568">
        <v>53051501</v>
      </c>
      <c r="E568" s="34" t="s">
        <v>1427</v>
      </c>
      <c r="F568" s="1">
        <v>29709</v>
      </c>
      <c r="G568" t="s">
        <v>1593</v>
      </c>
      <c r="H568" s="2">
        <v>45961</v>
      </c>
      <c r="I568" t="s">
        <v>1640</v>
      </c>
      <c r="J568" t="s">
        <v>1640</v>
      </c>
      <c r="K568" t="s">
        <v>203</v>
      </c>
      <c r="O568">
        <f t="shared" si="14"/>
        <v>10</v>
      </c>
      <c r="P568" t="str">
        <f>+VLOOKUP(O568,X:Y,2,0)</f>
        <v>Octubre</v>
      </c>
    </row>
    <row r="569" spans="3:16" x14ac:dyDescent="0.35">
      <c r="C569" t="s">
        <v>14</v>
      </c>
      <c r="D569">
        <v>53051501</v>
      </c>
      <c r="E569" s="34" t="s">
        <v>1427</v>
      </c>
      <c r="F569" s="1">
        <v>6823</v>
      </c>
      <c r="G569" t="s">
        <v>1594</v>
      </c>
      <c r="H569" s="2">
        <v>45961</v>
      </c>
      <c r="I569" t="s">
        <v>1641</v>
      </c>
      <c r="J569" t="s">
        <v>1641</v>
      </c>
      <c r="K569" t="s">
        <v>203</v>
      </c>
      <c r="O569">
        <f t="shared" si="14"/>
        <v>10</v>
      </c>
      <c r="P569" t="str">
        <f>+VLOOKUP(O569,X:Y,2,0)</f>
        <v>Octubre</v>
      </c>
    </row>
    <row r="570" spans="3:16" s="43" customFormat="1" ht="6.75" customHeight="1" x14ac:dyDescent="0.35"/>
    <row r="571" spans="3:16" x14ac:dyDescent="0.35">
      <c r="C571" t="s">
        <v>14</v>
      </c>
      <c r="D571">
        <v>53051501</v>
      </c>
      <c r="E571" s="34" t="s">
        <v>1427</v>
      </c>
      <c r="F571" s="1">
        <v>-75905</v>
      </c>
      <c r="G571" t="s">
        <v>1663</v>
      </c>
      <c r="H571" s="2">
        <v>45967</v>
      </c>
      <c r="I571" t="s">
        <v>1704</v>
      </c>
      <c r="J571" t="s">
        <v>1704</v>
      </c>
      <c r="K571" t="s">
        <v>1172</v>
      </c>
      <c r="O571">
        <f t="shared" ref="O571" si="15">+MONTH(H571)</f>
        <v>11</v>
      </c>
      <c r="P571" t="str">
        <f>+VLOOKUP(O571,X:Y,2,0)</f>
        <v>Noviembre</v>
      </c>
    </row>
    <row r="572" spans="3:16" x14ac:dyDescent="0.35">
      <c r="C572" t="s">
        <v>14</v>
      </c>
      <c r="D572">
        <v>53051501</v>
      </c>
      <c r="E572" t="s">
        <v>1308</v>
      </c>
      <c r="F572" s="1">
        <v>3529</v>
      </c>
      <c r="G572" t="s">
        <v>1664</v>
      </c>
      <c r="H572" s="2">
        <v>45967</v>
      </c>
      <c r="I572" t="s">
        <v>155</v>
      </c>
      <c r="J572" t="s">
        <v>155</v>
      </c>
      <c r="K572" t="s">
        <v>29</v>
      </c>
      <c r="O572">
        <f t="shared" ref="O572:O612" si="16">+MONTH(H572)</f>
        <v>11</v>
      </c>
      <c r="P572" t="str">
        <f>+VLOOKUP(O572,X:Y,2,0)</f>
        <v>Noviembre</v>
      </c>
    </row>
    <row r="573" spans="3:16" x14ac:dyDescent="0.35">
      <c r="C573" t="s">
        <v>14</v>
      </c>
      <c r="D573">
        <v>53051501</v>
      </c>
      <c r="E573" t="s">
        <v>1308</v>
      </c>
      <c r="F573" s="1">
        <v>3529</v>
      </c>
      <c r="G573" t="s">
        <v>1665</v>
      </c>
      <c r="H573" s="2">
        <v>45967</v>
      </c>
      <c r="I573" t="s">
        <v>208</v>
      </c>
      <c r="J573" t="s">
        <v>208</v>
      </c>
      <c r="K573" t="s">
        <v>29</v>
      </c>
      <c r="O573">
        <f t="shared" si="16"/>
        <v>11</v>
      </c>
      <c r="P573" t="str">
        <f>+VLOOKUP(O573,X:Y,2,0)</f>
        <v>Noviembre</v>
      </c>
    </row>
    <row r="574" spans="3:16" x14ac:dyDescent="0.35">
      <c r="C574" t="s">
        <v>14</v>
      </c>
      <c r="D574">
        <v>53051501</v>
      </c>
      <c r="E574" t="s">
        <v>1308</v>
      </c>
      <c r="F574" s="1">
        <v>12483</v>
      </c>
      <c r="G574" t="s">
        <v>1666</v>
      </c>
      <c r="H574" s="2">
        <v>45968</v>
      </c>
      <c r="I574" t="s">
        <v>1705</v>
      </c>
      <c r="J574" t="s">
        <v>1705</v>
      </c>
      <c r="K574" t="s">
        <v>1527</v>
      </c>
      <c r="O574">
        <f t="shared" si="16"/>
        <v>11</v>
      </c>
      <c r="P574" t="str">
        <f>+VLOOKUP(O574,X:Y,2,0)</f>
        <v>Noviembre</v>
      </c>
    </row>
    <row r="575" spans="3:16" x14ac:dyDescent="0.35">
      <c r="C575" t="s">
        <v>14</v>
      </c>
      <c r="D575">
        <v>53051501</v>
      </c>
      <c r="E575" t="s">
        <v>1308</v>
      </c>
      <c r="F575" s="1">
        <v>3529</v>
      </c>
      <c r="G575" t="s">
        <v>1667</v>
      </c>
      <c r="H575" s="2">
        <v>45973</v>
      </c>
      <c r="I575" t="s">
        <v>208</v>
      </c>
      <c r="J575" t="s">
        <v>208</v>
      </c>
      <c r="K575" t="s">
        <v>29</v>
      </c>
      <c r="O575">
        <f t="shared" si="16"/>
        <v>11</v>
      </c>
      <c r="P575" t="str">
        <f>+VLOOKUP(O575,X:Y,2,0)</f>
        <v>Noviembre</v>
      </c>
    </row>
    <row r="576" spans="3:16" x14ac:dyDescent="0.35">
      <c r="C576" t="s">
        <v>14</v>
      </c>
      <c r="D576">
        <v>53051501</v>
      </c>
      <c r="E576" t="s">
        <v>1308</v>
      </c>
      <c r="F576" s="1">
        <v>3529</v>
      </c>
      <c r="G576" t="s">
        <v>1668</v>
      </c>
      <c r="H576" s="2">
        <v>45980</v>
      </c>
      <c r="I576" t="s">
        <v>155</v>
      </c>
      <c r="J576" t="s">
        <v>155</v>
      </c>
      <c r="K576" t="s">
        <v>29</v>
      </c>
      <c r="O576">
        <f t="shared" si="16"/>
        <v>11</v>
      </c>
      <c r="P576" t="str">
        <f>+VLOOKUP(O576,X:Y,2,0)</f>
        <v>Noviembre</v>
      </c>
    </row>
    <row r="577" spans="3:16" x14ac:dyDescent="0.35">
      <c r="C577" t="s">
        <v>14</v>
      </c>
      <c r="D577">
        <v>53051501</v>
      </c>
      <c r="E577" t="s">
        <v>1308</v>
      </c>
      <c r="F577" s="1">
        <v>3558750.42</v>
      </c>
      <c r="G577" t="s">
        <v>1669</v>
      </c>
      <c r="H577" s="2">
        <v>45981</v>
      </c>
      <c r="I577" t="s">
        <v>1706</v>
      </c>
      <c r="J577" t="s">
        <v>1706</v>
      </c>
      <c r="K577" t="s">
        <v>44</v>
      </c>
      <c r="O577">
        <f t="shared" si="16"/>
        <v>11</v>
      </c>
      <c r="P577" t="str">
        <f>+VLOOKUP(O577,X:Y,2,0)</f>
        <v>Noviembre</v>
      </c>
    </row>
    <row r="578" spans="3:16" x14ac:dyDescent="0.35">
      <c r="C578" t="s">
        <v>14</v>
      </c>
      <c r="D578">
        <v>53051501</v>
      </c>
      <c r="E578" t="s">
        <v>1308</v>
      </c>
      <c r="F578" s="1">
        <v>3529</v>
      </c>
      <c r="G578" t="s">
        <v>1670</v>
      </c>
      <c r="H578" s="2">
        <v>45985</v>
      </c>
      <c r="I578" t="s">
        <v>155</v>
      </c>
      <c r="J578" t="s">
        <v>155</v>
      </c>
      <c r="K578" t="s">
        <v>29</v>
      </c>
      <c r="O578">
        <f t="shared" si="16"/>
        <v>11</v>
      </c>
      <c r="P578" t="str">
        <f>+VLOOKUP(O578,X:Y,2,0)</f>
        <v>Noviembre</v>
      </c>
    </row>
    <row r="579" spans="3:16" x14ac:dyDescent="0.35">
      <c r="C579" t="s">
        <v>14</v>
      </c>
      <c r="D579">
        <v>53051501</v>
      </c>
      <c r="E579" t="s">
        <v>1308</v>
      </c>
      <c r="F579" s="1">
        <v>3529</v>
      </c>
      <c r="G579" t="s">
        <v>1671</v>
      </c>
      <c r="H579" s="2">
        <v>45989</v>
      </c>
      <c r="I579" t="s">
        <v>155</v>
      </c>
      <c r="J579" t="s">
        <v>155</v>
      </c>
      <c r="K579" t="s">
        <v>29</v>
      </c>
      <c r="O579">
        <f t="shared" si="16"/>
        <v>11</v>
      </c>
      <c r="P579" t="str">
        <f>+VLOOKUP(O579,X:Y,2,0)</f>
        <v>Noviembre</v>
      </c>
    </row>
    <row r="580" spans="3:16" x14ac:dyDescent="0.35">
      <c r="C580" t="s">
        <v>14</v>
      </c>
      <c r="D580">
        <v>53051501</v>
      </c>
      <c r="E580" t="s">
        <v>1308</v>
      </c>
      <c r="F580" s="1">
        <v>514784.92</v>
      </c>
      <c r="G580" t="s">
        <v>1672</v>
      </c>
      <c r="H580" s="2">
        <v>45991</v>
      </c>
      <c r="I580" t="s">
        <v>1707</v>
      </c>
      <c r="J580" t="s">
        <v>1707</v>
      </c>
      <c r="K580" t="s">
        <v>29</v>
      </c>
      <c r="O580">
        <f t="shared" si="16"/>
        <v>11</v>
      </c>
      <c r="P580" t="str">
        <f>+VLOOKUP(O580,X:Y,2,0)</f>
        <v>Noviembre</v>
      </c>
    </row>
    <row r="581" spans="3:16" x14ac:dyDescent="0.35">
      <c r="C581" t="s">
        <v>14</v>
      </c>
      <c r="D581">
        <v>53051501</v>
      </c>
      <c r="E581" t="s">
        <v>1308</v>
      </c>
      <c r="F581" s="1">
        <v>3447193.08</v>
      </c>
      <c r="G581" t="s">
        <v>1673</v>
      </c>
      <c r="H581" s="2">
        <v>45991</v>
      </c>
      <c r="I581" t="s">
        <v>1708</v>
      </c>
      <c r="J581" t="s">
        <v>1708</v>
      </c>
      <c r="K581" t="s">
        <v>29</v>
      </c>
      <c r="O581">
        <f t="shared" si="16"/>
        <v>11</v>
      </c>
      <c r="P581" t="str">
        <f>+VLOOKUP(O581,X:Y,2,0)</f>
        <v>Noviembre</v>
      </c>
    </row>
    <row r="582" spans="3:16" x14ac:dyDescent="0.35">
      <c r="C582" t="s">
        <v>14</v>
      </c>
      <c r="D582">
        <v>53051501</v>
      </c>
      <c r="E582" t="s">
        <v>1308</v>
      </c>
      <c r="F582" s="1">
        <v>252580.6</v>
      </c>
      <c r="G582" t="s">
        <v>1674</v>
      </c>
      <c r="H582" s="2">
        <v>45991</v>
      </c>
      <c r="I582" t="s">
        <v>1709</v>
      </c>
      <c r="J582" t="s">
        <v>1709</v>
      </c>
      <c r="K582" t="s">
        <v>1512</v>
      </c>
      <c r="O582">
        <f t="shared" si="16"/>
        <v>11</v>
      </c>
      <c r="P582" t="str">
        <f>+VLOOKUP(O582,X:Y,2,0)</f>
        <v>Noviembre</v>
      </c>
    </row>
    <row r="583" spans="3:16" x14ac:dyDescent="0.35">
      <c r="C583" t="s">
        <v>14</v>
      </c>
      <c r="D583">
        <v>53051501</v>
      </c>
      <c r="E583" t="s">
        <v>1308</v>
      </c>
      <c r="F583" s="1">
        <v>1352525</v>
      </c>
      <c r="G583" t="s">
        <v>1675</v>
      </c>
      <c r="H583" s="2">
        <v>45991</v>
      </c>
      <c r="I583" t="s">
        <v>1710</v>
      </c>
      <c r="J583" t="s">
        <v>1710</v>
      </c>
      <c r="K583" t="s">
        <v>19</v>
      </c>
      <c r="O583">
        <f t="shared" si="16"/>
        <v>11</v>
      </c>
      <c r="P583" t="str">
        <f>+VLOOKUP(O583,X:Y,2,0)</f>
        <v>Noviembre</v>
      </c>
    </row>
    <row r="584" spans="3:16" x14ac:dyDescent="0.35">
      <c r="C584" t="s">
        <v>14</v>
      </c>
      <c r="D584">
        <v>53051501</v>
      </c>
      <c r="E584" t="s">
        <v>1308</v>
      </c>
      <c r="F584" s="1">
        <v>29212</v>
      </c>
      <c r="G584" t="s">
        <v>1676</v>
      </c>
      <c r="H584" s="2">
        <v>45991</v>
      </c>
      <c r="I584" t="s">
        <v>1711</v>
      </c>
      <c r="J584" t="s">
        <v>1711</v>
      </c>
      <c r="K584" t="s">
        <v>19</v>
      </c>
      <c r="O584">
        <f t="shared" si="16"/>
        <v>11</v>
      </c>
      <c r="P584" t="str">
        <f>+VLOOKUP(O584,X:Y,2,0)</f>
        <v>Noviembre</v>
      </c>
    </row>
    <row r="585" spans="3:16" x14ac:dyDescent="0.35">
      <c r="C585" t="s">
        <v>14</v>
      </c>
      <c r="D585">
        <v>53051501</v>
      </c>
      <c r="E585" t="s">
        <v>1308</v>
      </c>
      <c r="F585" s="1">
        <v>252580.6</v>
      </c>
      <c r="G585" t="s">
        <v>1677</v>
      </c>
      <c r="H585" s="2">
        <v>45991</v>
      </c>
      <c r="I585" t="s">
        <v>1712</v>
      </c>
      <c r="J585" t="s">
        <v>1712</v>
      </c>
      <c r="K585" t="s">
        <v>1512</v>
      </c>
      <c r="O585">
        <f t="shared" si="16"/>
        <v>11</v>
      </c>
      <c r="P585" t="str">
        <f>+VLOOKUP(O585,X:Y,2,0)</f>
        <v>Noviembre</v>
      </c>
    </row>
    <row r="586" spans="3:16" x14ac:dyDescent="0.35">
      <c r="C586" t="s">
        <v>14</v>
      </c>
      <c r="D586">
        <v>53051501</v>
      </c>
      <c r="E586" t="s">
        <v>1308</v>
      </c>
      <c r="F586" s="1">
        <v>147680.32000000001</v>
      </c>
      <c r="G586" t="s">
        <v>1678</v>
      </c>
      <c r="H586" s="2">
        <v>45991</v>
      </c>
      <c r="I586" t="s">
        <v>1713</v>
      </c>
      <c r="J586" t="s">
        <v>1713</v>
      </c>
      <c r="K586" t="s">
        <v>46</v>
      </c>
      <c r="O586">
        <f t="shared" si="16"/>
        <v>11</v>
      </c>
      <c r="P586" t="str">
        <f>+VLOOKUP(O586,X:Y,2,0)</f>
        <v>Noviembre</v>
      </c>
    </row>
    <row r="587" spans="3:16" x14ac:dyDescent="0.35">
      <c r="C587" t="s">
        <v>14</v>
      </c>
      <c r="D587">
        <v>53051501</v>
      </c>
      <c r="E587" t="s">
        <v>1308</v>
      </c>
      <c r="F587" s="1">
        <v>18200</v>
      </c>
      <c r="G587" t="s">
        <v>1679</v>
      </c>
      <c r="H587" s="2">
        <v>45991</v>
      </c>
      <c r="I587" t="s">
        <v>1714</v>
      </c>
      <c r="J587" t="s">
        <v>1714</v>
      </c>
      <c r="K587" t="s">
        <v>40</v>
      </c>
      <c r="O587">
        <f t="shared" si="16"/>
        <v>11</v>
      </c>
      <c r="P587" t="str">
        <f>+VLOOKUP(O587,X:Y,2,0)</f>
        <v>Noviembre</v>
      </c>
    </row>
    <row r="588" spans="3:16" x14ac:dyDescent="0.35">
      <c r="C588" t="s">
        <v>14</v>
      </c>
      <c r="D588">
        <v>53051501</v>
      </c>
      <c r="E588" t="s">
        <v>1308</v>
      </c>
      <c r="F588" s="1">
        <v>56680</v>
      </c>
      <c r="G588" t="s">
        <v>1680</v>
      </c>
      <c r="H588" s="2">
        <v>45991</v>
      </c>
      <c r="I588" t="s">
        <v>1715</v>
      </c>
      <c r="J588" t="s">
        <v>1715</v>
      </c>
      <c r="K588" t="s">
        <v>19</v>
      </c>
      <c r="O588">
        <f t="shared" si="16"/>
        <v>11</v>
      </c>
      <c r="P588" t="str">
        <f>+VLOOKUP(O588,X:Y,2,0)</f>
        <v>Noviembre</v>
      </c>
    </row>
    <row r="589" spans="3:16" x14ac:dyDescent="0.35">
      <c r="C589" t="s">
        <v>14</v>
      </c>
      <c r="D589">
        <v>53051501</v>
      </c>
      <c r="E589" t="s">
        <v>1308</v>
      </c>
      <c r="F589" s="1">
        <v>56680</v>
      </c>
      <c r="G589" t="s">
        <v>1680</v>
      </c>
      <c r="H589" s="2">
        <v>45991</v>
      </c>
      <c r="I589" t="s">
        <v>1716</v>
      </c>
      <c r="J589" t="s">
        <v>1716</v>
      </c>
      <c r="K589" t="s">
        <v>19</v>
      </c>
      <c r="O589">
        <f t="shared" si="16"/>
        <v>11</v>
      </c>
      <c r="P589" t="str">
        <f>+VLOOKUP(O589,X:Y,2,0)</f>
        <v>Noviembre</v>
      </c>
    </row>
    <row r="590" spans="3:16" x14ac:dyDescent="0.35">
      <c r="C590" t="s">
        <v>14</v>
      </c>
      <c r="D590">
        <v>53051501</v>
      </c>
      <c r="E590" t="s">
        <v>1308</v>
      </c>
      <c r="F590" s="1">
        <v>85000</v>
      </c>
      <c r="G590" t="s">
        <v>1681</v>
      </c>
      <c r="H590" s="2">
        <v>45991</v>
      </c>
      <c r="I590" t="s">
        <v>1717</v>
      </c>
      <c r="J590" t="s">
        <v>1717</v>
      </c>
      <c r="K590" t="s">
        <v>534</v>
      </c>
      <c r="O590">
        <f t="shared" si="16"/>
        <v>11</v>
      </c>
      <c r="P590" t="str">
        <f>+VLOOKUP(O590,X:Y,2,0)</f>
        <v>Noviembre</v>
      </c>
    </row>
    <row r="591" spans="3:16" x14ac:dyDescent="0.35">
      <c r="C591" t="s">
        <v>14</v>
      </c>
      <c r="D591">
        <v>53051501</v>
      </c>
      <c r="E591" t="s">
        <v>1308</v>
      </c>
      <c r="F591" s="1">
        <v>1617206.75</v>
      </c>
      <c r="G591" t="s">
        <v>1682</v>
      </c>
      <c r="H591" s="2">
        <v>45991</v>
      </c>
      <c r="I591" t="s">
        <v>1718</v>
      </c>
      <c r="J591" t="s">
        <v>1718</v>
      </c>
      <c r="K591" t="s">
        <v>167</v>
      </c>
      <c r="O591">
        <f t="shared" si="16"/>
        <v>11</v>
      </c>
      <c r="P591" t="str">
        <f>+VLOOKUP(O591,X:Y,2,0)</f>
        <v>Noviembre</v>
      </c>
    </row>
    <row r="592" spans="3:16" x14ac:dyDescent="0.35">
      <c r="C592" t="s">
        <v>14</v>
      </c>
      <c r="D592">
        <v>53051501</v>
      </c>
      <c r="E592" s="34" t="s">
        <v>1427</v>
      </c>
      <c r="F592" s="1">
        <v>11681401</v>
      </c>
      <c r="G592" t="s">
        <v>1683</v>
      </c>
      <c r="H592" s="2">
        <v>45991</v>
      </c>
      <c r="I592" t="s">
        <v>1719</v>
      </c>
      <c r="J592" t="s">
        <v>1719</v>
      </c>
      <c r="K592" t="s">
        <v>203</v>
      </c>
      <c r="O592">
        <f t="shared" si="16"/>
        <v>11</v>
      </c>
      <c r="P592" t="str">
        <f>+VLOOKUP(O592,X:Y,2,0)</f>
        <v>Noviembre</v>
      </c>
    </row>
    <row r="593" spans="3:16" x14ac:dyDescent="0.35">
      <c r="C593" t="s">
        <v>14</v>
      </c>
      <c r="D593">
        <v>53051501</v>
      </c>
      <c r="E593" s="34" t="s">
        <v>1427</v>
      </c>
      <c r="F593" s="1">
        <v>1674701</v>
      </c>
      <c r="G593" t="s">
        <v>1684</v>
      </c>
      <c r="H593" s="2">
        <v>45991</v>
      </c>
      <c r="I593" t="s">
        <v>1720</v>
      </c>
      <c r="J593" t="s">
        <v>1720</v>
      </c>
      <c r="K593" t="s">
        <v>203</v>
      </c>
      <c r="O593">
        <f t="shared" si="16"/>
        <v>11</v>
      </c>
      <c r="P593" t="str">
        <f>+VLOOKUP(O593,X:Y,2,0)</f>
        <v>Noviembre</v>
      </c>
    </row>
    <row r="594" spans="3:16" x14ac:dyDescent="0.35">
      <c r="C594" t="s">
        <v>14</v>
      </c>
      <c r="D594">
        <v>53051501</v>
      </c>
      <c r="E594" s="34" t="s">
        <v>1427</v>
      </c>
      <c r="F594" s="1">
        <v>21511</v>
      </c>
      <c r="G594" t="s">
        <v>1685</v>
      </c>
      <c r="H594" s="2">
        <v>45991</v>
      </c>
      <c r="I594" t="s">
        <v>1721</v>
      </c>
      <c r="J594" t="s">
        <v>1721</v>
      </c>
      <c r="K594" t="s">
        <v>203</v>
      </c>
      <c r="O594">
        <f t="shared" si="16"/>
        <v>11</v>
      </c>
      <c r="P594" t="str">
        <f>+VLOOKUP(O594,X:Y,2,0)</f>
        <v>Noviembre</v>
      </c>
    </row>
    <row r="595" spans="3:16" x14ac:dyDescent="0.35">
      <c r="C595" t="s">
        <v>14</v>
      </c>
      <c r="D595">
        <v>53051501</v>
      </c>
      <c r="E595" s="34" t="s">
        <v>1427</v>
      </c>
      <c r="F595" s="1">
        <v>124537</v>
      </c>
      <c r="G595" t="s">
        <v>1686</v>
      </c>
      <c r="H595" s="2">
        <v>45991</v>
      </c>
      <c r="I595" t="s">
        <v>1722</v>
      </c>
      <c r="J595" t="s">
        <v>1722</v>
      </c>
      <c r="K595" t="s">
        <v>203</v>
      </c>
      <c r="O595">
        <f t="shared" si="16"/>
        <v>11</v>
      </c>
      <c r="P595" t="str">
        <f>+VLOOKUP(O595,X:Y,2,0)</f>
        <v>Noviembre</v>
      </c>
    </row>
    <row r="596" spans="3:16" x14ac:dyDescent="0.35">
      <c r="C596" t="s">
        <v>14</v>
      </c>
      <c r="D596">
        <v>53051501</v>
      </c>
      <c r="E596" t="s">
        <v>1308</v>
      </c>
      <c r="F596" s="1">
        <v>80000</v>
      </c>
      <c r="G596" t="s">
        <v>1687</v>
      </c>
      <c r="H596" s="2">
        <v>45991</v>
      </c>
      <c r="I596" t="s">
        <v>1723</v>
      </c>
      <c r="J596" t="s">
        <v>1723</v>
      </c>
      <c r="K596" t="s">
        <v>1056</v>
      </c>
      <c r="O596">
        <f t="shared" si="16"/>
        <v>11</v>
      </c>
      <c r="P596" t="str">
        <f>+VLOOKUP(O596,X:Y,2,0)</f>
        <v>Noviembre</v>
      </c>
    </row>
    <row r="597" spans="3:16" x14ac:dyDescent="0.35">
      <c r="C597" t="s">
        <v>14</v>
      </c>
      <c r="D597">
        <v>53051502</v>
      </c>
      <c r="E597" t="s">
        <v>1309</v>
      </c>
      <c r="F597" s="1">
        <v>20499374.989999998</v>
      </c>
      <c r="G597" t="s">
        <v>1688</v>
      </c>
      <c r="H597" s="2">
        <v>45962</v>
      </c>
      <c r="I597" t="s">
        <v>306</v>
      </c>
      <c r="J597" t="s">
        <v>306</v>
      </c>
      <c r="K597" t="s">
        <v>40</v>
      </c>
      <c r="O597">
        <f t="shared" si="16"/>
        <v>11</v>
      </c>
      <c r="P597" t="str">
        <f>+VLOOKUP(O597,X:Y,2,0)</f>
        <v>Noviembre</v>
      </c>
    </row>
    <row r="598" spans="3:16" x14ac:dyDescent="0.35">
      <c r="C598" t="s">
        <v>14</v>
      </c>
      <c r="D598">
        <v>53051502</v>
      </c>
      <c r="E598" t="s">
        <v>1309</v>
      </c>
      <c r="F598" s="1">
        <v>5631655</v>
      </c>
      <c r="G598" t="s">
        <v>1689</v>
      </c>
      <c r="H598" s="2">
        <v>45962</v>
      </c>
      <c r="I598" t="s">
        <v>1017</v>
      </c>
      <c r="J598" t="s">
        <v>1017</v>
      </c>
      <c r="K598" t="s">
        <v>1512</v>
      </c>
      <c r="O598">
        <f t="shared" si="16"/>
        <v>11</v>
      </c>
      <c r="P598" t="str">
        <f>+VLOOKUP(O598,X:Y,2,0)</f>
        <v>Noviembre</v>
      </c>
    </row>
    <row r="599" spans="3:16" x14ac:dyDescent="0.35">
      <c r="C599" t="s">
        <v>14</v>
      </c>
      <c r="D599">
        <v>53051502</v>
      </c>
      <c r="E599" t="s">
        <v>1309</v>
      </c>
      <c r="F599" s="1">
        <v>18404208.52</v>
      </c>
      <c r="G599" t="s">
        <v>1690</v>
      </c>
      <c r="H599" s="2">
        <v>45965</v>
      </c>
      <c r="I599" t="s">
        <v>1724</v>
      </c>
      <c r="J599" t="s">
        <v>1724</v>
      </c>
      <c r="K599" t="s">
        <v>40</v>
      </c>
      <c r="O599">
        <f t="shared" si="16"/>
        <v>11</v>
      </c>
      <c r="P599" t="str">
        <f>+VLOOKUP(O599,X:Y,2,0)</f>
        <v>Noviembre</v>
      </c>
    </row>
    <row r="600" spans="3:16" x14ac:dyDescent="0.35">
      <c r="C600" t="s">
        <v>14</v>
      </c>
      <c r="D600">
        <v>53051502</v>
      </c>
      <c r="E600" t="s">
        <v>1309</v>
      </c>
      <c r="F600" s="1">
        <v>6243655.6299999999</v>
      </c>
      <c r="G600" t="s">
        <v>1691</v>
      </c>
      <c r="H600" s="2">
        <v>45972</v>
      </c>
      <c r="I600" t="s">
        <v>1725</v>
      </c>
      <c r="J600" t="s">
        <v>1725</v>
      </c>
      <c r="K600" t="s">
        <v>40</v>
      </c>
      <c r="O600">
        <f t="shared" si="16"/>
        <v>11</v>
      </c>
      <c r="P600" t="str">
        <f>+VLOOKUP(O600,X:Y,2,0)</f>
        <v>Noviembre</v>
      </c>
    </row>
    <row r="601" spans="3:16" x14ac:dyDescent="0.35">
      <c r="C601" t="s">
        <v>14</v>
      </c>
      <c r="D601">
        <v>53051502</v>
      </c>
      <c r="E601" t="s">
        <v>1309</v>
      </c>
      <c r="F601" s="1">
        <v>3497529.74</v>
      </c>
      <c r="G601" t="s">
        <v>1692</v>
      </c>
      <c r="H601" s="2">
        <v>45972</v>
      </c>
      <c r="I601" t="s">
        <v>1726</v>
      </c>
      <c r="J601" t="s">
        <v>1726</v>
      </c>
      <c r="K601" t="s">
        <v>40</v>
      </c>
      <c r="O601">
        <f t="shared" si="16"/>
        <v>11</v>
      </c>
      <c r="P601" t="str">
        <f>+VLOOKUP(O601,X:Y,2,0)</f>
        <v>Noviembre</v>
      </c>
    </row>
    <row r="602" spans="3:16" x14ac:dyDescent="0.35">
      <c r="C602" t="s">
        <v>14</v>
      </c>
      <c r="D602">
        <v>53051502</v>
      </c>
      <c r="E602" t="s">
        <v>1309</v>
      </c>
      <c r="F602" s="1">
        <v>3444908.29</v>
      </c>
      <c r="G602" t="s">
        <v>1693</v>
      </c>
      <c r="H602" s="2">
        <v>45972</v>
      </c>
      <c r="I602" t="s">
        <v>1727</v>
      </c>
      <c r="J602" t="s">
        <v>1727</v>
      </c>
      <c r="K602" t="s">
        <v>40</v>
      </c>
      <c r="O602">
        <f t="shared" si="16"/>
        <v>11</v>
      </c>
      <c r="P602" t="str">
        <f>+VLOOKUP(O602,X:Y,2,0)</f>
        <v>Noviembre</v>
      </c>
    </row>
    <row r="603" spans="3:16" x14ac:dyDescent="0.35">
      <c r="C603" t="s">
        <v>14</v>
      </c>
      <c r="D603">
        <v>53051502</v>
      </c>
      <c r="E603" t="s">
        <v>1309</v>
      </c>
      <c r="F603" s="1">
        <v>7481189.2300000004</v>
      </c>
      <c r="G603" t="s">
        <v>1694</v>
      </c>
      <c r="H603" s="2">
        <v>45972</v>
      </c>
      <c r="I603" t="s">
        <v>1728</v>
      </c>
      <c r="J603" t="s">
        <v>1728</v>
      </c>
      <c r="K603" t="s">
        <v>172</v>
      </c>
      <c r="O603">
        <f t="shared" si="16"/>
        <v>11</v>
      </c>
      <c r="P603" t="str">
        <f>+VLOOKUP(O603,X:Y,2,0)</f>
        <v>Noviembre</v>
      </c>
    </row>
    <row r="604" spans="3:16" x14ac:dyDescent="0.35">
      <c r="C604" t="s">
        <v>14</v>
      </c>
      <c r="D604">
        <v>53051502</v>
      </c>
      <c r="E604" t="s">
        <v>1309</v>
      </c>
      <c r="F604" s="1">
        <v>2271934.23</v>
      </c>
      <c r="G604" t="s">
        <v>1695</v>
      </c>
      <c r="H604" s="2">
        <v>45974</v>
      </c>
      <c r="I604" t="s">
        <v>1729</v>
      </c>
      <c r="J604" t="s">
        <v>1729</v>
      </c>
      <c r="K604" t="s">
        <v>172</v>
      </c>
      <c r="O604">
        <f t="shared" si="16"/>
        <v>11</v>
      </c>
      <c r="P604" t="str">
        <f>+VLOOKUP(O604,X:Y,2,0)</f>
        <v>Noviembre</v>
      </c>
    </row>
    <row r="605" spans="3:16" x14ac:dyDescent="0.35">
      <c r="C605" t="s">
        <v>14</v>
      </c>
      <c r="D605">
        <v>53051502</v>
      </c>
      <c r="E605" t="s">
        <v>1309</v>
      </c>
      <c r="F605" s="1">
        <v>3288279.23</v>
      </c>
      <c r="G605" t="s">
        <v>1696</v>
      </c>
      <c r="H605" s="2">
        <v>45980</v>
      </c>
      <c r="I605" t="s">
        <v>1730</v>
      </c>
      <c r="J605" t="s">
        <v>1730</v>
      </c>
      <c r="K605" t="s">
        <v>172</v>
      </c>
      <c r="O605">
        <f t="shared" si="16"/>
        <v>11</v>
      </c>
      <c r="P605" t="str">
        <f>+VLOOKUP(O605,X:Y,2,0)</f>
        <v>Noviembre</v>
      </c>
    </row>
    <row r="606" spans="3:16" x14ac:dyDescent="0.35">
      <c r="C606" t="s">
        <v>14</v>
      </c>
      <c r="D606">
        <v>53051502</v>
      </c>
      <c r="E606" t="s">
        <v>1309</v>
      </c>
      <c r="F606" s="1">
        <v>8366691.0199999996</v>
      </c>
      <c r="G606" t="s">
        <v>1697</v>
      </c>
      <c r="H606" s="2">
        <v>45982</v>
      </c>
      <c r="I606" t="s">
        <v>1731</v>
      </c>
      <c r="J606" t="s">
        <v>1731</v>
      </c>
      <c r="K606" t="s">
        <v>40</v>
      </c>
      <c r="O606">
        <f t="shared" si="16"/>
        <v>11</v>
      </c>
      <c r="P606" t="str">
        <f>+VLOOKUP(O606,X:Y,2,0)</f>
        <v>Noviembre</v>
      </c>
    </row>
    <row r="607" spans="3:16" x14ac:dyDescent="0.35">
      <c r="C607" t="s">
        <v>14</v>
      </c>
      <c r="D607">
        <v>53051502</v>
      </c>
      <c r="E607" t="s">
        <v>1309</v>
      </c>
      <c r="F607" s="1">
        <v>6295676.0999999996</v>
      </c>
      <c r="G607" t="s">
        <v>1698</v>
      </c>
      <c r="H607" s="2">
        <v>45982</v>
      </c>
      <c r="I607" t="s">
        <v>1732</v>
      </c>
      <c r="J607" t="s">
        <v>1732</v>
      </c>
      <c r="K607" t="s">
        <v>40</v>
      </c>
      <c r="O607">
        <f t="shared" si="16"/>
        <v>11</v>
      </c>
      <c r="P607" t="str">
        <f>+VLOOKUP(O607,X:Y,2,0)</f>
        <v>Noviembre</v>
      </c>
    </row>
    <row r="608" spans="3:16" x14ac:dyDescent="0.35">
      <c r="C608" t="s">
        <v>14</v>
      </c>
      <c r="D608">
        <v>53051502</v>
      </c>
      <c r="E608" t="s">
        <v>1309</v>
      </c>
      <c r="F608" s="1">
        <v>5115476</v>
      </c>
      <c r="G608" t="s">
        <v>1699</v>
      </c>
      <c r="H608" s="2">
        <v>45982</v>
      </c>
      <c r="I608" t="s">
        <v>1733</v>
      </c>
      <c r="J608" t="s">
        <v>1733</v>
      </c>
      <c r="K608" t="s">
        <v>1512</v>
      </c>
      <c r="O608">
        <f t="shared" si="16"/>
        <v>11</v>
      </c>
      <c r="P608" t="str">
        <f>+VLOOKUP(O608,X:Y,2,0)</f>
        <v>Noviembre</v>
      </c>
    </row>
    <row r="609" spans="3:16" x14ac:dyDescent="0.35">
      <c r="C609" t="s">
        <v>14</v>
      </c>
      <c r="D609">
        <v>53051502</v>
      </c>
      <c r="E609" t="s">
        <v>1309</v>
      </c>
      <c r="F609" s="1">
        <v>2107102.16</v>
      </c>
      <c r="G609" t="s">
        <v>1700</v>
      </c>
      <c r="H609" s="2">
        <v>45988</v>
      </c>
      <c r="I609" t="s">
        <v>1734</v>
      </c>
      <c r="J609" t="s">
        <v>1734</v>
      </c>
      <c r="K609" t="s">
        <v>40</v>
      </c>
      <c r="O609">
        <f t="shared" si="16"/>
        <v>11</v>
      </c>
      <c r="P609" t="str">
        <f>+VLOOKUP(O609,X:Y,2,0)</f>
        <v>Noviembre</v>
      </c>
    </row>
    <row r="610" spans="3:16" x14ac:dyDescent="0.35">
      <c r="C610" t="s">
        <v>14</v>
      </c>
      <c r="D610">
        <v>53051502</v>
      </c>
      <c r="E610" t="s">
        <v>1309</v>
      </c>
      <c r="F610" s="1">
        <v>8013342.0599999996</v>
      </c>
      <c r="G610" t="s">
        <v>1701</v>
      </c>
      <c r="H610" s="2">
        <v>45988</v>
      </c>
      <c r="I610" t="s">
        <v>1735</v>
      </c>
      <c r="J610" t="s">
        <v>1735</v>
      </c>
      <c r="K610" t="s">
        <v>40</v>
      </c>
      <c r="O610">
        <f t="shared" si="16"/>
        <v>11</v>
      </c>
      <c r="P610" t="str">
        <f>+VLOOKUP(O610,X:Y,2,0)</f>
        <v>Noviembre</v>
      </c>
    </row>
    <row r="611" spans="3:16" x14ac:dyDescent="0.35">
      <c r="C611" t="s">
        <v>14</v>
      </c>
      <c r="D611">
        <v>53051502</v>
      </c>
      <c r="E611" t="s">
        <v>1309</v>
      </c>
      <c r="F611" s="1">
        <v>2026406.2</v>
      </c>
      <c r="G611" t="s">
        <v>1702</v>
      </c>
      <c r="H611" s="2">
        <v>45988</v>
      </c>
      <c r="I611" t="s">
        <v>1736</v>
      </c>
      <c r="J611" t="s">
        <v>1736</v>
      </c>
      <c r="K611" t="s">
        <v>172</v>
      </c>
      <c r="O611">
        <f t="shared" si="16"/>
        <v>11</v>
      </c>
      <c r="P611" t="str">
        <f>+VLOOKUP(O611,X:Y,2,0)</f>
        <v>Noviembre</v>
      </c>
    </row>
    <row r="612" spans="3:16" x14ac:dyDescent="0.35">
      <c r="C612" t="s">
        <v>14</v>
      </c>
      <c r="D612">
        <v>53051502</v>
      </c>
      <c r="E612" t="s">
        <v>1309</v>
      </c>
      <c r="F612" s="1">
        <v>3731795</v>
      </c>
      <c r="G612" t="s">
        <v>1703</v>
      </c>
      <c r="H612" s="2">
        <v>45989</v>
      </c>
      <c r="I612" t="s">
        <v>1737</v>
      </c>
      <c r="J612" t="s">
        <v>1737</v>
      </c>
      <c r="K612" t="s">
        <v>1512</v>
      </c>
      <c r="O612">
        <f t="shared" si="16"/>
        <v>11</v>
      </c>
      <c r="P612" t="str">
        <f>+VLOOKUP(O612,X:Y,2,0)</f>
        <v>Noviembre</v>
      </c>
    </row>
    <row r="613" spans="3:16" s="43" customFormat="1" ht="5.25" customHeight="1" x14ac:dyDescent="0.35"/>
    <row r="614" spans="3:16" x14ac:dyDescent="0.35">
      <c r="C614" t="s">
        <v>14</v>
      </c>
      <c r="D614">
        <v>53051501</v>
      </c>
      <c r="E614" t="s">
        <v>1308</v>
      </c>
      <c r="F614" s="26">
        <v>-1127124</v>
      </c>
      <c r="G614" t="s">
        <v>1761</v>
      </c>
      <c r="H614" s="2">
        <v>46022</v>
      </c>
      <c r="I614" t="s">
        <v>1793</v>
      </c>
      <c r="J614" t="s">
        <v>1793</v>
      </c>
      <c r="K614" t="s">
        <v>167</v>
      </c>
      <c r="O614">
        <f>+MONTH(H614)</f>
        <v>12</v>
      </c>
      <c r="P614" t="str">
        <f>+VLOOKUP(O614,X:Y,2,0)</f>
        <v>Diciembre</v>
      </c>
    </row>
    <row r="615" spans="3:16" x14ac:dyDescent="0.35">
      <c r="C615" t="s">
        <v>14</v>
      </c>
      <c r="D615">
        <v>53051501</v>
      </c>
      <c r="E615" s="34" t="s">
        <v>1427</v>
      </c>
      <c r="F615" s="26">
        <v>-3245</v>
      </c>
      <c r="G615" t="s">
        <v>1751</v>
      </c>
      <c r="H615" s="2">
        <v>46022</v>
      </c>
      <c r="I615" t="s">
        <v>1783</v>
      </c>
      <c r="J615" t="s">
        <v>1783</v>
      </c>
      <c r="K615" t="s">
        <v>203</v>
      </c>
      <c r="O615">
        <f>+MONTH(H615)</f>
        <v>12</v>
      </c>
      <c r="P615" t="str">
        <f>+VLOOKUP(O615,X:Y,2,0)</f>
        <v>Diciembre</v>
      </c>
    </row>
    <row r="616" spans="3:16" x14ac:dyDescent="0.35">
      <c r="C616" t="s">
        <v>14</v>
      </c>
      <c r="D616">
        <v>53051501</v>
      </c>
      <c r="E616" s="34" t="s">
        <v>1427</v>
      </c>
      <c r="F616" s="26">
        <v>-913</v>
      </c>
      <c r="G616" t="s">
        <v>1749</v>
      </c>
      <c r="H616" s="2">
        <v>46022</v>
      </c>
      <c r="I616" t="s">
        <v>1781</v>
      </c>
      <c r="J616" t="s">
        <v>1781</v>
      </c>
      <c r="K616" t="s">
        <v>203</v>
      </c>
      <c r="O616">
        <f>+MONTH(H616)</f>
        <v>12</v>
      </c>
      <c r="P616" t="str">
        <f>+VLOOKUP(O616,X:Y,2,0)</f>
        <v>Diciembre</v>
      </c>
    </row>
    <row r="617" spans="3:16" x14ac:dyDescent="0.35">
      <c r="C617" t="s">
        <v>14</v>
      </c>
      <c r="D617">
        <v>53051501</v>
      </c>
      <c r="E617" s="34" t="s">
        <v>1427</v>
      </c>
      <c r="F617" s="26">
        <v>-163</v>
      </c>
      <c r="G617" t="s">
        <v>1750</v>
      </c>
      <c r="H617" s="2">
        <v>46022</v>
      </c>
      <c r="I617" t="s">
        <v>1782</v>
      </c>
      <c r="J617" t="s">
        <v>1782</v>
      </c>
      <c r="K617" t="s">
        <v>203</v>
      </c>
      <c r="O617">
        <f>+MONTH(H617)</f>
        <v>12</v>
      </c>
      <c r="P617" t="str">
        <f>+VLOOKUP(O617,X:Y,2,0)</f>
        <v>Diciembre</v>
      </c>
    </row>
    <row r="618" spans="3:16" x14ac:dyDescent="0.35">
      <c r="C618" t="s">
        <v>14</v>
      </c>
      <c r="D618">
        <v>53051501</v>
      </c>
      <c r="E618" t="s">
        <v>1308</v>
      </c>
      <c r="F618" s="26">
        <v>2650</v>
      </c>
      <c r="G618" t="s">
        <v>1755</v>
      </c>
      <c r="H618" s="2">
        <v>46022</v>
      </c>
      <c r="I618" t="s">
        <v>1787</v>
      </c>
      <c r="J618" t="s">
        <v>1787</v>
      </c>
      <c r="K618" t="s">
        <v>25</v>
      </c>
      <c r="O618">
        <f>+MONTH(H618)</f>
        <v>12</v>
      </c>
      <c r="P618" t="str">
        <f>+VLOOKUP(O618,X:Y,2,0)</f>
        <v>Diciembre</v>
      </c>
    </row>
    <row r="619" spans="3:16" x14ac:dyDescent="0.35">
      <c r="C619" t="s">
        <v>14</v>
      </c>
      <c r="D619">
        <v>53051501</v>
      </c>
      <c r="E619" t="s">
        <v>1308</v>
      </c>
      <c r="F619" s="26">
        <v>3529</v>
      </c>
      <c r="G619" t="s">
        <v>1738</v>
      </c>
      <c r="H619" s="2">
        <v>45993</v>
      </c>
      <c r="I619" t="s">
        <v>155</v>
      </c>
      <c r="J619" t="s">
        <v>155</v>
      </c>
      <c r="K619" t="s">
        <v>29</v>
      </c>
      <c r="O619">
        <f>+MONTH(H619)</f>
        <v>12</v>
      </c>
      <c r="P619" t="str">
        <f>+VLOOKUP(O619,X:Y,2,0)</f>
        <v>Diciembre</v>
      </c>
    </row>
    <row r="620" spans="3:16" x14ac:dyDescent="0.35">
      <c r="C620" t="s">
        <v>14</v>
      </c>
      <c r="D620">
        <v>53051501</v>
      </c>
      <c r="E620" t="s">
        <v>1308</v>
      </c>
      <c r="F620" s="26">
        <v>3529</v>
      </c>
      <c r="G620" t="s">
        <v>1739</v>
      </c>
      <c r="H620" s="2">
        <v>45994</v>
      </c>
      <c r="I620" t="s">
        <v>216</v>
      </c>
      <c r="J620" t="s">
        <v>216</v>
      </c>
      <c r="K620" t="s">
        <v>29</v>
      </c>
      <c r="O620">
        <f>+MONTH(H620)</f>
        <v>12</v>
      </c>
      <c r="P620" t="str">
        <f>+VLOOKUP(O620,X:Y,2,0)</f>
        <v>Diciembre</v>
      </c>
    </row>
    <row r="621" spans="3:16" x14ac:dyDescent="0.35">
      <c r="C621" t="s">
        <v>14</v>
      </c>
      <c r="D621">
        <v>53051501</v>
      </c>
      <c r="E621" t="s">
        <v>1308</v>
      </c>
      <c r="F621" s="26">
        <v>3529</v>
      </c>
      <c r="G621" t="s">
        <v>1741</v>
      </c>
      <c r="H621" s="2">
        <v>46002</v>
      </c>
      <c r="I621" t="s">
        <v>1360</v>
      </c>
      <c r="J621" t="s">
        <v>1360</v>
      </c>
      <c r="K621" t="s">
        <v>29</v>
      </c>
      <c r="O621">
        <f>+MONTH(H621)</f>
        <v>12</v>
      </c>
      <c r="P621" t="str">
        <f>+VLOOKUP(O621,X:Y,2,0)</f>
        <v>Diciembre</v>
      </c>
    </row>
    <row r="622" spans="3:16" x14ac:dyDescent="0.35">
      <c r="C622" t="s">
        <v>14</v>
      </c>
      <c r="D622">
        <v>53051501</v>
      </c>
      <c r="E622" t="s">
        <v>1308</v>
      </c>
      <c r="F622" s="26">
        <v>3529</v>
      </c>
      <c r="G622" t="s">
        <v>1742</v>
      </c>
      <c r="H622" s="2">
        <v>46009</v>
      </c>
      <c r="I622" t="s">
        <v>1776</v>
      </c>
      <c r="J622" t="s">
        <v>1776</v>
      </c>
      <c r="K622" t="s">
        <v>29</v>
      </c>
      <c r="O622">
        <f>+MONTH(H622)</f>
        <v>12</v>
      </c>
      <c r="P622" t="str">
        <f>+VLOOKUP(O622,X:Y,2,0)</f>
        <v>Diciembre</v>
      </c>
    </row>
    <row r="623" spans="3:16" x14ac:dyDescent="0.35">
      <c r="C623" t="s">
        <v>14</v>
      </c>
      <c r="D623">
        <v>53051501</v>
      </c>
      <c r="E623" t="s">
        <v>1308</v>
      </c>
      <c r="F623" s="26">
        <v>3529</v>
      </c>
      <c r="G623" t="s">
        <v>1748</v>
      </c>
      <c r="H623" s="2">
        <v>46014</v>
      </c>
      <c r="I623" t="s">
        <v>155</v>
      </c>
      <c r="J623" t="s">
        <v>155</v>
      </c>
      <c r="K623" t="s">
        <v>29</v>
      </c>
      <c r="O623">
        <f>+MONTH(H623)</f>
        <v>12</v>
      </c>
      <c r="P623" t="str">
        <f>+VLOOKUP(O623,X:Y,2,0)</f>
        <v>Diciembre</v>
      </c>
    </row>
    <row r="624" spans="3:16" x14ac:dyDescent="0.35">
      <c r="C624" t="s">
        <v>14</v>
      </c>
      <c r="D624">
        <v>53051501</v>
      </c>
      <c r="E624" t="s">
        <v>1308</v>
      </c>
      <c r="F624" s="26">
        <v>3529</v>
      </c>
      <c r="G624" t="s">
        <v>1763</v>
      </c>
      <c r="H624" s="2">
        <v>46022</v>
      </c>
      <c r="I624" t="s">
        <v>155</v>
      </c>
      <c r="J624" t="s">
        <v>155</v>
      </c>
      <c r="K624" t="s">
        <v>29</v>
      </c>
      <c r="O624">
        <f>+MONTH(H624)</f>
        <v>12</v>
      </c>
      <c r="P624" t="str">
        <f>+VLOOKUP(O624,X:Y,2,0)</f>
        <v>Diciembre</v>
      </c>
    </row>
    <row r="625" spans="3:16" x14ac:dyDescent="0.35">
      <c r="C625" t="s">
        <v>14</v>
      </c>
      <c r="D625">
        <v>53051501</v>
      </c>
      <c r="E625" t="s">
        <v>1308</v>
      </c>
      <c r="F625" s="26">
        <v>7058</v>
      </c>
      <c r="G625" t="s">
        <v>1762</v>
      </c>
      <c r="H625" s="2">
        <v>46022</v>
      </c>
      <c r="I625" t="s">
        <v>216</v>
      </c>
      <c r="J625" t="s">
        <v>216</v>
      </c>
      <c r="K625" t="s">
        <v>29</v>
      </c>
      <c r="O625">
        <f>+MONTH(H625)</f>
        <v>12</v>
      </c>
      <c r="P625" t="str">
        <f>+VLOOKUP(O625,X:Y,2,0)</f>
        <v>Diciembre</v>
      </c>
    </row>
    <row r="626" spans="3:16" x14ac:dyDescent="0.35">
      <c r="C626" t="s">
        <v>14</v>
      </c>
      <c r="D626">
        <v>53051501</v>
      </c>
      <c r="E626" t="s">
        <v>1308</v>
      </c>
      <c r="F626" s="26">
        <v>12483</v>
      </c>
      <c r="G626" t="s">
        <v>1740</v>
      </c>
      <c r="H626" s="2">
        <v>46000</v>
      </c>
      <c r="I626" t="s">
        <v>1775</v>
      </c>
      <c r="J626" t="s">
        <v>1775</v>
      </c>
      <c r="K626" t="s">
        <v>1527</v>
      </c>
      <c r="O626">
        <f>+MONTH(H626)</f>
        <v>12</v>
      </c>
      <c r="P626" t="str">
        <f>+VLOOKUP(O626,X:Y,2,0)</f>
        <v>Diciembre</v>
      </c>
    </row>
    <row r="627" spans="3:16" x14ac:dyDescent="0.35">
      <c r="C627" t="s">
        <v>14</v>
      </c>
      <c r="D627">
        <v>53051501</v>
      </c>
      <c r="E627" t="s">
        <v>1308</v>
      </c>
      <c r="F627" s="26">
        <v>16300</v>
      </c>
      <c r="G627" t="s">
        <v>1758</v>
      </c>
      <c r="H627" s="2">
        <v>46022</v>
      </c>
      <c r="I627" t="s">
        <v>1790</v>
      </c>
      <c r="J627" t="s">
        <v>1790</v>
      </c>
      <c r="K627" t="s">
        <v>19</v>
      </c>
      <c r="O627">
        <f>+MONTH(H627)</f>
        <v>12</v>
      </c>
      <c r="P627" t="str">
        <f>+VLOOKUP(O627,X:Y,2,0)</f>
        <v>Diciembre</v>
      </c>
    </row>
    <row r="628" spans="3:16" x14ac:dyDescent="0.35">
      <c r="C628" t="s">
        <v>14</v>
      </c>
      <c r="D628">
        <v>53051501</v>
      </c>
      <c r="E628" s="34" t="s">
        <v>1427</v>
      </c>
      <c r="F628" s="26">
        <v>45063</v>
      </c>
      <c r="G628" t="s">
        <v>1766</v>
      </c>
      <c r="H628" s="2">
        <v>46022</v>
      </c>
      <c r="I628" t="s">
        <v>1796</v>
      </c>
      <c r="J628" t="s">
        <v>1796</v>
      </c>
      <c r="K628" t="s">
        <v>203</v>
      </c>
      <c r="O628">
        <f>+MONTH(H628)</f>
        <v>12</v>
      </c>
      <c r="P628" t="str">
        <f>+VLOOKUP(O628,X:Y,2,0)</f>
        <v>Diciembre</v>
      </c>
    </row>
    <row r="629" spans="3:16" x14ac:dyDescent="0.35">
      <c r="C629" t="s">
        <v>14</v>
      </c>
      <c r="D629">
        <v>53051501</v>
      </c>
      <c r="E629" t="s">
        <v>1308</v>
      </c>
      <c r="F629" s="26">
        <v>90000</v>
      </c>
      <c r="G629" t="s">
        <v>1756</v>
      </c>
      <c r="H629" s="2">
        <v>46022</v>
      </c>
      <c r="I629" t="s">
        <v>1788</v>
      </c>
      <c r="J629" t="s">
        <v>1788</v>
      </c>
      <c r="K629" t="s">
        <v>534</v>
      </c>
      <c r="O629">
        <f>+MONTH(H629)</f>
        <v>12</v>
      </c>
      <c r="P629" t="str">
        <f>+VLOOKUP(O629,X:Y,2,0)</f>
        <v>Diciembre</v>
      </c>
    </row>
    <row r="630" spans="3:16" x14ac:dyDescent="0.35">
      <c r="C630" t="s">
        <v>14</v>
      </c>
      <c r="D630">
        <v>53051501</v>
      </c>
      <c r="E630" t="s">
        <v>1308</v>
      </c>
      <c r="F630" s="26">
        <v>222268.85</v>
      </c>
      <c r="G630" t="s">
        <v>1759</v>
      </c>
      <c r="H630" s="2">
        <v>46022</v>
      </c>
      <c r="I630" t="s">
        <v>1791</v>
      </c>
      <c r="J630" t="s">
        <v>1791</v>
      </c>
      <c r="K630" t="s">
        <v>46</v>
      </c>
      <c r="O630">
        <f>+MONTH(H630)</f>
        <v>12</v>
      </c>
      <c r="P630" t="str">
        <f>+VLOOKUP(O630,X:Y,2,0)</f>
        <v>Diciembre</v>
      </c>
    </row>
    <row r="631" spans="3:16" x14ac:dyDescent="0.35">
      <c r="C631" t="s">
        <v>14</v>
      </c>
      <c r="D631">
        <v>53051501</v>
      </c>
      <c r="E631" t="s">
        <v>1308</v>
      </c>
      <c r="F631" s="26">
        <v>229089.8</v>
      </c>
      <c r="G631" t="s">
        <v>1754</v>
      </c>
      <c r="H631" s="2">
        <v>46022</v>
      </c>
      <c r="I631" t="s">
        <v>1786</v>
      </c>
      <c r="J631" t="s">
        <v>1786</v>
      </c>
      <c r="K631" t="s">
        <v>1512</v>
      </c>
      <c r="O631">
        <f>+MONTH(H631)</f>
        <v>12</v>
      </c>
      <c r="P631" t="str">
        <f>+VLOOKUP(O631,X:Y,2,0)</f>
        <v>Diciembre</v>
      </c>
    </row>
    <row r="632" spans="3:16" x14ac:dyDescent="0.35">
      <c r="C632" t="s">
        <v>14</v>
      </c>
      <c r="D632">
        <v>53051501</v>
      </c>
      <c r="E632" t="s">
        <v>1308</v>
      </c>
      <c r="F632" s="26">
        <v>281781</v>
      </c>
      <c r="G632" t="s">
        <v>1760</v>
      </c>
      <c r="H632" s="2">
        <v>46022</v>
      </c>
      <c r="I632" t="s">
        <v>1792</v>
      </c>
      <c r="J632" t="s">
        <v>1792</v>
      </c>
      <c r="K632" t="s">
        <v>167</v>
      </c>
      <c r="O632">
        <f>+MONTH(H632)</f>
        <v>12</v>
      </c>
      <c r="P632" t="str">
        <f>+VLOOKUP(O632,X:Y,2,0)</f>
        <v>Diciembre</v>
      </c>
    </row>
    <row r="633" spans="3:16" x14ac:dyDescent="0.35">
      <c r="C633" t="s">
        <v>14</v>
      </c>
      <c r="D633">
        <v>53051501</v>
      </c>
      <c r="E633" t="s">
        <v>1308</v>
      </c>
      <c r="F633" s="26">
        <v>442665.52</v>
      </c>
      <c r="G633" t="s">
        <v>1752</v>
      </c>
      <c r="H633" s="2">
        <v>46022</v>
      </c>
      <c r="I633" t="s">
        <v>1784</v>
      </c>
      <c r="J633" t="s">
        <v>1784</v>
      </c>
      <c r="K633" t="s">
        <v>29</v>
      </c>
      <c r="O633">
        <f>+MONTH(H633)</f>
        <v>12</v>
      </c>
      <c r="P633" t="str">
        <f>+VLOOKUP(O633,X:Y,2,0)</f>
        <v>Diciembre</v>
      </c>
    </row>
    <row r="634" spans="3:16" x14ac:dyDescent="0.35">
      <c r="C634" t="s">
        <v>14</v>
      </c>
      <c r="D634">
        <v>53051501</v>
      </c>
      <c r="E634" t="s">
        <v>1308</v>
      </c>
      <c r="F634" s="26">
        <v>1423500</v>
      </c>
      <c r="G634" t="s">
        <v>1850</v>
      </c>
      <c r="H634" s="2">
        <v>46006</v>
      </c>
      <c r="I634" t="s">
        <v>1851</v>
      </c>
      <c r="J634" t="s">
        <v>1851</v>
      </c>
      <c r="K634" t="s">
        <v>75</v>
      </c>
      <c r="O634">
        <f>+MONTH(H634)</f>
        <v>12</v>
      </c>
      <c r="P634" t="str">
        <f>+VLOOKUP(O634,X:Y,2,0)</f>
        <v>Diciembre</v>
      </c>
    </row>
    <row r="635" spans="3:16" x14ac:dyDescent="0.35">
      <c r="C635" t="s">
        <v>14</v>
      </c>
      <c r="D635">
        <v>53051502</v>
      </c>
      <c r="E635" t="s">
        <v>1309</v>
      </c>
      <c r="F635" s="26">
        <v>1491401.23</v>
      </c>
      <c r="G635" t="s">
        <v>1771</v>
      </c>
      <c r="H635" s="2">
        <v>46006</v>
      </c>
      <c r="I635" t="s">
        <v>1801</v>
      </c>
      <c r="J635" t="s">
        <v>1801</v>
      </c>
      <c r="K635" t="s">
        <v>172</v>
      </c>
      <c r="O635">
        <f>+MONTH(H635)</f>
        <v>12</v>
      </c>
      <c r="P635" t="str">
        <f>+VLOOKUP(O635,X:Y,2,0)</f>
        <v>Diciembre</v>
      </c>
    </row>
    <row r="636" spans="3:16" x14ac:dyDescent="0.35">
      <c r="C636" t="s">
        <v>14</v>
      </c>
      <c r="D636">
        <v>53051501</v>
      </c>
      <c r="E636" t="s">
        <v>1308</v>
      </c>
      <c r="F636" s="26">
        <v>1742089</v>
      </c>
      <c r="G636" t="s">
        <v>1757</v>
      </c>
      <c r="H636" s="2">
        <v>46022</v>
      </c>
      <c r="I636" t="s">
        <v>1789</v>
      </c>
      <c r="J636" t="s">
        <v>1789</v>
      </c>
      <c r="K636" t="s">
        <v>19</v>
      </c>
      <c r="O636">
        <f>+MONTH(H636)</f>
        <v>12</v>
      </c>
      <c r="P636" t="str">
        <f>+VLOOKUP(O636,X:Y,2,0)</f>
        <v>Diciembre</v>
      </c>
    </row>
    <row r="637" spans="3:16" x14ac:dyDescent="0.35">
      <c r="C637" t="s">
        <v>14</v>
      </c>
      <c r="D637">
        <v>53051501</v>
      </c>
      <c r="E637" t="s">
        <v>1308</v>
      </c>
      <c r="F637" s="26">
        <v>2865063.57</v>
      </c>
      <c r="G637" t="s">
        <v>1753</v>
      </c>
      <c r="H637" s="2">
        <v>46022</v>
      </c>
      <c r="I637" t="s">
        <v>1785</v>
      </c>
      <c r="J637" t="s">
        <v>1785</v>
      </c>
      <c r="K637" t="s">
        <v>29</v>
      </c>
      <c r="O637">
        <f>+MONTH(H637)</f>
        <v>12</v>
      </c>
      <c r="P637" t="str">
        <f>+VLOOKUP(O637,X:Y,2,0)</f>
        <v>Diciembre</v>
      </c>
    </row>
    <row r="638" spans="3:16" x14ac:dyDescent="0.35">
      <c r="C638" t="s">
        <v>14</v>
      </c>
      <c r="D638">
        <v>53051501</v>
      </c>
      <c r="E638" s="34" t="s">
        <v>1427</v>
      </c>
      <c r="F638" s="26">
        <v>2950443</v>
      </c>
      <c r="G638" t="s">
        <v>1765</v>
      </c>
      <c r="H638" s="2">
        <v>46022</v>
      </c>
      <c r="I638" t="s">
        <v>1795</v>
      </c>
      <c r="J638" t="s">
        <v>1795</v>
      </c>
      <c r="K638" t="s">
        <v>203</v>
      </c>
      <c r="O638">
        <f>+MONTH(H638)</f>
        <v>12</v>
      </c>
      <c r="P638" t="str">
        <f>+VLOOKUP(O638,X:Y,2,0)</f>
        <v>Diciembre</v>
      </c>
    </row>
    <row r="639" spans="3:16" x14ac:dyDescent="0.35">
      <c r="C639" t="s">
        <v>14</v>
      </c>
      <c r="D639">
        <v>53051502</v>
      </c>
      <c r="E639" t="s">
        <v>1309</v>
      </c>
      <c r="F639" s="26">
        <v>3148337.53</v>
      </c>
      <c r="G639" t="s">
        <v>1769</v>
      </c>
      <c r="H639" s="2">
        <v>46003</v>
      </c>
      <c r="I639" t="s">
        <v>1799</v>
      </c>
      <c r="J639" t="s">
        <v>1799</v>
      </c>
      <c r="K639" t="s">
        <v>40</v>
      </c>
      <c r="O639">
        <f>+MONTH(H639)</f>
        <v>12</v>
      </c>
      <c r="P639" t="str">
        <f>+VLOOKUP(O639,X:Y,2,0)</f>
        <v>Diciembre</v>
      </c>
    </row>
    <row r="640" spans="3:16" x14ac:dyDescent="0.35">
      <c r="C640" t="s">
        <v>14</v>
      </c>
      <c r="D640">
        <v>53051502</v>
      </c>
      <c r="E640" t="s">
        <v>1309</v>
      </c>
      <c r="F640" s="26">
        <v>3231375.96</v>
      </c>
      <c r="G640" t="s">
        <v>1773</v>
      </c>
      <c r="H640" s="2">
        <v>46014</v>
      </c>
      <c r="I640" t="s">
        <v>1803</v>
      </c>
      <c r="J640" t="s">
        <v>1803</v>
      </c>
      <c r="K640" t="s">
        <v>40</v>
      </c>
      <c r="O640">
        <f>+MONTH(H640)</f>
        <v>12</v>
      </c>
      <c r="P640" t="str">
        <f>+VLOOKUP(O640,X:Y,2,0)</f>
        <v>Diciembre</v>
      </c>
    </row>
    <row r="641" spans="3:16" x14ac:dyDescent="0.35">
      <c r="C641" t="s">
        <v>14</v>
      </c>
      <c r="D641">
        <v>53051502</v>
      </c>
      <c r="E641" t="s">
        <v>1309</v>
      </c>
      <c r="F641" s="26">
        <v>3264153.52</v>
      </c>
      <c r="G641" t="s">
        <v>1770</v>
      </c>
      <c r="H641" s="2">
        <v>46006</v>
      </c>
      <c r="I641" t="s">
        <v>1800</v>
      </c>
      <c r="J641" t="s">
        <v>1800</v>
      </c>
      <c r="K641" t="s">
        <v>172</v>
      </c>
      <c r="O641">
        <f>+MONTH(H641)</f>
        <v>12</v>
      </c>
      <c r="P641" t="str">
        <f>+VLOOKUP(O641,X:Y,2,0)</f>
        <v>Diciembre</v>
      </c>
    </row>
    <row r="642" spans="3:16" x14ac:dyDescent="0.35">
      <c r="C642" t="s">
        <v>14</v>
      </c>
      <c r="D642">
        <v>53051502</v>
      </c>
      <c r="E642" t="s">
        <v>1309</v>
      </c>
      <c r="F642" s="26">
        <v>3487400.52</v>
      </c>
      <c r="G642" t="s">
        <v>1767</v>
      </c>
      <c r="H642" s="2">
        <v>46002</v>
      </c>
      <c r="I642" t="s">
        <v>1797</v>
      </c>
      <c r="J642" t="s">
        <v>1797</v>
      </c>
      <c r="K642" t="s">
        <v>40</v>
      </c>
      <c r="O642">
        <f>+MONTH(H642)</f>
        <v>12</v>
      </c>
      <c r="P642" t="str">
        <f>+VLOOKUP(O642,X:Y,2,0)</f>
        <v>Diciembre</v>
      </c>
    </row>
    <row r="643" spans="3:16" x14ac:dyDescent="0.35">
      <c r="C643" t="s">
        <v>14</v>
      </c>
      <c r="D643">
        <v>53051501</v>
      </c>
      <c r="E643" t="s">
        <v>1308</v>
      </c>
      <c r="F643" s="26">
        <v>3558750.42</v>
      </c>
      <c r="G643" t="s">
        <v>1747</v>
      </c>
      <c r="H643" s="2">
        <v>46014</v>
      </c>
      <c r="I643" t="s">
        <v>1780</v>
      </c>
      <c r="J643" t="s">
        <v>1780</v>
      </c>
      <c r="K643" t="s">
        <v>44</v>
      </c>
      <c r="O643">
        <f>+MONTH(H643)</f>
        <v>12</v>
      </c>
      <c r="P643" t="str">
        <f>+VLOOKUP(O643,X:Y,2,0)</f>
        <v>Diciembre</v>
      </c>
    </row>
    <row r="644" spans="3:16" x14ac:dyDescent="0.35">
      <c r="C644" t="s">
        <v>14</v>
      </c>
      <c r="D644">
        <v>53051501</v>
      </c>
      <c r="E644" t="s">
        <v>1308</v>
      </c>
      <c r="F644" s="26">
        <v>3558750.42</v>
      </c>
      <c r="G644" t="s">
        <v>1838</v>
      </c>
      <c r="H644" s="2">
        <v>46014</v>
      </c>
      <c r="I644" t="s">
        <v>1844</v>
      </c>
      <c r="J644" t="s">
        <v>1844</v>
      </c>
      <c r="K644" t="s">
        <v>42</v>
      </c>
      <c r="O644">
        <f t="shared" ref="O644:O646" si="17">+MONTH(H644)</f>
        <v>12</v>
      </c>
      <c r="P644" t="str">
        <f>+VLOOKUP(O644,X:Y,2,0)</f>
        <v>Diciembre</v>
      </c>
    </row>
    <row r="645" spans="3:16" x14ac:dyDescent="0.35">
      <c r="C645" t="s">
        <v>14</v>
      </c>
      <c r="D645">
        <v>53051501</v>
      </c>
      <c r="E645" t="s">
        <v>1308</v>
      </c>
      <c r="F645" s="26">
        <v>3558750.42</v>
      </c>
      <c r="G645" t="s">
        <v>1839</v>
      </c>
      <c r="H645" s="2">
        <v>46014</v>
      </c>
      <c r="I645" t="s">
        <v>1845</v>
      </c>
      <c r="J645" t="s">
        <v>1845</v>
      </c>
      <c r="K645" t="s">
        <v>42</v>
      </c>
      <c r="O645">
        <f t="shared" si="17"/>
        <v>12</v>
      </c>
      <c r="P645" t="str">
        <f>+VLOOKUP(O645,X:Y,2,0)</f>
        <v>Diciembre</v>
      </c>
    </row>
    <row r="646" spans="3:16" x14ac:dyDescent="0.35">
      <c r="C646" t="s">
        <v>14</v>
      </c>
      <c r="D646">
        <v>53051501</v>
      </c>
      <c r="E646" t="s">
        <v>1308</v>
      </c>
      <c r="F646" s="26">
        <v>3558750.42</v>
      </c>
      <c r="G646" t="s">
        <v>1840</v>
      </c>
      <c r="H646" s="2">
        <v>46014</v>
      </c>
      <c r="I646" t="s">
        <v>1846</v>
      </c>
      <c r="J646" t="s">
        <v>1846</v>
      </c>
      <c r="K646" t="s">
        <v>42</v>
      </c>
      <c r="O646">
        <f t="shared" si="17"/>
        <v>12</v>
      </c>
      <c r="P646" t="str">
        <f>+VLOOKUP(O646,X:Y,2,0)</f>
        <v>Diciembre</v>
      </c>
    </row>
    <row r="647" spans="3:16" x14ac:dyDescent="0.35">
      <c r="C647" t="s">
        <v>14</v>
      </c>
      <c r="D647">
        <v>53051501</v>
      </c>
      <c r="E647" t="s">
        <v>1308</v>
      </c>
      <c r="F647" s="26">
        <v>3558750.42</v>
      </c>
      <c r="G647" t="s">
        <v>1841</v>
      </c>
      <c r="H647" s="2">
        <v>46014</v>
      </c>
      <c r="I647" t="s">
        <v>1847</v>
      </c>
      <c r="J647" t="s">
        <v>1847</v>
      </c>
      <c r="K647" t="s">
        <v>42</v>
      </c>
      <c r="O647">
        <f t="shared" ref="O647:O649" si="18">+MONTH(H647)</f>
        <v>12</v>
      </c>
      <c r="P647" t="str">
        <f>+VLOOKUP(O647,X:Y,2,0)</f>
        <v>Diciembre</v>
      </c>
    </row>
    <row r="648" spans="3:16" x14ac:dyDescent="0.35">
      <c r="C648" t="s">
        <v>14</v>
      </c>
      <c r="D648">
        <v>53051501</v>
      </c>
      <c r="E648" t="s">
        <v>1308</v>
      </c>
      <c r="F648" s="26">
        <v>3558750.42</v>
      </c>
      <c r="G648" t="s">
        <v>1842</v>
      </c>
      <c r="H648" s="2">
        <v>46014</v>
      </c>
      <c r="I648" t="s">
        <v>1848</v>
      </c>
      <c r="J648" t="s">
        <v>1848</v>
      </c>
      <c r="K648" t="s">
        <v>42</v>
      </c>
      <c r="O648">
        <f t="shared" si="18"/>
        <v>12</v>
      </c>
      <c r="P648" t="str">
        <f>+VLOOKUP(O648,X:Y,2,0)</f>
        <v>Diciembre</v>
      </c>
    </row>
    <row r="649" spans="3:16" x14ac:dyDescent="0.35">
      <c r="C649" t="s">
        <v>14</v>
      </c>
      <c r="D649">
        <v>53051501</v>
      </c>
      <c r="E649" t="s">
        <v>1308</v>
      </c>
      <c r="F649" s="26">
        <v>3558750.42</v>
      </c>
      <c r="G649" t="s">
        <v>1843</v>
      </c>
      <c r="H649" s="2">
        <v>46014</v>
      </c>
      <c r="I649" t="s">
        <v>1849</v>
      </c>
      <c r="J649" t="s">
        <v>1849</v>
      </c>
      <c r="K649" t="s">
        <v>42</v>
      </c>
      <c r="O649">
        <f t="shared" si="18"/>
        <v>12</v>
      </c>
      <c r="P649" t="str">
        <f>+VLOOKUP(O649,X:Y,2,0)</f>
        <v>Diciembre</v>
      </c>
    </row>
    <row r="650" spans="3:16" x14ac:dyDescent="0.35">
      <c r="C650" t="s">
        <v>14</v>
      </c>
      <c r="D650">
        <v>53051501</v>
      </c>
      <c r="E650" t="s">
        <v>1308</v>
      </c>
      <c r="F650" s="26">
        <v>4982250</v>
      </c>
      <c r="G650" t="s">
        <v>1743</v>
      </c>
      <c r="H650" s="2">
        <v>46009</v>
      </c>
      <c r="I650" t="s">
        <v>1777</v>
      </c>
      <c r="J650" t="s">
        <v>1777</v>
      </c>
      <c r="K650" t="s">
        <v>1805</v>
      </c>
      <c r="O650">
        <f>+MONTH(H650)</f>
        <v>12</v>
      </c>
      <c r="P650" t="str">
        <f>+VLOOKUP(O650,X:Y,2,0)</f>
        <v>Diciembre</v>
      </c>
    </row>
    <row r="651" spans="3:16" x14ac:dyDescent="0.35">
      <c r="C651" t="s">
        <v>14</v>
      </c>
      <c r="D651">
        <v>53051501</v>
      </c>
      <c r="E651" t="s">
        <v>1308</v>
      </c>
      <c r="F651" s="26">
        <v>4982250</v>
      </c>
      <c r="G651" t="s">
        <v>1744</v>
      </c>
      <c r="H651" s="2">
        <v>46009</v>
      </c>
      <c r="I651" t="s">
        <v>1778</v>
      </c>
      <c r="J651" t="s">
        <v>1778</v>
      </c>
      <c r="K651" t="s">
        <v>1806</v>
      </c>
      <c r="O651">
        <f>+MONTH(H651)</f>
        <v>12</v>
      </c>
      <c r="P651" t="str">
        <f>+VLOOKUP(O651,X:Y,2,0)</f>
        <v>Diciembre</v>
      </c>
    </row>
    <row r="652" spans="3:16" x14ac:dyDescent="0.35">
      <c r="C652" t="s">
        <v>14</v>
      </c>
      <c r="D652">
        <v>53051501</v>
      </c>
      <c r="E652" t="s">
        <v>1308</v>
      </c>
      <c r="F652" s="26">
        <v>4982250</v>
      </c>
      <c r="G652" t="s">
        <v>1745</v>
      </c>
      <c r="H652" s="2">
        <v>46009</v>
      </c>
      <c r="I652" t="s">
        <v>1778</v>
      </c>
      <c r="J652" t="s">
        <v>1778</v>
      </c>
      <c r="K652" t="s">
        <v>1806</v>
      </c>
      <c r="O652">
        <f>+MONTH(H652)</f>
        <v>12</v>
      </c>
      <c r="P652" t="str">
        <f>+VLOOKUP(O652,X:Y,2,0)</f>
        <v>Diciembre</v>
      </c>
    </row>
    <row r="653" spans="3:16" x14ac:dyDescent="0.35">
      <c r="C653" t="s">
        <v>14</v>
      </c>
      <c r="D653">
        <v>53051501</v>
      </c>
      <c r="E653" t="s">
        <v>1308</v>
      </c>
      <c r="F653" s="26">
        <v>4982250</v>
      </c>
      <c r="G653" t="s">
        <v>1746</v>
      </c>
      <c r="H653" s="2">
        <v>46009</v>
      </c>
      <c r="I653" t="s">
        <v>1779</v>
      </c>
      <c r="J653" t="s">
        <v>1779</v>
      </c>
      <c r="K653" t="s">
        <v>1806</v>
      </c>
      <c r="O653">
        <f>+MONTH(H653)</f>
        <v>12</v>
      </c>
      <c r="P653" t="str">
        <f>+VLOOKUP(O653,X:Y,2,0)</f>
        <v>Diciembre</v>
      </c>
    </row>
    <row r="654" spans="3:16" x14ac:dyDescent="0.35">
      <c r="C654" t="s">
        <v>14</v>
      </c>
      <c r="D654">
        <v>53051502</v>
      </c>
      <c r="E654" t="s">
        <v>1309</v>
      </c>
      <c r="F654" s="26">
        <v>4999290</v>
      </c>
      <c r="G654" t="s">
        <v>1768</v>
      </c>
      <c r="H654" s="2">
        <v>46003</v>
      </c>
      <c r="I654" t="s">
        <v>1798</v>
      </c>
      <c r="J654" t="s">
        <v>1798</v>
      </c>
      <c r="K654" t="s">
        <v>1512</v>
      </c>
      <c r="O654">
        <f>+MONTH(H654)</f>
        <v>12</v>
      </c>
      <c r="P654" t="str">
        <f>+VLOOKUP(O654,X:Y,2,0)</f>
        <v>Diciembre</v>
      </c>
    </row>
    <row r="655" spans="3:16" x14ac:dyDescent="0.35">
      <c r="C655" t="s">
        <v>14</v>
      </c>
      <c r="D655">
        <v>53051502</v>
      </c>
      <c r="E655" t="s">
        <v>1309</v>
      </c>
      <c r="F655" s="26">
        <v>5350869.2300000004</v>
      </c>
      <c r="G655" t="s">
        <v>1772</v>
      </c>
      <c r="H655" s="2">
        <v>46007</v>
      </c>
      <c r="I655" t="s">
        <v>1802</v>
      </c>
      <c r="J655" t="s">
        <v>1802</v>
      </c>
      <c r="K655" t="s">
        <v>172</v>
      </c>
      <c r="O655">
        <f>+MONTH(H655)</f>
        <v>12</v>
      </c>
      <c r="P655" t="str">
        <f>+VLOOKUP(O655,X:Y,2,0)</f>
        <v>Diciembre</v>
      </c>
    </row>
    <row r="656" spans="3:16" x14ac:dyDescent="0.35">
      <c r="C656" t="s">
        <v>14</v>
      </c>
      <c r="D656">
        <v>53051502</v>
      </c>
      <c r="E656" t="s">
        <v>1309</v>
      </c>
      <c r="F656" s="26">
        <v>13145621.640000001</v>
      </c>
      <c r="G656" t="s">
        <v>1774</v>
      </c>
      <c r="H656" s="2">
        <v>46014</v>
      </c>
      <c r="I656" t="s">
        <v>1804</v>
      </c>
      <c r="J656" t="s">
        <v>1804</v>
      </c>
      <c r="K656" t="s">
        <v>40</v>
      </c>
      <c r="O656">
        <f>+MONTH(H656)</f>
        <v>12</v>
      </c>
      <c r="P656" t="str">
        <f>+VLOOKUP(O656,X:Y,2,0)</f>
        <v>Diciembre</v>
      </c>
    </row>
    <row r="657" spans="3:16" x14ac:dyDescent="0.35">
      <c r="C657" t="s">
        <v>14</v>
      </c>
      <c r="D657">
        <v>53051501</v>
      </c>
      <c r="E657" s="34" t="s">
        <v>1427</v>
      </c>
      <c r="F657" s="26">
        <v>21256229</v>
      </c>
      <c r="G657" t="s">
        <v>1764</v>
      </c>
      <c r="H657" s="2">
        <v>46022</v>
      </c>
      <c r="I657" t="s">
        <v>1794</v>
      </c>
      <c r="J657" t="s">
        <v>1794</v>
      </c>
      <c r="K657" t="s">
        <v>203</v>
      </c>
      <c r="O657">
        <f>+MONTH(H657)</f>
        <v>12</v>
      </c>
      <c r="P657" t="str">
        <f>+VLOOKUP(O657,X:Y,2,0)</f>
        <v>Diciembre</v>
      </c>
    </row>
  </sheetData>
  <autoFilter ref="A1:Q569" xr:uid="{8A512C48-C74F-4078-A5D3-9333B78491E9}"/>
  <sortState xmlns:xlrd2="http://schemas.microsoft.com/office/spreadsheetml/2017/richdata2" ref="A614:Y657">
    <sortCondition ref="F614:F657"/>
  </sortState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51EDE-7B86-461A-B611-E2BFDE1A2C14}">
  <dimension ref="A1:X286"/>
  <sheetViews>
    <sheetView topLeftCell="C1" workbookViewId="0">
      <pane ySplit="1" topLeftCell="A259" activePane="bottomLeft" state="frozen"/>
      <selection pane="bottomLeft" activeCell="Q248" sqref="Q248:Q284"/>
    </sheetView>
  </sheetViews>
  <sheetFormatPr baseColWidth="10" defaultRowHeight="14.5" x14ac:dyDescent="0.35"/>
  <cols>
    <col min="4" max="6" width="15.1796875" bestFit="1" customWidth="1"/>
    <col min="23" max="24" width="11.453125" style="10"/>
  </cols>
  <sheetData>
    <row r="1" spans="1:24" s="19" customFormat="1" x14ac:dyDescent="0.35">
      <c r="A1" s="19" t="s">
        <v>2</v>
      </c>
      <c r="B1" s="19" t="s">
        <v>3</v>
      </c>
      <c r="C1" s="19" t="s">
        <v>4</v>
      </c>
      <c r="D1" s="19" t="s">
        <v>1063</v>
      </c>
      <c r="E1" s="19" t="s">
        <v>1064</v>
      </c>
      <c r="F1" s="19" t="s">
        <v>5</v>
      </c>
      <c r="G1" s="19" t="s">
        <v>0</v>
      </c>
      <c r="H1" s="19" t="s">
        <v>1</v>
      </c>
      <c r="I1" s="19" t="s">
        <v>11</v>
      </c>
      <c r="J1" s="19" t="s">
        <v>7</v>
      </c>
      <c r="K1" s="19" t="s">
        <v>6</v>
      </c>
      <c r="L1" s="19" t="s">
        <v>8</v>
      </c>
      <c r="M1" s="19" t="s">
        <v>9</v>
      </c>
      <c r="N1" s="19" t="s">
        <v>1065</v>
      </c>
      <c r="O1" s="19" t="s">
        <v>1066</v>
      </c>
      <c r="P1" s="19" t="s">
        <v>1067</v>
      </c>
      <c r="Q1" s="19" t="s">
        <v>10</v>
      </c>
      <c r="R1" s="19" t="s">
        <v>1068</v>
      </c>
      <c r="S1" s="19" t="s">
        <v>1069</v>
      </c>
      <c r="T1" s="19" t="s">
        <v>1070</v>
      </c>
      <c r="U1" s="19" t="s">
        <v>13</v>
      </c>
      <c r="V1" s="19" t="s">
        <v>12</v>
      </c>
      <c r="W1" s="24" t="s">
        <v>224</v>
      </c>
      <c r="X1" s="24" t="s">
        <v>238</v>
      </c>
    </row>
    <row r="2" spans="1:24" x14ac:dyDescent="0.35">
      <c r="A2" t="s">
        <v>14</v>
      </c>
      <c r="B2">
        <v>53051501</v>
      </c>
      <c r="C2" t="s">
        <v>15</v>
      </c>
      <c r="D2" s="1">
        <v>2190</v>
      </c>
      <c r="E2" s="1">
        <v>0</v>
      </c>
      <c r="F2" s="1">
        <v>2190</v>
      </c>
      <c r="J2" s="2">
        <v>45664</v>
      </c>
      <c r="K2" t="s">
        <v>76</v>
      </c>
      <c r="L2" t="s">
        <v>77</v>
      </c>
      <c r="M2" t="s">
        <v>77</v>
      </c>
      <c r="N2">
        <v>899999047</v>
      </c>
      <c r="O2" t="s">
        <v>78</v>
      </c>
      <c r="P2">
        <v>899999047</v>
      </c>
      <c r="Q2" t="s">
        <v>78</v>
      </c>
      <c r="V2" t="s">
        <v>59</v>
      </c>
      <c r="W2" s="10">
        <f>+MONTH(J2)</f>
        <v>1</v>
      </c>
      <c r="X2" s="10" t="str">
        <f>+ VLOOKUP(W2,'COMISIONES ENERO-MARZO 2025 (2)'!X:Y,2,0)</f>
        <v>Enero</v>
      </c>
    </row>
    <row r="3" spans="1:24" x14ac:dyDescent="0.35">
      <c r="A3" t="s">
        <v>14</v>
      </c>
      <c r="B3">
        <v>53051501</v>
      </c>
      <c r="C3" t="s">
        <v>15</v>
      </c>
      <c r="D3" s="1">
        <v>3529</v>
      </c>
      <c r="E3" s="1">
        <v>0</v>
      </c>
      <c r="F3" s="1">
        <v>3529</v>
      </c>
      <c r="J3" s="2">
        <v>45665</v>
      </c>
      <c r="K3" t="s">
        <v>188</v>
      </c>
      <c r="L3" t="s">
        <v>153</v>
      </c>
      <c r="M3" t="s">
        <v>153</v>
      </c>
      <c r="N3">
        <v>16502466</v>
      </c>
      <c r="O3" t="s">
        <v>1056</v>
      </c>
      <c r="P3">
        <v>890903938</v>
      </c>
      <c r="Q3" t="s">
        <v>29</v>
      </c>
      <c r="V3" t="s">
        <v>59</v>
      </c>
      <c r="W3" s="10">
        <f t="shared" ref="W3:W66" si="0">+MONTH(J3)</f>
        <v>1</v>
      </c>
      <c r="X3" s="10" t="str">
        <f>+ VLOOKUP(W3,'COMISIONES ENERO-MARZO 2025 (2)'!X:Y,2,0)</f>
        <v>Enero</v>
      </c>
    </row>
    <row r="4" spans="1:24" x14ac:dyDescent="0.35">
      <c r="A4" t="s">
        <v>14</v>
      </c>
      <c r="B4">
        <v>53051501</v>
      </c>
      <c r="C4" t="s">
        <v>15</v>
      </c>
      <c r="D4" s="1">
        <v>7058</v>
      </c>
      <c r="E4" s="1">
        <v>0</v>
      </c>
      <c r="F4" s="1">
        <v>7058</v>
      </c>
      <c r="J4" s="2">
        <v>45665</v>
      </c>
      <c r="K4" t="s">
        <v>189</v>
      </c>
      <c r="L4" t="s">
        <v>153</v>
      </c>
      <c r="M4" t="s">
        <v>153</v>
      </c>
      <c r="N4">
        <v>29760690</v>
      </c>
      <c r="O4" t="s">
        <v>1061</v>
      </c>
      <c r="P4">
        <v>890903938</v>
      </c>
      <c r="Q4" t="s">
        <v>29</v>
      </c>
      <c r="V4" t="s">
        <v>59</v>
      </c>
      <c r="W4" s="10">
        <f t="shared" si="0"/>
        <v>1</v>
      </c>
      <c r="X4" s="10" t="str">
        <f>+ VLOOKUP(W4,'COMISIONES ENERO-MARZO 2025 (2)'!X:Y,2,0)</f>
        <v>Enero</v>
      </c>
    </row>
    <row r="5" spans="1:24" x14ac:dyDescent="0.35">
      <c r="A5" t="s">
        <v>14</v>
      </c>
      <c r="B5">
        <v>53051501</v>
      </c>
      <c r="C5" t="s">
        <v>15</v>
      </c>
      <c r="D5" s="1">
        <v>3529</v>
      </c>
      <c r="E5" s="1">
        <v>0</v>
      </c>
      <c r="F5" s="1">
        <v>3529</v>
      </c>
      <c r="J5" s="2">
        <v>45671</v>
      </c>
      <c r="K5" t="s">
        <v>190</v>
      </c>
      <c r="L5" t="s">
        <v>151</v>
      </c>
      <c r="M5" t="s">
        <v>151</v>
      </c>
      <c r="N5">
        <v>16502466</v>
      </c>
      <c r="O5" t="s">
        <v>1056</v>
      </c>
      <c r="P5">
        <v>890903938</v>
      </c>
      <c r="Q5" t="s">
        <v>29</v>
      </c>
      <c r="V5" t="s">
        <v>59</v>
      </c>
      <c r="W5" s="10">
        <f t="shared" si="0"/>
        <v>1</v>
      </c>
      <c r="X5" s="10" t="str">
        <f>+ VLOOKUP(W5,'COMISIONES ENERO-MARZO 2025 (2)'!X:Y,2,0)</f>
        <v>Enero</v>
      </c>
    </row>
    <row r="6" spans="1:24" x14ac:dyDescent="0.35">
      <c r="A6" t="s">
        <v>14</v>
      </c>
      <c r="B6">
        <v>53051501</v>
      </c>
      <c r="C6" t="s">
        <v>15</v>
      </c>
      <c r="D6" s="1">
        <v>2650</v>
      </c>
      <c r="E6" s="1">
        <v>0</v>
      </c>
      <c r="F6" s="1">
        <v>2650</v>
      </c>
      <c r="J6" s="2">
        <v>45674</v>
      </c>
      <c r="K6" t="s">
        <v>92</v>
      </c>
      <c r="L6" t="s">
        <v>93</v>
      </c>
      <c r="M6" t="s">
        <v>93</v>
      </c>
      <c r="N6">
        <v>860007738</v>
      </c>
      <c r="O6" t="s">
        <v>25</v>
      </c>
      <c r="P6">
        <v>860007738</v>
      </c>
      <c r="Q6" t="s">
        <v>25</v>
      </c>
      <c r="V6" t="s">
        <v>59</v>
      </c>
      <c r="W6" s="10">
        <f t="shared" si="0"/>
        <v>1</v>
      </c>
      <c r="X6" s="10" t="str">
        <f>+ VLOOKUP(W6,'COMISIONES ENERO-MARZO 2025 (2)'!X:Y,2,0)</f>
        <v>Enero</v>
      </c>
    </row>
    <row r="7" spans="1:24" x14ac:dyDescent="0.35">
      <c r="A7" t="s">
        <v>14</v>
      </c>
      <c r="B7">
        <v>53051501</v>
      </c>
      <c r="C7" t="s">
        <v>15</v>
      </c>
      <c r="D7" s="1">
        <v>3529</v>
      </c>
      <c r="E7" s="1">
        <v>0</v>
      </c>
      <c r="F7" s="1">
        <v>3529</v>
      </c>
      <c r="J7" s="2">
        <v>45678</v>
      </c>
      <c r="K7" t="s">
        <v>191</v>
      </c>
      <c r="L7" t="s">
        <v>192</v>
      </c>
      <c r="M7" t="s">
        <v>192</v>
      </c>
      <c r="N7">
        <v>16502466</v>
      </c>
      <c r="O7" t="s">
        <v>1056</v>
      </c>
      <c r="P7">
        <v>890903938</v>
      </c>
      <c r="Q7" t="s">
        <v>29</v>
      </c>
      <c r="V7" t="s">
        <v>59</v>
      </c>
      <c r="W7" s="10">
        <f t="shared" si="0"/>
        <v>1</v>
      </c>
      <c r="X7" s="10" t="str">
        <f>+ VLOOKUP(W7,'COMISIONES ENERO-MARZO 2025 (2)'!X:Y,2,0)</f>
        <v>Enero</v>
      </c>
    </row>
    <row r="8" spans="1:24" x14ac:dyDescent="0.35">
      <c r="A8" t="s">
        <v>14</v>
      </c>
      <c r="B8">
        <v>53051501</v>
      </c>
      <c r="C8" t="s">
        <v>15</v>
      </c>
      <c r="D8" s="1">
        <v>3529</v>
      </c>
      <c r="E8" s="1">
        <v>0</v>
      </c>
      <c r="F8" s="1">
        <v>3529</v>
      </c>
      <c r="J8" s="2">
        <v>45679</v>
      </c>
      <c r="K8" t="s">
        <v>193</v>
      </c>
      <c r="L8" t="s">
        <v>194</v>
      </c>
      <c r="M8" t="s">
        <v>194</v>
      </c>
      <c r="N8">
        <v>1112300106</v>
      </c>
      <c r="O8" t="s">
        <v>1071</v>
      </c>
      <c r="P8">
        <v>890903938</v>
      </c>
      <c r="Q8" t="s">
        <v>29</v>
      </c>
      <c r="V8" t="s">
        <v>59</v>
      </c>
      <c r="W8" s="10">
        <f t="shared" si="0"/>
        <v>1</v>
      </c>
      <c r="X8" s="10" t="str">
        <f>+ VLOOKUP(W8,'COMISIONES ENERO-MARZO 2025 (2)'!X:Y,2,0)</f>
        <v>Enero</v>
      </c>
    </row>
    <row r="9" spans="1:24" x14ac:dyDescent="0.35">
      <c r="A9" t="s">
        <v>14</v>
      </c>
      <c r="B9">
        <v>53051501</v>
      </c>
      <c r="C9" t="s">
        <v>15</v>
      </c>
      <c r="D9" s="1">
        <v>3529</v>
      </c>
      <c r="E9" s="1">
        <v>0</v>
      </c>
      <c r="F9" s="1">
        <v>3529</v>
      </c>
      <c r="J9" s="2">
        <v>45684</v>
      </c>
      <c r="K9" t="s">
        <v>195</v>
      </c>
      <c r="L9" t="s">
        <v>151</v>
      </c>
      <c r="M9" t="s">
        <v>151</v>
      </c>
      <c r="N9">
        <v>1144185697</v>
      </c>
      <c r="O9" t="s">
        <v>1057</v>
      </c>
      <c r="P9">
        <v>890903938</v>
      </c>
      <c r="Q9" t="s">
        <v>29</v>
      </c>
      <c r="V9" t="s">
        <v>59</v>
      </c>
      <c r="W9" s="10">
        <f t="shared" si="0"/>
        <v>1</v>
      </c>
      <c r="X9" s="10" t="str">
        <f>+ VLOOKUP(W9,'COMISIONES ENERO-MARZO 2025 (2)'!X:Y,2,0)</f>
        <v>Enero</v>
      </c>
    </row>
    <row r="10" spans="1:24" x14ac:dyDescent="0.35">
      <c r="A10" t="s">
        <v>14</v>
      </c>
      <c r="B10">
        <v>53051501</v>
      </c>
      <c r="C10" t="s">
        <v>15</v>
      </c>
      <c r="D10" s="1">
        <v>38140</v>
      </c>
      <c r="E10" s="1">
        <v>0</v>
      </c>
      <c r="F10" s="1">
        <v>38140</v>
      </c>
      <c r="J10" s="2">
        <v>45686</v>
      </c>
      <c r="K10" t="s">
        <v>16</v>
      </c>
      <c r="L10" t="s">
        <v>17</v>
      </c>
      <c r="M10" t="s">
        <v>18</v>
      </c>
      <c r="N10">
        <v>860002964</v>
      </c>
      <c r="O10" t="s">
        <v>19</v>
      </c>
      <c r="P10">
        <v>860002964</v>
      </c>
      <c r="Q10" t="s">
        <v>19</v>
      </c>
      <c r="V10" t="s">
        <v>20</v>
      </c>
      <c r="W10" s="10">
        <f t="shared" si="0"/>
        <v>1</v>
      </c>
      <c r="X10" s="10" t="str">
        <f>+ VLOOKUP(W10,'COMISIONES ENERO-MARZO 2025 (2)'!X:Y,2,0)</f>
        <v>Enero</v>
      </c>
    </row>
    <row r="11" spans="1:24" x14ac:dyDescent="0.35">
      <c r="A11" t="s">
        <v>14</v>
      </c>
      <c r="B11">
        <v>53051501</v>
      </c>
      <c r="C11" t="s">
        <v>15</v>
      </c>
      <c r="D11" s="1">
        <v>78520</v>
      </c>
      <c r="E11" s="1">
        <v>0</v>
      </c>
      <c r="F11" s="1">
        <v>78520</v>
      </c>
      <c r="J11" s="2">
        <v>45686</v>
      </c>
      <c r="K11" t="s">
        <v>16</v>
      </c>
      <c r="L11" t="s">
        <v>21</v>
      </c>
      <c r="M11" t="s">
        <v>18</v>
      </c>
      <c r="N11">
        <v>860002964</v>
      </c>
      <c r="O11" t="s">
        <v>19</v>
      </c>
      <c r="P11">
        <v>860002964</v>
      </c>
      <c r="Q11" t="s">
        <v>19</v>
      </c>
      <c r="V11" t="s">
        <v>20</v>
      </c>
      <c r="W11" s="10">
        <f t="shared" si="0"/>
        <v>1</v>
      </c>
      <c r="X11" s="10" t="str">
        <f>+ VLOOKUP(W11,'COMISIONES ENERO-MARZO 2025 (2)'!X:Y,2,0)</f>
        <v>Enero</v>
      </c>
    </row>
    <row r="12" spans="1:24" x14ac:dyDescent="0.35">
      <c r="A12" t="s">
        <v>14</v>
      </c>
      <c r="B12">
        <v>53051501</v>
      </c>
      <c r="C12" t="s">
        <v>15</v>
      </c>
      <c r="D12" s="1">
        <v>2500</v>
      </c>
      <c r="E12" s="1">
        <v>0</v>
      </c>
      <c r="F12" s="1">
        <v>2500</v>
      </c>
      <c r="J12" s="2">
        <v>45686</v>
      </c>
      <c r="K12" t="s">
        <v>22</v>
      </c>
      <c r="L12" t="s">
        <v>23</v>
      </c>
      <c r="M12" t="s">
        <v>24</v>
      </c>
      <c r="N12">
        <v>860007738</v>
      </c>
      <c r="O12" t="s">
        <v>25</v>
      </c>
      <c r="P12">
        <v>860007738</v>
      </c>
      <c r="Q12" t="s">
        <v>25</v>
      </c>
      <c r="V12" t="s">
        <v>20</v>
      </c>
      <c r="W12" s="10">
        <f t="shared" si="0"/>
        <v>1</v>
      </c>
      <c r="X12" s="10" t="str">
        <f>+ VLOOKUP(W12,'COMISIONES ENERO-MARZO 2025 (2)'!X:Y,2,0)</f>
        <v>Enero</v>
      </c>
    </row>
    <row r="13" spans="1:24" x14ac:dyDescent="0.35">
      <c r="A13" t="s">
        <v>14</v>
      </c>
      <c r="B13">
        <v>53051501</v>
      </c>
      <c r="C13" t="s">
        <v>15</v>
      </c>
      <c r="D13" s="1">
        <v>125906.09</v>
      </c>
      <c r="E13" s="1">
        <v>0</v>
      </c>
      <c r="F13" s="1">
        <v>125906.09</v>
      </c>
      <c r="J13" s="2">
        <v>45686</v>
      </c>
      <c r="K13" t="s">
        <v>26</v>
      </c>
      <c r="L13" t="s">
        <v>27</v>
      </c>
      <c r="M13" t="s">
        <v>28</v>
      </c>
      <c r="N13">
        <v>890903938</v>
      </c>
      <c r="O13" t="s">
        <v>29</v>
      </c>
      <c r="P13">
        <v>890903938</v>
      </c>
      <c r="Q13" t="s">
        <v>29</v>
      </c>
      <c r="V13" t="s">
        <v>20</v>
      </c>
      <c r="W13" s="10">
        <f t="shared" si="0"/>
        <v>1</v>
      </c>
      <c r="X13" s="10" t="str">
        <f>+ VLOOKUP(W13,'COMISIONES ENERO-MARZO 2025 (2)'!X:Y,2,0)</f>
        <v>Enero</v>
      </c>
    </row>
    <row r="14" spans="1:24" x14ac:dyDescent="0.35">
      <c r="A14" t="s">
        <v>14</v>
      </c>
      <c r="B14">
        <v>53051501</v>
      </c>
      <c r="C14" t="s">
        <v>15</v>
      </c>
      <c r="D14" s="1">
        <v>16560</v>
      </c>
      <c r="E14" s="1">
        <v>0</v>
      </c>
      <c r="F14" s="1">
        <v>16560</v>
      </c>
      <c r="J14" s="2">
        <v>45686</v>
      </c>
      <c r="K14" t="s">
        <v>26</v>
      </c>
      <c r="L14" t="s">
        <v>30</v>
      </c>
      <c r="M14" t="s">
        <v>28</v>
      </c>
      <c r="N14">
        <v>890903938</v>
      </c>
      <c r="O14" t="s">
        <v>29</v>
      </c>
      <c r="P14">
        <v>890903938</v>
      </c>
      <c r="Q14" t="s">
        <v>29</v>
      </c>
      <c r="V14" t="s">
        <v>20</v>
      </c>
      <c r="W14" s="10">
        <f t="shared" si="0"/>
        <v>1</v>
      </c>
      <c r="X14" s="10" t="str">
        <f>+ VLOOKUP(W14,'COMISIONES ENERO-MARZO 2025 (2)'!X:Y,2,0)</f>
        <v>Enero</v>
      </c>
    </row>
    <row r="15" spans="1:24" x14ac:dyDescent="0.35">
      <c r="A15" t="s">
        <v>14</v>
      </c>
      <c r="B15">
        <v>53051501</v>
      </c>
      <c r="C15" t="s">
        <v>15</v>
      </c>
      <c r="D15" s="1">
        <v>0</v>
      </c>
      <c r="E15" s="1">
        <v>125906.09</v>
      </c>
      <c r="F15" s="1">
        <v>-125906.09</v>
      </c>
      <c r="J15" s="2">
        <v>45686</v>
      </c>
      <c r="K15" t="s">
        <v>148</v>
      </c>
      <c r="L15" t="s">
        <v>27</v>
      </c>
      <c r="M15" t="s">
        <v>149</v>
      </c>
      <c r="N15">
        <v>891900196</v>
      </c>
      <c r="O15" t="s">
        <v>676</v>
      </c>
      <c r="P15">
        <v>890903938</v>
      </c>
      <c r="Q15" t="s">
        <v>29</v>
      </c>
      <c r="V15" t="s">
        <v>59</v>
      </c>
      <c r="W15" s="10">
        <f t="shared" si="0"/>
        <v>1</v>
      </c>
      <c r="X15" s="10" t="str">
        <f>+ VLOOKUP(W15,'COMISIONES ENERO-MARZO 2025 (2)'!X:Y,2,0)</f>
        <v>Enero</v>
      </c>
    </row>
    <row r="16" spans="1:24" x14ac:dyDescent="0.35">
      <c r="A16" t="s">
        <v>14</v>
      </c>
      <c r="B16">
        <v>53051501</v>
      </c>
      <c r="C16" t="s">
        <v>15</v>
      </c>
      <c r="D16" s="1">
        <v>0</v>
      </c>
      <c r="E16" s="1">
        <v>16560</v>
      </c>
      <c r="F16" s="1">
        <v>-16560</v>
      </c>
      <c r="J16" s="2">
        <v>45686</v>
      </c>
      <c r="K16" t="s">
        <v>148</v>
      </c>
      <c r="L16" t="s">
        <v>30</v>
      </c>
      <c r="M16" t="s">
        <v>149</v>
      </c>
      <c r="N16">
        <v>891900196</v>
      </c>
      <c r="O16" t="s">
        <v>676</v>
      </c>
      <c r="P16">
        <v>890903938</v>
      </c>
      <c r="Q16" t="s">
        <v>29</v>
      </c>
      <c r="V16" t="s">
        <v>59</v>
      </c>
      <c r="W16" s="10">
        <f t="shared" si="0"/>
        <v>1</v>
      </c>
      <c r="X16" s="10" t="str">
        <f>+ VLOOKUP(W16,'COMISIONES ENERO-MARZO 2025 (2)'!X:Y,2,0)</f>
        <v>Enero</v>
      </c>
    </row>
    <row r="17" spans="1:24" x14ac:dyDescent="0.35">
      <c r="A17" t="s">
        <v>14</v>
      </c>
      <c r="B17">
        <v>53051501</v>
      </c>
      <c r="C17" t="s">
        <v>15</v>
      </c>
      <c r="D17" s="1">
        <v>0</v>
      </c>
      <c r="E17" s="1">
        <v>38140</v>
      </c>
      <c r="F17" s="1">
        <v>-38140</v>
      </c>
      <c r="J17" s="2">
        <v>45686</v>
      </c>
      <c r="K17" t="s">
        <v>148</v>
      </c>
      <c r="L17" t="s">
        <v>17</v>
      </c>
      <c r="M17" t="s">
        <v>149</v>
      </c>
      <c r="N17">
        <v>891900196</v>
      </c>
      <c r="O17" t="s">
        <v>676</v>
      </c>
      <c r="P17">
        <v>860002964</v>
      </c>
      <c r="Q17" t="s">
        <v>19</v>
      </c>
      <c r="V17" t="s">
        <v>59</v>
      </c>
      <c r="W17" s="10">
        <f t="shared" si="0"/>
        <v>1</v>
      </c>
      <c r="X17" s="10" t="str">
        <f>+ VLOOKUP(W17,'COMISIONES ENERO-MARZO 2025 (2)'!X:Y,2,0)</f>
        <v>Enero</v>
      </c>
    </row>
    <row r="18" spans="1:24" x14ac:dyDescent="0.35">
      <c r="A18" t="s">
        <v>14</v>
      </c>
      <c r="B18">
        <v>53051501</v>
      </c>
      <c r="C18" t="s">
        <v>15</v>
      </c>
      <c r="D18" s="1">
        <v>0</v>
      </c>
      <c r="E18" s="1">
        <v>78520</v>
      </c>
      <c r="F18" s="1">
        <v>-78520</v>
      </c>
      <c r="J18" s="2">
        <v>45686</v>
      </c>
      <c r="K18" t="s">
        <v>148</v>
      </c>
      <c r="L18" t="s">
        <v>21</v>
      </c>
      <c r="M18" t="s">
        <v>149</v>
      </c>
      <c r="N18">
        <v>891900196</v>
      </c>
      <c r="O18" t="s">
        <v>676</v>
      </c>
      <c r="P18">
        <v>860002964</v>
      </c>
      <c r="Q18" t="s">
        <v>19</v>
      </c>
      <c r="V18" t="s">
        <v>59</v>
      </c>
      <c r="W18" s="10">
        <f t="shared" si="0"/>
        <v>1</v>
      </c>
      <c r="X18" s="10" t="str">
        <f>+ VLOOKUP(W18,'COMISIONES ENERO-MARZO 2025 (2)'!X:Y,2,0)</f>
        <v>Enero</v>
      </c>
    </row>
    <row r="19" spans="1:24" x14ac:dyDescent="0.35">
      <c r="A19" t="s">
        <v>14</v>
      </c>
      <c r="B19">
        <v>53051501</v>
      </c>
      <c r="C19" t="s">
        <v>15</v>
      </c>
      <c r="D19" s="1">
        <v>0</v>
      </c>
      <c r="E19" s="1">
        <v>2500</v>
      </c>
      <c r="F19" s="1">
        <v>-2500</v>
      </c>
      <c r="J19" s="2">
        <v>45686</v>
      </c>
      <c r="K19" t="s">
        <v>148</v>
      </c>
      <c r="L19" t="s">
        <v>23</v>
      </c>
      <c r="M19" t="s">
        <v>149</v>
      </c>
      <c r="N19">
        <v>891900196</v>
      </c>
      <c r="O19" t="s">
        <v>676</v>
      </c>
      <c r="P19">
        <v>860007738</v>
      </c>
      <c r="Q19" t="s">
        <v>25</v>
      </c>
      <c r="V19" t="s">
        <v>59</v>
      </c>
      <c r="W19" s="10">
        <f t="shared" si="0"/>
        <v>1</v>
      </c>
      <c r="X19" s="10" t="str">
        <f>+ VLOOKUP(W19,'COMISIONES ENERO-MARZO 2025 (2)'!X:Y,2,0)</f>
        <v>Enero</v>
      </c>
    </row>
    <row r="20" spans="1:24" x14ac:dyDescent="0.35">
      <c r="A20" t="s">
        <v>14</v>
      </c>
      <c r="B20">
        <v>53051501</v>
      </c>
      <c r="C20" t="s">
        <v>15</v>
      </c>
      <c r="D20" s="1">
        <v>3529</v>
      </c>
      <c r="E20" s="1">
        <v>0</v>
      </c>
      <c r="F20" s="1">
        <v>3529</v>
      </c>
      <c r="J20" s="2">
        <v>45686</v>
      </c>
      <c r="K20" t="s">
        <v>196</v>
      </c>
      <c r="L20" t="s">
        <v>197</v>
      </c>
      <c r="M20" t="s">
        <v>197</v>
      </c>
      <c r="N20">
        <v>16502466</v>
      </c>
      <c r="O20" t="s">
        <v>1056</v>
      </c>
      <c r="P20">
        <v>890903938</v>
      </c>
      <c r="Q20" t="s">
        <v>29</v>
      </c>
      <c r="V20" t="s">
        <v>59</v>
      </c>
      <c r="W20" s="10">
        <f t="shared" si="0"/>
        <v>1</v>
      </c>
      <c r="X20" s="10" t="str">
        <f>+ VLOOKUP(W20,'COMISIONES ENERO-MARZO 2025 (2)'!X:Y,2,0)</f>
        <v>Enero</v>
      </c>
    </row>
    <row r="21" spans="1:24" x14ac:dyDescent="0.35">
      <c r="A21" t="s">
        <v>14</v>
      </c>
      <c r="B21">
        <v>53051501</v>
      </c>
      <c r="C21" t="s">
        <v>15</v>
      </c>
      <c r="D21" s="1">
        <v>3558750</v>
      </c>
      <c r="E21" s="1">
        <v>0</v>
      </c>
      <c r="F21" s="1">
        <v>3558750</v>
      </c>
      <c r="J21" s="2">
        <v>45688</v>
      </c>
      <c r="K21" t="s">
        <v>57</v>
      </c>
      <c r="L21" t="s">
        <v>58</v>
      </c>
      <c r="M21" t="s">
        <v>58</v>
      </c>
      <c r="N21">
        <v>800141235</v>
      </c>
      <c r="O21" t="s">
        <v>42</v>
      </c>
      <c r="P21">
        <v>800141235</v>
      </c>
      <c r="Q21" t="s">
        <v>42</v>
      </c>
      <c r="V21" t="s">
        <v>59</v>
      </c>
      <c r="W21" s="10">
        <f t="shared" si="0"/>
        <v>1</v>
      </c>
      <c r="X21" s="10" t="str">
        <f>+ VLOOKUP(W21,'COMISIONES ENERO-MARZO 2025 (2)'!X:Y,2,0)</f>
        <v>Enero</v>
      </c>
    </row>
    <row r="22" spans="1:24" x14ac:dyDescent="0.35">
      <c r="A22" t="s">
        <v>14</v>
      </c>
      <c r="B22">
        <v>53051501</v>
      </c>
      <c r="C22" t="s">
        <v>15</v>
      </c>
      <c r="D22" s="1">
        <v>3558750</v>
      </c>
      <c r="E22" s="1">
        <v>0</v>
      </c>
      <c r="F22" s="1">
        <v>3558750</v>
      </c>
      <c r="J22" s="2">
        <v>45688</v>
      </c>
      <c r="K22" t="s">
        <v>60</v>
      </c>
      <c r="L22" t="s">
        <v>61</v>
      </c>
      <c r="M22" t="s">
        <v>61</v>
      </c>
      <c r="N22">
        <v>800182281</v>
      </c>
      <c r="O22" t="s">
        <v>44</v>
      </c>
      <c r="P22">
        <v>800182281</v>
      </c>
      <c r="Q22" t="s">
        <v>44</v>
      </c>
      <c r="V22" t="s">
        <v>59</v>
      </c>
      <c r="W22" s="10">
        <f t="shared" si="0"/>
        <v>1</v>
      </c>
      <c r="X22" s="10" t="str">
        <f>+ VLOOKUP(W22,'COMISIONES ENERO-MARZO 2025 (2)'!X:Y,2,0)</f>
        <v>Enero</v>
      </c>
    </row>
    <row r="23" spans="1:24" x14ac:dyDescent="0.35">
      <c r="A23" t="s">
        <v>14</v>
      </c>
      <c r="B23">
        <v>53051501</v>
      </c>
      <c r="C23" t="s">
        <v>15</v>
      </c>
      <c r="D23" s="1">
        <v>9600.49</v>
      </c>
      <c r="E23" s="1">
        <v>0</v>
      </c>
      <c r="F23" s="1">
        <v>9600.49</v>
      </c>
      <c r="J23" s="2">
        <v>45688</v>
      </c>
      <c r="K23" t="s">
        <v>79</v>
      </c>
      <c r="L23" t="s">
        <v>80</v>
      </c>
      <c r="M23" t="s">
        <v>81</v>
      </c>
      <c r="N23">
        <v>890903938</v>
      </c>
      <c r="O23" t="s">
        <v>29</v>
      </c>
      <c r="P23">
        <v>890903938</v>
      </c>
      <c r="Q23" t="s">
        <v>29</v>
      </c>
      <c r="V23" t="s">
        <v>59</v>
      </c>
      <c r="W23" s="10">
        <f t="shared" si="0"/>
        <v>1</v>
      </c>
      <c r="X23" s="10" t="str">
        <f>+ VLOOKUP(W23,'COMISIONES ENERO-MARZO 2025 (2)'!X:Y,2,0)</f>
        <v>Enero</v>
      </c>
    </row>
    <row r="24" spans="1:24" x14ac:dyDescent="0.35">
      <c r="A24" t="s">
        <v>14</v>
      </c>
      <c r="B24">
        <v>53051501</v>
      </c>
      <c r="C24" t="s">
        <v>15</v>
      </c>
      <c r="D24" s="1">
        <v>1824</v>
      </c>
      <c r="E24" s="1">
        <v>0</v>
      </c>
      <c r="F24" s="1">
        <v>1824</v>
      </c>
      <c r="J24" s="2">
        <v>45688</v>
      </c>
      <c r="K24" t="s">
        <v>79</v>
      </c>
      <c r="L24" t="s">
        <v>82</v>
      </c>
      <c r="M24" t="s">
        <v>81</v>
      </c>
      <c r="N24">
        <v>890903938</v>
      </c>
      <c r="O24" t="s">
        <v>29</v>
      </c>
      <c r="P24">
        <v>890903938</v>
      </c>
      <c r="Q24" t="s">
        <v>29</v>
      </c>
      <c r="V24" t="s">
        <v>59</v>
      </c>
      <c r="W24" s="10">
        <f t="shared" si="0"/>
        <v>1</v>
      </c>
      <c r="X24" s="10" t="str">
        <f>+ VLOOKUP(W24,'COMISIONES ENERO-MARZO 2025 (2)'!X:Y,2,0)</f>
        <v>Enero</v>
      </c>
    </row>
    <row r="25" spans="1:24" x14ac:dyDescent="0.35">
      <c r="A25" t="s">
        <v>14</v>
      </c>
      <c r="B25">
        <v>53051501</v>
      </c>
      <c r="C25" t="s">
        <v>15</v>
      </c>
      <c r="D25" s="1">
        <v>3867500</v>
      </c>
      <c r="E25" s="1">
        <v>0</v>
      </c>
      <c r="F25" s="1">
        <v>3867500</v>
      </c>
      <c r="J25" s="2">
        <v>45688</v>
      </c>
      <c r="K25" t="s">
        <v>83</v>
      </c>
      <c r="L25" t="s">
        <v>84</v>
      </c>
      <c r="M25" t="s">
        <v>85</v>
      </c>
      <c r="N25">
        <v>800182281</v>
      </c>
      <c r="O25" t="s">
        <v>44</v>
      </c>
      <c r="P25">
        <v>800182281</v>
      </c>
      <c r="Q25" t="s">
        <v>44</v>
      </c>
      <c r="V25" t="s">
        <v>59</v>
      </c>
      <c r="W25" s="10">
        <f t="shared" si="0"/>
        <v>1</v>
      </c>
      <c r="X25" s="10" t="str">
        <f>+ VLOOKUP(W25,'COMISIONES ENERO-MARZO 2025 (2)'!X:Y,2,0)</f>
        <v>Enero</v>
      </c>
    </row>
    <row r="26" spans="1:24" x14ac:dyDescent="0.35">
      <c r="A26" t="s">
        <v>14</v>
      </c>
      <c r="B26">
        <v>53051501</v>
      </c>
      <c r="C26" t="s">
        <v>15</v>
      </c>
      <c r="D26" s="1">
        <v>514829.43</v>
      </c>
      <c r="E26" s="1">
        <v>0</v>
      </c>
      <c r="F26" s="1">
        <v>514829.43</v>
      </c>
      <c r="J26" s="2">
        <v>45688</v>
      </c>
      <c r="K26" t="s">
        <v>86</v>
      </c>
      <c r="L26" t="s">
        <v>87</v>
      </c>
      <c r="M26" t="s">
        <v>87</v>
      </c>
      <c r="N26" t="s">
        <v>1072</v>
      </c>
      <c r="O26" t="s">
        <v>46</v>
      </c>
      <c r="P26" t="s">
        <v>1072</v>
      </c>
      <c r="Q26" t="s">
        <v>46</v>
      </c>
      <c r="V26" t="s">
        <v>59</v>
      </c>
      <c r="W26" s="10">
        <f t="shared" si="0"/>
        <v>1</v>
      </c>
      <c r="X26" s="10" t="str">
        <f>+ VLOOKUP(W26,'COMISIONES ENERO-MARZO 2025 (2)'!X:Y,2,0)</f>
        <v>Enero</v>
      </c>
    </row>
    <row r="27" spans="1:24" x14ac:dyDescent="0.35">
      <c r="A27" t="s">
        <v>14</v>
      </c>
      <c r="B27">
        <v>53051501</v>
      </c>
      <c r="C27" t="s">
        <v>15</v>
      </c>
      <c r="D27" s="1">
        <v>4280613</v>
      </c>
      <c r="E27" s="1">
        <v>0</v>
      </c>
      <c r="F27" s="1">
        <v>4280613</v>
      </c>
      <c r="J27" s="2">
        <v>45688</v>
      </c>
      <c r="K27" t="s">
        <v>88</v>
      </c>
      <c r="L27" t="s">
        <v>89</v>
      </c>
      <c r="M27" t="s">
        <v>89</v>
      </c>
      <c r="N27">
        <v>860002964</v>
      </c>
      <c r="O27" t="s">
        <v>19</v>
      </c>
      <c r="P27">
        <v>860002964</v>
      </c>
      <c r="Q27" t="s">
        <v>19</v>
      </c>
      <c r="V27" t="s">
        <v>59</v>
      </c>
      <c r="W27" s="10">
        <f t="shared" si="0"/>
        <v>1</v>
      </c>
      <c r="X27" s="10" t="str">
        <f>+ VLOOKUP(W27,'COMISIONES ENERO-MARZO 2025 (2)'!X:Y,2,0)</f>
        <v>Enero</v>
      </c>
    </row>
    <row r="28" spans="1:24" x14ac:dyDescent="0.35">
      <c r="A28" t="s">
        <v>14</v>
      </c>
      <c r="B28">
        <v>53051501</v>
      </c>
      <c r="C28" t="s">
        <v>15</v>
      </c>
      <c r="D28" s="1">
        <v>4700320.55</v>
      </c>
      <c r="E28" s="1">
        <v>0</v>
      </c>
      <c r="F28" s="1">
        <v>4700320.55</v>
      </c>
      <c r="J28" s="2">
        <v>45688</v>
      </c>
      <c r="K28" t="s">
        <v>90</v>
      </c>
      <c r="L28" t="s">
        <v>91</v>
      </c>
      <c r="M28" t="s">
        <v>91</v>
      </c>
      <c r="N28">
        <v>890903938</v>
      </c>
      <c r="O28" t="s">
        <v>29</v>
      </c>
      <c r="P28">
        <v>890903938</v>
      </c>
      <c r="Q28" t="s">
        <v>29</v>
      </c>
      <c r="V28" t="s">
        <v>59</v>
      </c>
      <c r="W28" s="10">
        <f t="shared" si="0"/>
        <v>1</v>
      </c>
      <c r="X28" s="10" t="str">
        <f>+ VLOOKUP(W28,'COMISIONES ENERO-MARZO 2025 (2)'!X:Y,2,0)</f>
        <v>Enero</v>
      </c>
    </row>
    <row r="29" spans="1:24" x14ac:dyDescent="0.35">
      <c r="A29" t="s">
        <v>14</v>
      </c>
      <c r="B29">
        <v>53051501</v>
      </c>
      <c r="C29" t="s">
        <v>15</v>
      </c>
      <c r="D29" s="1">
        <v>9801719</v>
      </c>
      <c r="E29" s="1">
        <v>0</v>
      </c>
      <c r="F29" s="1">
        <v>9801719</v>
      </c>
      <c r="J29" s="2">
        <v>45688</v>
      </c>
      <c r="K29" t="s">
        <v>94</v>
      </c>
      <c r="L29" t="s">
        <v>95</v>
      </c>
      <c r="M29" t="s">
        <v>95</v>
      </c>
      <c r="N29">
        <v>860034313</v>
      </c>
      <c r="O29" t="s">
        <v>35</v>
      </c>
      <c r="P29">
        <v>860034313</v>
      </c>
      <c r="Q29" t="s">
        <v>35</v>
      </c>
      <c r="V29" t="s">
        <v>59</v>
      </c>
      <c r="W29" s="10">
        <f t="shared" si="0"/>
        <v>1</v>
      </c>
      <c r="X29" s="10" t="str">
        <f>+ VLOOKUP(W29,'COMISIONES ENERO-MARZO 2025 (2)'!X:Y,2,0)</f>
        <v>Enero</v>
      </c>
    </row>
    <row r="30" spans="1:24" x14ac:dyDescent="0.35">
      <c r="A30" t="s">
        <v>14</v>
      </c>
      <c r="B30">
        <v>53051501</v>
      </c>
      <c r="C30" t="s">
        <v>15</v>
      </c>
      <c r="D30" s="1">
        <v>22436</v>
      </c>
      <c r="E30" s="1">
        <v>0</v>
      </c>
      <c r="F30" s="1">
        <v>22436</v>
      </c>
      <c r="J30" s="2">
        <v>45688</v>
      </c>
      <c r="K30" t="s">
        <v>96</v>
      </c>
      <c r="L30" t="s">
        <v>97</v>
      </c>
      <c r="M30" t="s">
        <v>97</v>
      </c>
      <c r="N30">
        <v>860002964</v>
      </c>
      <c r="O30" t="s">
        <v>19</v>
      </c>
      <c r="P30">
        <v>860002964</v>
      </c>
      <c r="Q30" t="s">
        <v>19</v>
      </c>
      <c r="V30" t="s">
        <v>59</v>
      </c>
      <c r="W30" s="10">
        <f t="shared" si="0"/>
        <v>1</v>
      </c>
      <c r="X30" s="10" t="str">
        <f>+ VLOOKUP(W30,'COMISIONES ENERO-MARZO 2025 (2)'!X:Y,2,0)</f>
        <v>Enero</v>
      </c>
    </row>
    <row r="31" spans="1:24" x14ac:dyDescent="0.35">
      <c r="A31" t="s">
        <v>14</v>
      </c>
      <c r="B31">
        <v>53051501</v>
      </c>
      <c r="C31" t="s">
        <v>15</v>
      </c>
      <c r="D31" s="1">
        <v>7087724.7999999998</v>
      </c>
      <c r="E31" s="1">
        <v>0</v>
      </c>
      <c r="F31" s="1">
        <v>7087724.7999999998</v>
      </c>
      <c r="J31" s="2">
        <v>45688</v>
      </c>
      <c r="K31" t="s">
        <v>156</v>
      </c>
      <c r="L31" t="s">
        <v>157</v>
      </c>
      <c r="M31" t="s">
        <v>158</v>
      </c>
      <c r="N31">
        <v>860003020</v>
      </c>
      <c r="O31" t="s">
        <v>40</v>
      </c>
      <c r="P31">
        <v>860003020</v>
      </c>
      <c r="Q31" t="s">
        <v>40</v>
      </c>
      <c r="V31" t="s">
        <v>59</v>
      </c>
      <c r="W31" s="10">
        <f t="shared" si="0"/>
        <v>1</v>
      </c>
      <c r="X31" s="10" t="str">
        <f>+ VLOOKUP(W31,'COMISIONES ENERO-MARZO 2025 (2)'!X:Y,2,0)</f>
        <v>Enero</v>
      </c>
    </row>
    <row r="32" spans="1:24" x14ac:dyDescent="0.35">
      <c r="A32" t="s">
        <v>14</v>
      </c>
      <c r="B32">
        <v>53051501</v>
      </c>
      <c r="C32" t="s">
        <v>15</v>
      </c>
      <c r="D32" s="1">
        <v>36839957.280000001</v>
      </c>
      <c r="E32" s="1">
        <v>0</v>
      </c>
      <c r="F32" s="1">
        <v>36839957.280000001</v>
      </c>
      <c r="J32" s="2">
        <v>45688</v>
      </c>
      <c r="K32" t="s">
        <v>156</v>
      </c>
      <c r="L32" t="s">
        <v>159</v>
      </c>
      <c r="M32" t="s">
        <v>158</v>
      </c>
      <c r="N32">
        <v>860003020</v>
      </c>
      <c r="O32" t="s">
        <v>40</v>
      </c>
      <c r="P32">
        <v>860003020</v>
      </c>
      <c r="Q32" t="s">
        <v>40</v>
      </c>
      <c r="V32" t="s">
        <v>59</v>
      </c>
      <c r="W32" s="10">
        <f t="shared" si="0"/>
        <v>1</v>
      </c>
      <c r="X32" s="10" t="str">
        <f>+ VLOOKUP(W32,'COMISIONES ENERO-MARZO 2025 (2)'!X:Y,2,0)</f>
        <v>Enero</v>
      </c>
    </row>
    <row r="33" spans="1:24" x14ac:dyDescent="0.35">
      <c r="A33" t="s">
        <v>14</v>
      </c>
      <c r="B33">
        <v>53051501</v>
      </c>
      <c r="C33" t="s">
        <v>15</v>
      </c>
      <c r="D33" s="1">
        <v>3529</v>
      </c>
      <c r="E33" s="1">
        <v>0</v>
      </c>
      <c r="F33" s="1">
        <v>3529</v>
      </c>
      <c r="J33" s="2">
        <v>45692</v>
      </c>
      <c r="K33" t="s">
        <v>150</v>
      </c>
      <c r="L33" t="s">
        <v>151</v>
      </c>
      <c r="M33" t="s">
        <v>151</v>
      </c>
      <c r="N33">
        <v>29760690</v>
      </c>
      <c r="O33" t="s">
        <v>1061</v>
      </c>
      <c r="P33">
        <v>890903938</v>
      </c>
      <c r="Q33" t="s">
        <v>29</v>
      </c>
      <c r="V33" t="s">
        <v>59</v>
      </c>
      <c r="W33" s="10">
        <f t="shared" si="0"/>
        <v>2</v>
      </c>
      <c r="X33" s="10" t="str">
        <f>+ VLOOKUP(W33,'COMISIONES ENERO-MARZO 2025 (2)'!X:Y,2,0)</f>
        <v>Febrero</v>
      </c>
    </row>
    <row r="34" spans="1:24" x14ac:dyDescent="0.35">
      <c r="A34" t="s">
        <v>14</v>
      </c>
      <c r="B34">
        <v>53051501</v>
      </c>
      <c r="C34" t="s">
        <v>15</v>
      </c>
      <c r="D34" s="1">
        <v>3529</v>
      </c>
      <c r="E34" s="1">
        <v>0</v>
      </c>
      <c r="F34" s="1">
        <v>3529</v>
      </c>
      <c r="J34" s="2">
        <v>45692</v>
      </c>
      <c r="K34" t="s">
        <v>152</v>
      </c>
      <c r="L34" t="s">
        <v>151</v>
      </c>
      <c r="M34" t="s">
        <v>153</v>
      </c>
      <c r="N34">
        <v>16502466</v>
      </c>
      <c r="O34" t="s">
        <v>1056</v>
      </c>
      <c r="P34">
        <v>890903938</v>
      </c>
      <c r="Q34" t="s">
        <v>29</v>
      </c>
      <c r="V34" t="s">
        <v>59</v>
      </c>
      <c r="W34" s="10">
        <f t="shared" si="0"/>
        <v>2</v>
      </c>
      <c r="X34" s="10" t="str">
        <f>+ VLOOKUP(W34,'COMISIONES ENERO-MARZO 2025 (2)'!X:Y,2,0)</f>
        <v>Febrero</v>
      </c>
    </row>
    <row r="35" spans="1:24" x14ac:dyDescent="0.35">
      <c r="A35" t="s">
        <v>14</v>
      </c>
      <c r="B35">
        <v>53051501</v>
      </c>
      <c r="C35" t="s">
        <v>15</v>
      </c>
      <c r="D35" s="1">
        <v>3529</v>
      </c>
      <c r="E35" s="1">
        <v>0</v>
      </c>
      <c r="F35" s="1">
        <v>3529</v>
      </c>
      <c r="J35" s="2">
        <v>45692</v>
      </c>
      <c r="K35" t="s">
        <v>154</v>
      </c>
      <c r="L35" t="s">
        <v>151</v>
      </c>
      <c r="M35" t="s">
        <v>155</v>
      </c>
      <c r="N35">
        <v>1144185697</v>
      </c>
      <c r="O35" t="s">
        <v>1057</v>
      </c>
      <c r="P35">
        <v>890903938</v>
      </c>
      <c r="Q35" t="s">
        <v>29</v>
      </c>
      <c r="V35" t="s">
        <v>59</v>
      </c>
      <c r="W35" s="10">
        <f t="shared" si="0"/>
        <v>2</v>
      </c>
      <c r="X35" s="10" t="str">
        <f>+ VLOOKUP(W35,'COMISIONES ENERO-MARZO 2025 (2)'!X:Y,2,0)</f>
        <v>Febrero</v>
      </c>
    </row>
    <row r="36" spans="1:24" x14ac:dyDescent="0.35">
      <c r="A36" t="s">
        <v>14</v>
      </c>
      <c r="B36">
        <v>53051501</v>
      </c>
      <c r="C36" t="s">
        <v>15</v>
      </c>
      <c r="D36" s="1">
        <v>11004</v>
      </c>
      <c r="E36" s="1">
        <v>0</v>
      </c>
      <c r="F36" s="1">
        <v>11004</v>
      </c>
      <c r="J36" s="2">
        <v>45695</v>
      </c>
      <c r="K36" t="s">
        <v>98</v>
      </c>
      <c r="L36" t="s">
        <v>99</v>
      </c>
      <c r="M36" t="s">
        <v>99</v>
      </c>
      <c r="N36">
        <v>899999047</v>
      </c>
      <c r="O36" t="s">
        <v>78</v>
      </c>
      <c r="P36">
        <v>899999047</v>
      </c>
      <c r="Q36" t="s">
        <v>78</v>
      </c>
      <c r="V36" t="s">
        <v>59</v>
      </c>
      <c r="W36" s="10">
        <f t="shared" si="0"/>
        <v>2</v>
      </c>
      <c r="X36" s="10" t="str">
        <f>+ VLOOKUP(W36,'COMISIONES ENERO-MARZO 2025 (2)'!X:Y,2,0)</f>
        <v>Febrero</v>
      </c>
    </row>
    <row r="37" spans="1:24" x14ac:dyDescent="0.35">
      <c r="A37" t="s">
        <v>14</v>
      </c>
      <c r="B37">
        <v>53051501</v>
      </c>
      <c r="C37" t="s">
        <v>15</v>
      </c>
      <c r="D37" s="1">
        <v>9600</v>
      </c>
      <c r="E37" s="1">
        <v>0</v>
      </c>
      <c r="F37" s="1">
        <v>9600</v>
      </c>
      <c r="J37" s="2">
        <v>45702</v>
      </c>
      <c r="K37" t="s">
        <v>100</v>
      </c>
      <c r="L37" t="s">
        <v>101</v>
      </c>
      <c r="M37" t="s">
        <v>101</v>
      </c>
      <c r="N37">
        <v>899999047</v>
      </c>
      <c r="O37" t="s">
        <v>78</v>
      </c>
      <c r="P37">
        <v>899999047</v>
      </c>
      <c r="Q37" t="s">
        <v>78</v>
      </c>
      <c r="V37" t="s">
        <v>59</v>
      </c>
      <c r="W37" s="10">
        <f t="shared" si="0"/>
        <v>2</v>
      </c>
      <c r="X37" s="10" t="str">
        <f>+ VLOOKUP(W37,'COMISIONES ENERO-MARZO 2025 (2)'!X:Y,2,0)</f>
        <v>Febrero</v>
      </c>
    </row>
    <row r="38" spans="1:24" x14ac:dyDescent="0.35">
      <c r="A38" t="s">
        <v>14</v>
      </c>
      <c r="B38">
        <v>53051501</v>
      </c>
      <c r="C38" t="s">
        <v>15</v>
      </c>
      <c r="D38" s="1">
        <v>3529</v>
      </c>
      <c r="E38" s="1">
        <v>0</v>
      </c>
      <c r="F38" s="1">
        <v>3529</v>
      </c>
      <c r="J38" s="2">
        <v>45702</v>
      </c>
      <c r="K38" t="s">
        <v>198</v>
      </c>
      <c r="L38" t="s">
        <v>151</v>
      </c>
      <c r="M38" t="s">
        <v>151</v>
      </c>
      <c r="N38">
        <v>16502466</v>
      </c>
      <c r="O38" t="s">
        <v>1056</v>
      </c>
      <c r="P38">
        <v>890903938</v>
      </c>
      <c r="Q38" t="s">
        <v>29</v>
      </c>
      <c r="V38" t="s">
        <v>59</v>
      </c>
      <c r="W38" s="10">
        <f t="shared" si="0"/>
        <v>2</v>
      </c>
      <c r="X38" s="10" t="str">
        <f>+ VLOOKUP(W38,'COMISIONES ENERO-MARZO 2025 (2)'!X:Y,2,0)</f>
        <v>Febrero</v>
      </c>
    </row>
    <row r="39" spans="1:24" x14ac:dyDescent="0.35">
      <c r="A39" t="s">
        <v>14</v>
      </c>
      <c r="B39">
        <v>53051501</v>
      </c>
      <c r="C39" t="s">
        <v>15</v>
      </c>
      <c r="D39" s="1">
        <v>3529</v>
      </c>
      <c r="E39" s="1">
        <v>0</v>
      </c>
      <c r="F39" s="1">
        <v>3529</v>
      </c>
      <c r="J39" s="2">
        <v>45706</v>
      </c>
      <c r="K39" t="s">
        <v>199</v>
      </c>
      <c r="L39" t="s">
        <v>153</v>
      </c>
      <c r="M39" t="s">
        <v>153</v>
      </c>
      <c r="N39">
        <v>16502466</v>
      </c>
      <c r="O39" t="s">
        <v>1056</v>
      </c>
      <c r="P39">
        <v>890903938</v>
      </c>
      <c r="Q39" t="s">
        <v>29</v>
      </c>
      <c r="V39" t="s">
        <v>59</v>
      </c>
      <c r="W39" s="10">
        <f t="shared" si="0"/>
        <v>2</v>
      </c>
      <c r="X39" s="10" t="str">
        <f>+ VLOOKUP(W39,'COMISIONES ENERO-MARZO 2025 (2)'!X:Y,2,0)</f>
        <v>Febrero</v>
      </c>
    </row>
    <row r="40" spans="1:24" x14ac:dyDescent="0.35">
      <c r="A40" t="s">
        <v>14</v>
      </c>
      <c r="B40">
        <v>53051501</v>
      </c>
      <c r="C40" t="s">
        <v>15</v>
      </c>
      <c r="D40" s="1">
        <v>4303049</v>
      </c>
      <c r="E40" s="1">
        <v>0</v>
      </c>
      <c r="F40" s="1">
        <v>4303049</v>
      </c>
      <c r="J40" s="2">
        <v>45707</v>
      </c>
      <c r="K40" t="s">
        <v>31</v>
      </c>
      <c r="L40" t="s">
        <v>32</v>
      </c>
      <c r="M40" t="s">
        <v>32</v>
      </c>
      <c r="N40">
        <v>860002964</v>
      </c>
      <c r="O40" t="s">
        <v>19</v>
      </c>
      <c r="P40">
        <v>860002964</v>
      </c>
      <c r="Q40" t="s">
        <v>19</v>
      </c>
      <c r="V40" t="s">
        <v>20</v>
      </c>
      <c r="W40" s="10">
        <f t="shared" si="0"/>
        <v>2</v>
      </c>
      <c r="X40" s="10" t="str">
        <f>+ VLOOKUP(W40,'COMISIONES ENERO-MARZO 2025 (2)'!X:Y,2,0)</f>
        <v>Febrero</v>
      </c>
    </row>
    <row r="41" spans="1:24" x14ac:dyDescent="0.35">
      <c r="A41" t="s">
        <v>14</v>
      </c>
      <c r="B41">
        <v>53051501</v>
      </c>
      <c r="C41" t="s">
        <v>15</v>
      </c>
      <c r="D41" s="1">
        <v>4739977.04</v>
      </c>
      <c r="E41" s="1">
        <v>0</v>
      </c>
      <c r="F41" s="1">
        <v>4739977.04</v>
      </c>
      <c r="J41" s="2">
        <v>45707</v>
      </c>
      <c r="K41" t="s">
        <v>33</v>
      </c>
      <c r="L41" t="s">
        <v>32</v>
      </c>
      <c r="M41" t="s">
        <v>32</v>
      </c>
      <c r="N41">
        <v>890903938</v>
      </c>
      <c r="O41" t="s">
        <v>29</v>
      </c>
      <c r="P41">
        <v>890903938</v>
      </c>
      <c r="Q41" t="s">
        <v>29</v>
      </c>
      <c r="V41" t="s">
        <v>20</v>
      </c>
      <c r="W41" s="10">
        <f t="shared" si="0"/>
        <v>2</v>
      </c>
      <c r="X41" s="10" t="str">
        <f>+ VLOOKUP(W41,'COMISIONES ENERO-MARZO 2025 (2)'!X:Y,2,0)</f>
        <v>Febrero</v>
      </c>
    </row>
    <row r="42" spans="1:24" x14ac:dyDescent="0.35">
      <c r="A42" t="s">
        <v>14</v>
      </c>
      <c r="B42">
        <v>53051501</v>
      </c>
      <c r="C42" t="s">
        <v>15</v>
      </c>
      <c r="D42" s="1">
        <v>9801719</v>
      </c>
      <c r="E42" s="1">
        <v>0</v>
      </c>
      <c r="F42" s="1">
        <v>9801719</v>
      </c>
      <c r="J42" s="2">
        <v>45707</v>
      </c>
      <c r="K42" t="s">
        <v>34</v>
      </c>
      <c r="L42" t="s">
        <v>32</v>
      </c>
      <c r="M42" t="s">
        <v>32</v>
      </c>
      <c r="N42">
        <v>860034313</v>
      </c>
      <c r="O42" t="s">
        <v>35</v>
      </c>
      <c r="P42">
        <v>860034313</v>
      </c>
      <c r="Q42" t="s">
        <v>35</v>
      </c>
      <c r="V42" t="s">
        <v>20</v>
      </c>
      <c r="W42" s="10">
        <f t="shared" si="0"/>
        <v>2</v>
      </c>
      <c r="X42" s="10" t="str">
        <f>+ VLOOKUP(W42,'COMISIONES ENERO-MARZO 2025 (2)'!X:Y,2,0)</f>
        <v>Febrero</v>
      </c>
    </row>
    <row r="43" spans="1:24" x14ac:dyDescent="0.35">
      <c r="A43" t="s">
        <v>14</v>
      </c>
      <c r="B43">
        <v>53051501</v>
      </c>
      <c r="C43" t="s">
        <v>15</v>
      </c>
      <c r="D43" s="1">
        <v>2190</v>
      </c>
      <c r="E43" s="1">
        <v>0</v>
      </c>
      <c r="F43" s="1">
        <v>2190</v>
      </c>
      <c r="J43" s="2">
        <v>45707</v>
      </c>
      <c r="K43" t="s">
        <v>36</v>
      </c>
      <c r="L43" t="s">
        <v>32</v>
      </c>
      <c r="M43" t="s">
        <v>32</v>
      </c>
      <c r="N43">
        <v>800037800</v>
      </c>
      <c r="O43" t="s">
        <v>37</v>
      </c>
      <c r="P43">
        <v>800037800</v>
      </c>
      <c r="Q43" t="s">
        <v>37</v>
      </c>
      <c r="V43" t="s">
        <v>20</v>
      </c>
      <c r="W43" s="10">
        <f t="shared" si="0"/>
        <v>2</v>
      </c>
      <c r="X43" s="10" t="str">
        <f>+ VLOOKUP(W43,'COMISIONES ENERO-MARZO 2025 (2)'!X:Y,2,0)</f>
        <v>Febrero</v>
      </c>
    </row>
    <row r="44" spans="1:24" x14ac:dyDescent="0.35">
      <c r="A44" t="s">
        <v>14</v>
      </c>
      <c r="B44">
        <v>53051501</v>
      </c>
      <c r="C44" t="s">
        <v>15</v>
      </c>
      <c r="D44" s="1">
        <v>2650</v>
      </c>
      <c r="E44" s="1">
        <v>0</v>
      </c>
      <c r="F44" s="1">
        <v>2650</v>
      </c>
      <c r="J44" s="2">
        <v>45707</v>
      </c>
      <c r="K44" t="s">
        <v>38</v>
      </c>
      <c r="L44" t="s">
        <v>32</v>
      </c>
      <c r="M44" t="s">
        <v>32</v>
      </c>
      <c r="N44">
        <v>860007738</v>
      </c>
      <c r="O44" t="s">
        <v>25</v>
      </c>
      <c r="P44">
        <v>860007738</v>
      </c>
      <c r="Q44" t="s">
        <v>25</v>
      </c>
      <c r="V44" t="s">
        <v>20</v>
      </c>
      <c r="W44" s="10">
        <f t="shared" si="0"/>
        <v>2</v>
      </c>
      <c r="X44" s="10" t="str">
        <f>+ VLOOKUP(W44,'COMISIONES ENERO-MARZO 2025 (2)'!X:Y,2,0)</f>
        <v>Febrero</v>
      </c>
    </row>
    <row r="45" spans="1:24" x14ac:dyDescent="0.35">
      <c r="A45" t="s">
        <v>14</v>
      </c>
      <c r="B45">
        <v>53051501</v>
      </c>
      <c r="C45" t="s">
        <v>15</v>
      </c>
      <c r="D45" s="1">
        <v>43927682.079999998</v>
      </c>
      <c r="E45" s="1">
        <v>0</v>
      </c>
      <c r="F45" s="1">
        <v>43927682.079999998</v>
      </c>
      <c r="J45" s="2">
        <v>45707</v>
      </c>
      <c r="K45" t="s">
        <v>39</v>
      </c>
      <c r="L45" t="s">
        <v>32</v>
      </c>
      <c r="M45" t="s">
        <v>32</v>
      </c>
      <c r="N45">
        <v>860003020</v>
      </c>
      <c r="O45" t="s">
        <v>40</v>
      </c>
      <c r="P45">
        <v>860003020</v>
      </c>
      <c r="Q45" t="s">
        <v>40</v>
      </c>
      <c r="V45" t="s">
        <v>20</v>
      </c>
      <c r="W45" s="10">
        <f t="shared" si="0"/>
        <v>2</v>
      </c>
      <c r="X45" s="10" t="str">
        <f>+ VLOOKUP(W45,'COMISIONES ENERO-MARZO 2025 (2)'!X:Y,2,0)</f>
        <v>Febrero</v>
      </c>
    </row>
    <row r="46" spans="1:24" x14ac:dyDescent="0.35">
      <c r="A46" t="s">
        <v>14</v>
      </c>
      <c r="B46">
        <v>53051501</v>
      </c>
      <c r="C46" t="s">
        <v>15</v>
      </c>
      <c r="D46" s="1">
        <v>3558750</v>
      </c>
      <c r="E46" s="1">
        <v>0</v>
      </c>
      <c r="F46" s="1">
        <v>3558750</v>
      </c>
      <c r="J46" s="2">
        <v>45707</v>
      </c>
      <c r="K46" t="s">
        <v>41</v>
      </c>
      <c r="L46" t="s">
        <v>32</v>
      </c>
      <c r="M46" t="s">
        <v>32</v>
      </c>
      <c r="N46">
        <v>800141235</v>
      </c>
      <c r="O46" t="s">
        <v>42</v>
      </c>
      <c r="P46">
        <v>800141235</v>
      </c>
      <c r="Q46" t="s">
        <v>42</v>
      </c>
      <c r="V46" t="s">
        <v>20</v>
      </c>
      <c r="W46" s="10">
        <f t="shared" si="0"/>
        <v>2</v>
      </c>
      <c r="X46" s="10" t="str">
        <f>+ VLOOKUP(W46,'COMISIONES ENERO-MARZO 2025 (2)'!X:Y,2,0)</f>
        <v>Febrero</v>
      </c>
    </row>
    <row r="47" spans="1:24" x14ac:dyDescent="0.35">
      <c r="A47" t="s">
        <v>14</v>
      </c>
      <c r="B47">
        <v>53051501</v>
      </c>
      <c r="C47" t="s">
        <v>15</v>
      </c>
      <c r="D47" s="1">
        <v>7426250</v>
      </c>
      <c r="E47" s="1">
        <v>0</v>
      </c>
      <c r="F47" s="1">
        <v>7426250</v>
      </c>
      <c r="J47" s="2">
        <v>45707</v>
      </c>
      <c r="K47" t="s">
        <v>43</v>
      </c>
      <c r="L47" t="s">
        <v>32</v>
      </c>
      <c r="M47" t="s">
        <v>32</v>
      </c>
      <c r="N47">
        <v>800182281</v>
      </c>
      <c r="O47" t="s">
        <v>44</v>
      </c>
      <c r="P47">
        <v>800182281</v>
      </c>
      <c r="Q47" t="s">
        <v>44</v>
      </c>
      <c r="V47" t="s">
        <v>20</v>
      </c>
      <c r="W47" s="10">
        <f t="shared" si="0"/>
        <v>2</v>
      </c>
      <c r="X47" s="10" t="str">
        <f>+ VLOOKUP(W47,'COMISIONES ENERO-MARZO 2025 (2)'!X:Y,2,0)</f>
        <v>Febrero</v>
      </c>
    </row>
    <row r="48" spans="1:24" x14ac:dyDescent="0.35">
      <c r="A48" t="s">
        <v>14</v>
      </c>
      <c r="B48">
        <v>53051501</v>
      </c>
      <c r="C48" t="s">
        <v>15</v>
      </c>
      <c r="D48" s="1">
        <v>514829.43</v>
      </c>
      <c r="E48" s="1">
        <v>0</v>
      </c>
      <c r="F48" s="1">
        <v>514829.43</v>
      </c>
      <c r="J48" s="2">
        <v>45707</v>
      </c>
      <c r="K48" t="s">
        <v>45</v>
      </c>
      <c r="L48" t="s">
        <v>32</v>
      </c>
      <c r="M48" t="s">
        <v>32</v>
      </c>
      <c r="N48" t="s">
        <v>1072</v>
      </c>
      <c r="O48" t="s">
        <v>46</v>
      </c>
      <c r="P48" t="s">
        <v>1072</v>
      </c>
      <c r="Q48" t="s">
        <v>46</v>
      </c>
      <c r="V48" t="s">
        <v>20</v>
      </c>
      <c r="W48" s="10">
        <f t="shared" si="0"/>
        <v>2</v>
      </c>
      <c r="X48" s="10" t="str">
        <f>+ VLOOKUP(W48,'COMISIONES ENERO-MARZO 2025 (2)'!X:Y,2,0)</f>
        <v>Febrero</v>
      </c>
    </row>
    <row r="49" spans="1:24" x14ac:dyDescent="0.35">
      <c r="A49" t="s">
        <v>14</v>
      </c>
      <c r="B49">
        <v>53051501</v>
      </c>
      <c r="C49" t="s">
        <v>15</v>
      </c>
      <c r="D49" s="1">
        <v>0</v>
      </c>
      <c r="E49" s="1">
        <v>2190</v>
      </c>
      <c r="F49" s="1">
        <v>-2190</v>
      </c>
      <c r="J49" s="2">
        <v>45707</v>
      </c>
      <c r="K49" t="s">
        <v>160</v>
      </c>
      <c r="L49" t="s">
        <v>161</v>
      </c>
      <c r="M49" t="s">
        <v>161</v>
      </c>
      <c r="N49">
        <v>891900196</v>
      </c>
      <c r="O49" t="s">
        <v>676</v>
      </c>
      <c r="P49">
        <v>800037800</v>
      </c>
      <c r="Q49" t="s">
        <v>37</v>
      </c>
      <c r="V49" t="s">
        <v>59</v>
      </c>
      <c r="W49" s="10">
        <f t="shared" si="0"/>
        <v>2</v>
      </c>
      <c r="X49" s="10" t="str">
        <f>+ VLOOKUP(W49,'COMISIONES ENERO-MARZO 2025 (2)'!X:Y,2,0)</f>
        <v>Febrero</v>
      </c>
    </row>
    <row r="50" spans="1:24" x14ac:dyDescent="0.35">
      <c r="A50" t="s">
        <v>14</v>
      </c>
      <c r="B50">
        <v>53051501</v>
      </c>
      <c r="C50" t="s">
        <v>15</v>
      </c>
      <c r="D50" s="1">
        <v>0</v>
      </c>
      <c r="E50" s="1">
        <v>3558750</v>
      </c>
      <c r="F50" s="1">
        <v>-3558750</v>
      </c>
      <c r="J50" s="2">
        <v>45707</v>
      </c>
      <c r="K50" t="s">
        <v>160</v>
      </c>
      <c r="L50" t="s">
        <v>161</v>
      </c>
      <c r="M50" t="s">
        <v>161</v>
      </c>
      <c r="N50">
        <v>891900196</v>
      </c>
      <c r="O50" t="s">
        <v>676</v>
      </c>
      <c r="P50">
        <v>800141235</v>
      </c>
      <c r="Q50" t="s">
        <v>42</v>
      </c>
      <c r="V50" t="s">
        <v>59</v>
      </c>
      <c r="W50" s="10">
        <f t="shared" si="0"/>
        <v>2</v>
      </c>
      <c r="X50" s="10" t="str">
        <f>+ VLOOKUP(W50,'COMISIONES ENERO-MARZO 2025 (2)'!X:Y,2,0)</f>
        <v>Febrero</v>
      </c>
    </row>
    <row r="51" spans="1:24" x14ac:dyDescent="0.35">
      <c r="A51" t="s">
        <v>14</v>
      </c>
      <c r="B51">
        <v>53051501</v>
      </c>
      <c r="C51" t="s">
        <v>15</v>
      </c>
      <c r="D51" s="1">
        <v>0</v>
      </c>
      <c r="E51" s="1">
        <v>7426250</v>
      </c>
      <c r="F51" s="1">
        <v>-7426250</v>
      </c>
      <c r="J51" s="2">
        <v>45707</v>
      </c>
      <c r="K51" t="s">
        <v>160</v>
      </c>
      <c r="L51" t="s">
        <v>161</v>
      </c>
      <c r="M51" t="s">
        <v>161</v>
      </c>
      <c r="N51">
        <v>891900196</v>
      </c>
      <c r="O51" t="s">
        <v>676</v>
      </c>
      <c r="P51">
        <v>800182281</v>
      </c>
      <c r="Q51" t="s">
        <v>44</v>
      </c>
      <c r="V51" t="s">
        <v>59</v>
      </c>
      <c r="W51" s="10">
        <f t="shared" si="0"/>
        <v>2</v>
      </c>
      <c r="X51" s="10" t="str">
        <f>+ VLOOKUP(W51,'COMISIONES ENERO-MARZO 2025 (2)'!X:Y,2,0)</f>
        <v>Febrero</v>
      </c>
    </row>
    <row r="52" spans="1:24" x14ac:dyDescent="0.35">
      <c r="A52" t="s">
        <v>14</v>
      </c>
      <c r="B52">
        <v>53051501</v>
      </c>
      <c r="C52" t="s">
        <v>15</v>
      </c>
      <c r="D52" s="1">
        <v>0</v>
      </c>
      <c r="E52" s="1">
        <v>4303049</v>
      </c>
      <c r="F52" s="1">
        <v>-4303049</v>
      </c>
      <c r="J52" s="2">
        <v>45707</v>
      </c>
      <c r="K52" t="s">
        <v>160</v>
      </c>
      <c r="L52" t="s">
        <v>161</v>
      </c>
      <c r="M52" t="s">
        <v>161</v>
      </c>
      <c r="N52">
        <v>891900196</v>
      </c>
      <c r="O52" t="s">
        <v>676</v>
      </c>
      <c r="P52">
        <v>860002964</v>
      </c>
      <c r="Q52" t="s">
        <v>19</v>
      </c>
      <c r="V52" t="s">
        <v>59</v>
      </c>
      <c r="W52" s="10">
        <f t="shared" si="0"/>
        <v>2</v>
      </c>
      <c r="X52" s="10" t="str">
        <f>+ VLOOKUP(W52,'COMISIONES ENERO-MARZO 2025 (2)'!X:Y,2,0)</f>
        <v>Febrero</v>
      </c>
    </row>
    <row r="53" spans="1:24" x14ac:dyDescent="0.35">
      <c r="A53" t="s">
        <v>14</v>
      </c>
      <c r="B53">
        <v>53051501</v>
      </c>
      <c r="C53" t="s">
        <v>15</v>
      </c>
      <c r="D53" s="1">
        <v>0</v>
      </c>
      <c r="E53" s="1">
        <v>43927682.079999998</v>
      </c>
      <c r="F53" s="1">
        <v>-43927682.079999998</v>
      </c>
      <c r="J53" s="2">
        <v>45707</v>
      </c>
      <c r="K53" t="s">
        <v>160</v>
      </c>
      <c r="L53" t="s">
        <v>161</v>
      </c>
      <c r="M53" t="s">
        <v>161</v>
      </c>
      <c r="N53">
        <v>891900196</v>
      </c>
      <c r="O53" t="s">
        <v>676</v>
      </c>
      <c r="P53">
        <v>860003020</v>
      </c>
      <c r="Q53" t="s">
        <v>40</v>
      </c>
      <c r="V53" t="s">
        <v>59</v>
      </c>
      <c r="W53" s="10">
        <f t="shared" si="0"/>
        <v>2</v>
      </c>
      <c r="X53" s="10" t="str">
        <f>+ VLOOKUP(W53,'COMISIONES ENERO-MARZO 2025 (2)'!X:Y,2,0)</f>
        <v>Febrero</v>
      </c>
    </row>
    <row r="54" spans="1:24" x14ac:dyDescent="0.35">
      <c r="A54" t="s">
        <v>14</v>
      </c>
      <c r="B54">
        <v>53051501</v>
      </c>
      <c r="C54" t="s">
        <v>15</v>
      </c>
      <c r="D54" s="1">
        <v>0</v>
      </c>
      <c r="E54" s="1">
        <v>2650</v>
      </c>
      <c r="F54" s="1">
        <v>-2650</v>
      </c>
      <c r="J54" s="2">
        <v>45707</v>
      </c>
      <c r="K54" t="s">
        <v>160</v>
      </c>
      <c r="L54" t="s">
        <v>161</v>
      </c>
      <c r="M54" t="s">
        <v>161</v>
      </c>
      <c r="N54">
        <v>891900196</v>
      </c>
      <c r="O54" t="s">
        <v>676</v>
      </c>
      <c r="P54">
        <v>860007738</v>
      </c>
      <c r="Q54" t="s">
        <v>25</v>
      </c>
      <c r="V54" t="s">
        <v>59</v>
      </c>
      <c r="W54" s="10">
        <f t="shared" si="0"/>
        <v>2</v>
      </c>
      <c r="X54" s="10" t="str">
        <f>+ VLOOKUP(W54,'COMISIONES ENERO-MARZO 2025 (2)'!X:Y,2,0)</f>
        <v>Febrero</v>
      </c>
    </row>
    <row r="55" spans="1:24" x14ac:dyDescent="0.35">
      <c r="A55" t="s">
        <v>14</v>
      </c>
      <c r="B55">
        <v>53051501</v>
      </c>
      <c r="C55" t="s">
        <v>15</v>
      </c>
      <c r="D55" s="1">
        <v>0</v>
      </c>
      <c r="E55" s="1">
        <v>9801719</v>
      </c>
      <c r="F55" s="1">
        <v>-9801719</v>
      </c>
      <c r="J55" s="2">
        <v>45707</v>
      </c>
      <c r="K55" t="s">
        <v>160</v>
      </c>
      <c r="L55" t="s">
        <v>161</v>
      </c>
      <c r="M55" t="s">
        <v>161</v>
      </c>
      <c r="N55">
        <v>891900196</v>
      </c>
      <c r="O55" t="s">
        <v>676</v>
      </c>
      <c r="P55">
        <v>860034313</v>
      </c>
      <c r="Q55" t="s">
        <v>35</v>
      </c>
      <c r="V55" t="s">
        <v>59</v>
      </c>
      <c r="W55" s="10">
        <f t="shared" si="0"/>
        <v>2</v>
      </c>
      <c r="X55" s="10" t="str">
        <f>+ VLOOKUP(W55,'COMISIONES ENERO-MARZO 2025 (2)'!X:Y,2,0)</f>
        <v>Febrero</v>
      </c>
    </row>
    <row r="56" spans="1:24" x14ac:dyDescent="0.35">
      <c r="A56" t="s">
        <v>14</v>
      </c>
      <c r="B56">
        <v>53051501</v>
      </c>
      <c r="C56" t="s">
        <v>15</v>
      </c>
      <c r="D56" s="1">
        <v>0</v>
      </c>
      <c r="E56" s="1">
        <v>4739977.04</v>
      </c>
      <c r="F56" s="1">
        <v>-4739977.04</v>
      </c>
      <c r="J56" s="2">
        <v>45707</v>
      </c>
      <c r="K56" t="s">
        <v>160</v>
      </c>
      <c r="L56" t="s">
        <v>161</v>
      </c>
      <c r="M56" t="s">
        <v>161</v>
      </c>
      <c r="N56">
        <v>891900196</v>
      </c>
      <c r="O56" t="s">
        <v>676</v>
      </c>
      <c r="P56">
        <v>890903938</v>
      </c>
      <c r="Q56" t="s">
        <v>29</v>
      </c>
      <c r="V56" t="s">
        <v>59</v>
      </c>
      <c r="W56" s="10">
        <f t="shared" si="0"/>
        <v>2</v>
      </c>
      <c r="X56" s="10" t="str">
        <f>+ VLOOKUP(W56,'COMISIONES ENERO-MARZO 2025 (2)'!X:Y,2,0)</f>
        <v>Febrero</v>
      </c>
    </row>
    <row r="57" spans="1:24" x14ac:dyDescent="0.35">
      <c r="A57" t="s">
        <v>14</v>
      </c>
      <c r="B57">
        <v>53051501</v>
      </c>
      <c r="C57" t="s">
        <v>15</v>
      </c>
      <c r="D57" s="1">
        <v>0</v>
      </c>
      <c r="E57" s="1">
        <v>514829.43</v>
      </c>
      <c r="F57" s="1">
        <v>-514829.43</v>
      </c>
      <c r="J57" s="2">
        <v>45707</v>
      </c>
      <c r="K57" t="s">
        <v>160</v>
      </c>
      <c r="L57" t="s">
        <v>161</v>
      </c>
      <c r="M57" t="s">
        <v>161</v>
      </c>
      <c r="N57">
        <v>891900196</v>
      </c>
      <c r="O57" t="s">
        <v>676</v>
      </c>
      <c r="P57" t="s">
        <v>1072</v>
      </c>
      <c r="Q57" t="s">
        <v>46</v>
      </c>
      <c r="V57" t="s">
        <v>59</v>
      </c>
      <c r="W57" s="10">
        <f t="shared" si="0"/>
        <v>2</v>
      </c>
      <c r="X57" s="10" t="str">
        <f>+ VLOOKUP(W57,'COMISIONES ENERO-MARZO 2025 (2)'!X:Y,2,0)</f>
        <v>Febrero</v>
      </c>
    </row>
    <row r="58" spans="1:24" x14ac:dyDescent="0.35">
      <c r="A58" t="s">
        <v>14</v>
      </c>
      <c r="B58">
        <v>53051501</v>
      </c>
      <c r="C58" t="s">
        <v>15</v>
      </c>
      <c r="D58" s="1">
        <v>1792877.05</v>
      </c>
      <c r="E58" s="1">
        <v>0</v>
      </c>
      <c r="F58" s="1">
        <v>1792877.05</v>
      </c>
      <c r="J58" s="2">
        <v>45713</v>
      </c>
      <c r="K58" t="s">
        <v>102</v>
      </c>
      <c r="L58" t="s">
        <v>103</v>
      </c>
      <c r="M58" t="s">
        <v>103</v>
      </c>
      <c r="N58">
        <v>890800718</v>
      </c>
      <c r="O58" t="s">
        <v>670</v>
      </c>
      <c r="P58">
        <v>860003020</v>
      </c>
      <c r="Q58" t="s">
        <v>40</v>
      </c>
      <c r="V58" t="s">
        <v>59</v>
      </c>
      <c r="W58" s="10">
        <f t="shared" si="0"/>
        <v>2</v>
      </c>
      <c r="X58" s="10" t="str">
        <f>+ VLOOKUP(W58,'COMISIONES ENERO-MARZO 2025 (2)'!X:Y,2,0)</f>
        <v>Febrero</v>
      </c>
    </row>
    <row r="59" spans="1:24" x14ac:dyDescent="0.35">
      <c r="A59" t="s">
        <v>14</v>
      </c>
      <c r="B59">
        <v>53051501</v>
      </c>
      <c r="C59" t="s">
        <v>15</v>
      </c>
      <c r="D59" s="1">
        <v>3529</v>
      </c>
      <c r="E59" s="1">
        <v>0</v>
      </c>
      <c r="F59" s="1">
        <v>3529</v>
      </c>
      <c r="J59" s="2">
        <v>45713</v>
      </c>
      <c r="K59" t="s">
        <v>200</v>
      </c>
      <c r="L59" t="s">
        <v>153</v>
      </c>
      <c r="M59" t="s">
        <v>153</v>
      </c>
      <c r="N59">
        <v>16502466</v>
      </c>
      <c r="O59" t="s">
        <v>1056</v>
      </c>
      <c r="P59">
        <v>890903938</v>
      </c>
      <c r="Q59" t="s">
        <v>29</v>
      </c>
      <c r="V59" t="s">
        <v>59</v>
      </c>
      <c r="W59" s="10">
        <f t="shared" si="0"/>
        <v>2</v>
      </c>
      <c r="X59" s="10" t="str">
        <f>+ VLOOKUP(W59,'COMISIONES ENERO-MARZO 2025 (2)'!X:Y,2,0)</f>
        <v>Febrero</v>
      </c>
    </row>
    <row r="60" spans="1:24" x14ac:dyDescent="0.35">
      <c r="A60" t="s">
        <v>14</v>
      </c>
      <c r="B60">
        <v>53051501</v>
      </c>
      <c r="C60" t="s">
        <v>15</v>
      </c>
      <c r="D60" s="1">
        <v>9251104.7599999998</v>
      </c>
      <c r="E60" s="1">
        <v>0</v>
      </c>
      <c r="F60" s="1">
        <v>9251104.7599999998</v>
      </c>
      <c r="J60" s="2">
        <v>45715</v>
      </c>
      <c r="K60" t="s">
        <v>104</v>
      </c>
      <c r="L60" t="s">
        <v>105</v>
      </c>
      <c r="M60" t="s">
        <v>105</v>
      </c>
      <c r="N60">
        <v>890805267</v>
      </c>
      <c r="O60" t="s">
        <v>1058</v>
      </c>
      <c r="P60">
        <v>860003020</v>
      </c>
      <c r="Q60" t="s">
        <v>40</v>
      </c>
      <c r="V60" t="s">
        <v>59</v>
      </c>
      <c r="W60" s="10">
        <f t="shared" si="0"/>
        <v>2</v>
      </c>
      <c r="X60" s="10" t="str">
        <f>+ VLOOKUP(W60,'COMISIONES ENERO-MARZO 2025 (2)'!X:Y,2,0)</f>
        <v>Febrero</v>
      </c>
    </row>
    <row r="61" spans="1:24" x14ac:dyDescent="0.35">
      <c r="A61" t="s">
        <v>14</v>
      </c>
      <c r="B61">
        <v>53051501</v>
      </c>
      <c r="C61" t="s">
        <v>15</v>
      </c>
      <c r="D61" s="1">
        <v>1162707.26</v>
      </c>
      <c r="E61" s="1">
        <v>0</v>
      </c>
      <c r="F61" s="1">
        <v>1162707.26</v>
      </c>
      <c r="J61" s="2">
        <v>45715</v>
      </c>
      <c r="K61" t="s">
        <v>108</v>
      </c>
      <c r="L61" t="s">
        <v>109</v>
      </c>
      <c r="M61" t="s">
        <v>109</v>
      </c>
      <c r="N61">
        <v>900079775</v>
      </c>
      <c r="O61" t="s">
        <v>1060</v>
      </c>
      <c r="P61">
        <v>860003020</v>
      </c>
      <c r="Q61" t="s">
        <v>40</v>
      </c>
      <c r="V61" t="s">
        <v>59</v>
      </c>
      <c r="W61" s="10">
        <f t="shared" si="0"/>
        <v>2</v>
      </c>
      <c r="X61" s="10" t="str">
        <f>+ VLOOKUP(W61,'COMISIONES ENERO-MARZO 2025 (2)'!X:Y,2,0)</f>
        <v>Febrero</v>
      </c>
    </row>
    <row r="62" spans="1:24" x14ac:dyDescent="0.35">
      <c r="A62" t="s">
        <v>14</v>
      </c>
      <c r="B62">
        <v>53051501</v>
      </c>
      <c r="C62" t="s">
        <v>15</v>
      </c>
      <c r="D62" s="1">
        <v>11424.49</v>
      </c>
      <c r="E62" s="1">
        <v>0</v>
      </c>
      <c r="F62" s="1">
        <v>11424.49</v>
      </c>
      <c r="J62" s="2">
        <v>45715</v>
      </c>
      <c r="K62" t="s">
        <v>162</v>
      </c>
      <c r="L62" t="s">
        <v>163</v>
      </c>
      <c r="M62" t="s">
        <v>163</v>
      </c>
      <c r="N62">
        <v>891900196</v>
      </c>
      <c r="O62" t="s">
        <v>676</v>
      </c>
      <c r="P62">
        <v>800037800</v>
      </c>
      <c r="Q62" t="s">
        <v>37</v>
      </c>
      <c r="V62" t="s">
        <v>59</v>
      </c>
      <c r="W62" s="10">
        <f t="shared" si="0"/>
        <v>2</v>
      </c>
      <c r="X62" s="10" t="str">
        <f>+ VLOOKUP(W62,'COMISIONES ENERO-MARZO 2025 (2)'!X:Y,2,0)</f>
        <v>Febrero</v>
      </c>
    </row>
    <row r="63" spans="1:24" x14ac:dyDescent="0.35">
      <c r="A63" t="s">
        <v>14</v>
      </c>
      <c r="B63">
        <v>53051501</v>
      </c>
      <c r="C63" t="s">
        <v>15</v>
      </c>
      <c r="D63" s="1">
        <v>0</v>
      </c>
      <c r="E63" s="1">
        <v>11424.49</v>
      </c>
      <c r="F63" s="1">
        <v>-11424.49</v>
      </c>
      <c r="J63" s="2">
        <v>45715</v>
      </c>
      <c r="K63" t="s">
        <v>162</v>
      </c>
      <c r="L63" t="s">
        <v>163</v>
      </c>
      <c r="M63" t="s">
        <v>163</v>
      </c>
      <c r="N63">
        <v>891900196</v>
      </c>
      <c r="O63" t="s">
        <v>676</v>
      </c>
      <c r="P63">
        <v>890903938</v>
      </c>
      <c r="Q63" t="s">
        <v>29</v>
      </c>
      <c r="V63" t="s">
        <v>59</v>
      </c>
      <c r="W63" s="10">
        <f t="shared" si="0"/>
        <v>2</v>
      </c>
      <c r="X63" s="10" t="str">
        <f>+ VLOOKUP(W63,'COMISIONES ENERO-MARZO 2025 (2)'!X:Y,2,0)</f>
        <v>Febrero</v>
      </c>
    </row>
    <row r="64" spans="1:24" x14ac:dyDescent="0.35">
      <c r="A64" t="s">
        <v>14</v>
      </c>
      <c r="B64">
        <v>53051501</v>
      </c>
      <c r="C64" t="s">
        <v>15</v>
      </c>
      <c r="D64" s="1">
        <v>239997.6</v>
      </c>
      <c r="E64" s="1">
        <v>0</v>
      </c>
      <c r="F64" s="1">
        <v>239997.6</v>
      </c>
      <c r="J64" s="2">
        <v>45715</v>
      </c>
      <c r="K64" t="s">
        <v>164</v>
      </c>
      <c r="L64" t="s">
        <v>165</v>
      </c>
      <c r="M64" t="s">
        <v>166</v>
      </c>
      <c r="N64">
        <v>891900196</v>
      </c>
      <c r="O64" t="s">
        <v>676</v>
      </c>
      <c r="P64">
        <v>890903937</v>
      </c>
      <c r="Q64" t="s">
        <v>167</v>
      </c>
      <c r="V64" t="s">
        <v>59</v>
      </c>
      <c r="W64" s="10">
        <f t="shared" si="0"/>
        <v>2</v>
      </c>
      <c r="X64" s="10" t="str">
        <f>+ VLOOKUP(W64,'COMISIONES ENERO-MARZO 2025 (2)'!X:Y,2,0)</f>
        <v>Febrero</v>
      </c>
    </row>
    <row r="65" spans="1:24" x14ac:dyDescent="0.35">
      <c r="A65" t="s">
        <v>14</v>
      </c>
      <c r="B65">
        <v>53051501</v>
      </c>
      <c r="C65" t="s">
        <v>15</v>
      </c>
      <c r="D65" s="1">
        <v>3558750</v>
      </c>
      <c r="E65" s="1">
        <v>0</v>
      </c>
      <c r="F65" s="1">
        <v>3558750</v>
      </c>
      <c r="J65" s="2">
        <v>45716</v>
      </c>
      <c r="K65" t="s">
        <v>62</v>
      </c>
      <c r="L65" t="s">
        <v>63</v>
      </c>
      <c r="M65" t="s">
        <v>63</v>
      </c>
      <c r="N65">
        <v>800182281</v>
      </c>
      <c r="O65" t="s">
        <v>44</v>
      </c>
      <c r="P65">
        <v>800182281</v>
      </c>
      <c r="Q65" t="s">
        <v>44</v>
      </c>
      <c r="V65" t="s">
        <v>59</v>
      </c>
      <c r="W65" s="10">
        <f t="shared" si="0"/>
        <v>2</v>
      </c>
      <c r="X65" s="10" t="str">
        <f>+ VLOOKUP(W65,'COMISIONES ENERO-MARZO 2025 (2)'!X:Y,2,0)</f>
        <v>Febrero</v>
      </c>
    </row>
    <row r="66" spans="1:24" x14ac:dyDescent="0.35">
      <c r="A66" t="s">
        <v>14</v>
      </c>
      <c r="B66">
        <v>53051501</v>
      </c>
      <c r="C66" t="s">
        <v>15</v>
      </c>
      <c r="D66" s="1">
        <v>3558750</v>
      </c>
      <c r="E66" s="1">
        <v>0</v>
      </c>
      <c r="F66" s="1">
        <v>3558750</v>
      </c>
      <c r="J66" s="2">
        <v>45716</v>
      </c>
      <c r="K66" t="s">
        <v>64</v>
      </c>
      <c r="L66" t="s">
        <v>65</v>
      </c>
      <c r="M66" t="s">
        <v>65</v>
      </c>
      <c r="N66">
        <v>800141235</v>
      </c>
      <c r="O66" t="s">
        <v>42</v>
      </c>
      <c r="P66">
        <v>800141235</v>
      </c>
      <c r="Q66" t="s">
        <v>42</v>
      </c>
      <c r="V66" t="s">
        <v>59</v>
      </c>
      <c r="W66" s="10">
        <f t="shared" si="0"/>
        <v>2</v>
      </c>
      <c r="X66" s="10" t="str">
        <f>+ VLOOKUP(W66,'COMISIONES ENERO-MARZO 2025 (2)'!X:Y,2,0)</f>
        <v>Febrero</v>
      </c>
    </row>
    <row r="67" spans="1:24" x14ac:dyDescent="0.35">
      <c r="A67" t="s">
        <v>14</v>
      </c>
      <c r="B67">
        <v>53051501</v>
      </c>
      <c r="C67" t="s">
        <v>15</v>
      </c>
      <c r="D67" s="1">
        <v>16300</v>
      </c>
      <c r="E67" s="1">
        <v>0</v>
      </c>
      <c r="F67" s="1">
        <v>16300</v>
      </c>
      <c r="J67" s="2">
        <v>45716</v>
      </c>
      <c r="K67" t="s">
        <v>106</v>
      </c>
      <c r="L67" t="s">
        <v>107</v>
      </c>
      <c r="M67" t="s">
        <v>107</v>
      </c>
      <c r="N67">
        <v>860002964</v>
      </c>
      <c r="O67" t="s">
        <v>19</v>
      </c>
      <c r="P67">
        <v>860002964</v>
      </c>
      <c r="Q67" t="s">
        <v>19</v>
      </c>
      <c r="V67" t="s">
        <v>59</v>
      </c>
      <c r="W67" s="10">
        <f t="shared" ref="W67:W130" si="1">+MONTH(J67)</f>
        <v>2</v>
      </c>
      <c r="X67" s="10" t="str">
        <f>+ VLOOKUP(W67,'COMISIONES ENERO-MARZO 2025 (2)'!X:Y,2,0)</f>
        <v>Febrero</v>
      </c>
    </row>
    <row r="68" spans="1:24" x14ac:dyDescent="0.35">
      <c r="A68" t="s">
        <v>14</v>
      </c>
      <c r="B68">
        <v>53051501</v>
      </c>
      <c r="C68" t="s">
        <v>15</v>
      </c>
      <c r="D68" s="1">
        <v>284369.99</v>
      </c>
      <c r="E68" s="1">
        <v>0</v>
      </c>
      <c r="F68" s="1">
        <v>284369.99</v>
      </c>
      <c r="J68" s="2">
        <v>45716</v>
      </c>
      <c r="K68" t="s">
        <v>110</v>
      </c>
      <c r="L68" t="s">
        <v>111</v>
      </c>
      <c r="M68" t="s">
        <v>111</v>
      </c>
      <c r="N68" t="s">
        <v>1072</v>
      </c>
      <c r="O68" t="s">
        <v>46</v>
      </c>
      <c r="P68" t="s">
        <v>1072</v>
      </c>
      <c r="Q68" t="s">
        <v>46</v>
      </c>
      <c r="V68" t="s">
        <v>59</v>
      </c>
      <c r="W68" s="10">
        <f t="shared" si="1"/>
        <v>2</v>
      </c>
      <c r="X68" s="10" t="str">
        <f>+ VLOOKUP(W68,'COMISIONES ENERO-MARZO 2025 (2)'!X:Y,2,0)</f>
        <v>Febrero</v>
      </c>
    </row>
    <row r="69" spans="1:24" x14ac:dyDescent="0.35">
      <c r="A69" t="s">
        <v>14</v>
      </c>
      <c r="B69">
        <v>53051501</v>
      </c>
      <c r="C69" t="s">
        <v>15</v>
      </c>
      <c r="D69" s="1">
        <v>4199416.6399999997</v>
      </c>
      <c r="E69" s="1">
        <v>0</v>
      </c>
      <c r="F69" s="1">
        <v>4199416.6399999997</v>
      </c>
      <c r="J69" s="2">
        <v>45716</v>
      </c>
      <c r="K69" t="s">
        <v>112</v>
      </c>
      <c r="L69" t="s">
        <v>113</v>
      </c>
      <c r="M69" t="s">
        <v>113</v>
      </c>
      <c r="N69">
        <v>890903938</v>
      </c>
      <c r="O69" t="s">
        <v>29</v>
      </c>
      <c r="P69">
        <v>890903938</v>
      </c>
      <c r="Q69" t="s">
        <v>29</v>
      </c>
      <c r="V69" t="s">
        <v>59</v>
      </c>
      <c r="W69" s="10">
        <f t="shared" si="1"/>
        <v>2</v>
      </c>
      <c r="X69" s="10" t="str">
        <f>+ VLOOKUP(W69,'COMISIONES ENERO-MARZO 2025 (2)'!X:Y,2,0)</f>
        <v>Febrero</v>
      </c>
    </row>
    <row r="70" spans="1:24" x14ac:dyDescent="0.35">
      <c r="A70" t="s">
        <v>14</v>
      </c>
      <c r="B70">
        <v>53051501</v>
      </c>
      <c r="C70" t="s">
        <v>15</v>
      </c>
      <c r="D70" s="1">
        <v>1604625</v>
      </c>
      <c r="E70" s="1">
        <v>0</v>
      </c>
      <c r="F70" s="1">
        <v>1604625</v>
      </c>
      <c r="J70" s="2">
        <v>45716</v>
      </c>
      <c r="K70" t="s">
        <v>114</v>
      </c>
      <c r="L70" t="s">
        <v>115</v>
      </c>
      <c r="M70" t="s">
        <v>116</v>
      </c>
      <c r="N70">
        <v>860002964</v>
      </c>
      <c r="O70" t="s">
        <v>19</v>
      </c>
      <c r="P70">
        <v>860002964</v>
      </c>
      <c r="Q70" t="s">
        <v>19</v>
      </c>
      <c r="V70" t="s">
        <v>59</v>
      </c>
      <c r="W70" s="10">
        <f t="shared" si="1"/>
        <v>2</v>
      </c>
      <c r="X70" s="10" t="str">
        <f>+ VLOOKUP(W70,'COMISIONES ENERO-MARZO 2025 (2)'!X:Y,2,0)</f>
        <v>Febrero</v>
      </c>
    </row>
    <row r="71" spans="1:24" x14ac:dyDescent="0.35">
      <c r="A71" t="s">
        <v>14</v>
      </c>
      <c r="B71">
        <v>53051501</v>
      </c>
      <c r="C71" t="s">
        <v>15</v>
      </c>
      <c r="D71" s="1">
        <v>54140</v>
      </c>
      <c r="E71" s="1">
        <v>0</v>
      </c>
      <c r="F71" s="1">
        <v>54140</v>
      </c>
      <c r="J71" s="2">
        <v>45716</v>
      </c>
      <c r="K71" t="s">
        <v>117</v>
      </c>
      <c r="L71" t="s">
        <v>118</v>
      </c>
      <c r="M71" t="s">
        <v>118</v>
      </c>
      <c r="N71">
        <v>860002964</v>
      </c>
      <c r="O71" t="s">
        <v>19</v>
      </c>
      <c r="P71">
        <v>860002964</v>
      </c>
      <c r="Q71" t="s">
        <v>19</v>
      </c>
      <c r="V71" t="s">
        <v>59</v>
      </c>
      <c r="W71" s="10">
        <f t="shared" si="1"/>
        <v>2</v>
      </c>
      <c r="X71" s="10" t="str">
        <f>+ VLOOKUP(W71,'COMISIONES ENERO-MARZO 2025 (2)'!X:Y,2,0)</f>
        <v>Febrero</v>
      </c>
    </row>
    <row r="72" spans="1:24" x14ac:dyDescent="0.35">
      <c r="A72" t="s">
        <v>14</v>
      </c>
      <c r="B72">
        <v>53051501</v>
      </c>
      <c r="C72" t="s">
        <v>15</v>
      </c>
      <c r="D72" s="1">
        <v>8162148</v>
      </c>
      <c r="E72" s="1">
        <v>0</v>
      </c>
      <c r="F72" s="1">
        <v>8162148</v>
      </c>
      <c r="J72" s="2">
        <v>45716</v>
      </c>
      <c r="K72" t="s">
        <v>119</v>
      </c>
      <c r="L72" t="s">
        <v>120</v>
      </c>
      <c r="M72" t="s">
        <v>120</v>
      </c>
      <c r="N72">
        <v>860034313</v>
      </c>
      <c r="O72" t="s">
        <v>35</v>
      </c>
      <c r="P72">
        <v>860034313</v>
      </c>
      <c r="Q72" t="s">
        <v>35</v>
      </c>
      <c r="V72" t="s">
        <v>59</v>
      </c>
      <c r="W72" s="10">
        <f t="shared" si="1"/>
        <v>2</v>
      </c>
      <c r="X72" s="10" t="str">
        <f>+ VLOOKUP(W72,'COMISIONES ENERO-MARZO 2025 (2)'!X:Y,2,0)</f>
        <v>Febrero</v>
      </c>
    </row>
    <row r="73" spans="1:24" x14ac:dyDescent="0.35">
      <c r="A73" t="s">
        <v>14</v>
      </c>
      <c r="B73">
        <v>53051501</v>
      </c>
      <c r="C73" t="s">
        <v>15</v>
      </c>
      <c r="D73" s="1">
        <v>0</v>
      </c>
      <c r="E73" s="1">
        <v>639375</v>
      </c>
      <c r="F73" s="1">
        <v>-639375</v>
      </c>
      <c r="J73" s="2">
        <v>45716</v>
      </c>
      <c r="K73" t="s">
        <v>168</v>
      </c>
      <c r="L73" t="s">
        <v>169</v>
      </c>
      <c r="M73" t="s">
        <v>169</v>
      </c>
      <c r="N73">
        <v>900079775</v>
      </c>
      <c r="O73" t="s">
        <v>1060</v>
      </c>
      <c r="P73">
        <v>860003020</v>
      </c>
      <c r="Q73" t="s">
        <v>40</v>
      </c>
      <c r="V73" t="s">
        <v>59</v>
      </c>
      <c r="W73" s="10">
        <f t="shared" si="1"/>
        <v>2</v>
      </c>
      <c r="X73" s="10" t="str">
        <f>+ VLOOKUP(W73,'COMISIONES ENERO-MARZO 2025 (2)'!X:Y,2,0)</f>
        <v>Febrero</v>
      </c>
    </row>
    <row r="74" spans="1:24" x14ac:dyDescent="0.35">
      <c r="A74" t="s">
        <v>14</v>
      </c>
      <c r="B74">
        <v>53051501</v>
      </c>
      <c r="C74" t="s">
        <v>15</v>
      </c>
      <c r="D74" s="1">
        <v>37562145.5</v>
      </c>
      <c r="E74" s="1">
        <v>0</v>
      </c>
      <c r="F74" s="1">
        <v>37562145.5</v>
      </c>
      <c r="J74" s="2">
        <v>45716</v>
      </c>
      <c r="K74" t="s">
        <v>170</v>
      </c>
      <c r="L74" t="s">
        <v>171</v>
      </c>
      <c r="M74" t="s">
        <v>171</v>
      </c>
      <c r="N74">
        <v>891900196</v>
      </c>
      <c r="O74" t="s">
        <v>676</v>
      </c>
      <c r="P74">
        <v>860003020</v>
      </c>
      <c r="Q74" t="s">
        <v>40</v>
      </c>
      <c r="V74" t="s">
        <v>59</v>
      </c>
      <c r="W74" s="10">
        <f t="shared" si="1"/>
        <v>2</v>
      </c>
      <c r="X74" s="10" t="str">
        <f>+ VLOOKUP(W74,'COMISIONES ENERO-MARZO 2025 (2)'!X:Y,2,0)</f>
        <v>Febrero</v>
      </c>
    </row>
    <row r="75" spans="1:24" x14ac:dyDescent="0.35">
      <c r="A75" t="s">
        <v>14</v>
      </c>
      <c r="B75">
        <v>53051501</v>
      </c>
      <c r="C75" t="s">
        <v>15</v>
      </c>
      <c r="D75" s="1">
        <v>3496088</v>
      </c>
      <c r="E75" s="1">
        <v>0</v>
      </c>
      <c r="F75" s="1">
        <v>3496088</v>
      </c>
      <c r="J75" s="2">
        <v>45716</v>
      </c>
      <c r="K75" t="s">
        <v>170</v>
      </c>
      <c r="L75" t="s">
        <v>171</v>
      </c>
      <c r="M75" t="s">
        <v>171</v>
      </c>
      <c r="N75">
        <v>891900196</v>
      </c>
      <c r="O75" t="s">
        <v>676</v>
      </c>
      <c r="P75">
        <v>900296536</v>
      </c>
      <c r="Q75" t="s">
        <v>172</v>
      </c>
      <c r="V75" t="s">
        <v>59</v>
      </c>
      <c r="W75" s="10">
        <f t="shared" si="1"/>
        <v>2</v>
      </c>
      <c r="X75" s="10" t="str">
        <f>+ VLOOKUP(W75,'COMISIONES ENERO-MARZO 2025 (2)'!X:Y,2,0)</f>
        <v>Febrero</v>
      </c>
    </row>
    <row r="76" spans="1:24" x14ac:dyDescent="0.35">
      <c r="A76" t="s">
        <v>14</v>
      </c>
      <c r="B76">
        <v>53051501</v>
      </c>
      <c r="C76" t="s">
        <v>15</v>
      </c>
      <c r="D76" s="1">
        <v>2230352.23</v>
      </c>
      <c r="E76" s="1">
        <v>0</v>
      </c>
      <c r="F76" s="1">
        <v>2230352.23</v>
      </c>
      <c r="J76" s="2">
        <v>45716</v>
      </c>
      <c r="K76" t="s">
        <v>173</v>
      </c>
      <c r="L76" t="s">
        <v>174</v>
      </c>
      <c r="M76" t="s">
        <v>174</v>
      </c>
      <c r="N76">
        <v>860003020</v>
      </c>
      <c r="O76" t="s">
        <v>40</v>
      </c>
      <c r="P76">
        <v>860003020</v>
      </c>
      <c r="Q76" t="s">
        <v>40</v>
      </c>
      <c r="V76" t="s">
        <v>59</v>
      </c>
      <c r="W76" s="10">
        <f t="shared" si="1"/>
        <v>2</v>
      </c>
      <c r="X76" s="10" t="str">
        <f>+ VLOOKUP(W76,'COMISIONES ENERO-MARZO 2025 (2)'!X:Y,2,0)</f>
        <v>Febrero</v>
      </c>
    </row>
    <row r="77" spans="1:24" x14ac:dyDescent="0.35">
      <c r="A77" t="s">
        <v>14</v>
      </c>
      <c r="B77">
        <v>53051501</v>
      </c>
      <c r="C77" t="s">
        <v>15</v>
      </c>
      <c r="D77" s="1">
        <v>5112511</v>
      </c>
      <c r="E77" s="1">
        <v>0</v>
      </c>
      <c r="F77" s="1">
        <v>5112511</v>
      </c>
      <c r="J77" s="2">
        <v>45716</v>
      </c>
      <c r="K77" t="s">
        <v>201</v>
      </c>
      <c r="L77" t="s">
        <v>202</v>
      </c>
      <c r="M77" t="s">
        <v>202</v>
      </c>
      <c r="N77">
        <v>805000867</v>
      </c>
      <c r="O77" t="s">
        <v>203</v>
      </c>
      <c r="P77">
        <v>805000867</v>
      </c>
      <c r="Q77" t="s">
        <v>203</v>
      </c>
      <c r="V77" t="s">
        <v>59</v>
      </c>
      <c r="W77" s="10">
        <f t="shared" si="1"/>
        <v>2</v>
      </c>
      <c r="X77" s="10" t="str">
        <f>+ VLOOKUP(W77,'COMISIONES ENERO-MARZO 2025 (2)'!X:Y,2,0)</f>
        <v>Febrero</v>
      </c>
    </row>
    <row r="78" spans="1:24" x14ac:dyDescent="0.35">
      <c r="A78" t="s">
        <v>14</v>
      </c>
      <c r="B78">
        <v>53051501</v>
      </c>
      <c r="C78" t="s">
        <v>15</v>
      </c>
      <c r="D78" s="1">
        <v>17909491</v>
      </c>
      <c r="E78" s="1">
        <v>0</v>
      </c>
      <c r="F78" s="1">
        <v>17909491</v>
      </c>
      <c r="J78" s="2">
        <v>45716</v>
      </c>
      <c r="K78" t="s">
        <v>204</v>
      </c>
      <c r="L78" t="s">
        <v>205</v>
      </c>
      <c r="M78" t="s">
        <v>205</v>
      </c>
      <c r="N78">
        <v>805000867</v>
      </c>
      <c r="O78" t="s">
        <v>203</v>
      </c>
      <c r="P78">
        <v>805000867</v>
      </c>
      <c r="Q78" t="s">
        <v>203</v>
      </c>
      <c r="V78" t="s">
        <v>59</v>
      </c>
      <c r="W78" s="10">
        <f t="shared" si="1"/>
        <v>2</v>
      </c>
      <c r="X78" s="10" t="str">
        <f>+ VLOOKUP(W78,'COMISIONES ENERO-MARZO 2025 (2)'!X:Y,2,0)</f>
        <v>Febrero</v>
      </c>
    </row>
    <row r="79" spans="1:24" x14ac:dyDescent="0.35">
      <c r="A79" t="s">
        <v>14</v>
      </c>
      <c r="B79">
        <v>53051501</v>
      </c>
      <c r="C79" t="s">
        <v>15</v>
      </c>
      <c r="D79" s="1">
        <v>3529</v>
      </c>
      <c r="E79" s="1">
        <v>0</v>
      </c>
      <c r="F79" s="1">
        <v>3529</v>
      </c>
      <c r="J79" s="2">
        <v>45720</v>
      </c>
      <c r="K79" t="s">
        <v>206</v>
      </c>
      <c r="L79" t="s">
        <v>151</v>
      </c>
      <c r="M79" t="s">
        <v>151</v>
      </c>
      <c r="N79">
        <v>1144185697</v>
      </c>
      <c r="O79" t="s">
        <v>1057</v>
      </c>
      <c r="P79">
        <v>890903938</v>
      </c>
      <c r="Q79" t="s">
        <v>29</v>
      </c>
      <c r="V79" t="s">
        <v>59</v>
      </c>
      <c r="W79" s="10">
        <f t="shared" si="1"/>
        <v>3</v>
      </c>
      <c r="X79" s="10" t="str">
        <f>+ VLOOKUP(W79,'COMISIONES ENERO-MARZO 2025 (2)'!X:Y,2,0)</f>
        <v>Marzo</v>
      </c>
    </row>
    <row r="80" spans="1:24" x14ac:dyDescent="0.35">
      <c r="A80" t="s">
        <v>14</v>
      </c>
      <c r="B80">
        <v>53051501</v>
      </c>
      <c r="C80" t="s">
        <v>15</v>
      </c>
      <c r="D80" s="1">
        <v>3529</v>
      </c>
      <c r="E80" s="1">
        <v>0</v>
      </c>
      <c r="F80" s="1">
        <v>3529</v>
      </c>
      <c r="J80" s="2">
        <v>45720</v>
      </c>
      <c r="K80" t="s">
        <v>207</v>
      </c>
      <c r="L80" t="s">
        <v>208</v>
      </c>
      <c r="M80" t="s">
        <v>208</v>
      </c>
      <c r="N80">
        <v>16502466</v>
      </c>
      <c r="O80" t="s">
        <v>1056</v>
      </c>
      <c r="P80">
        <v>890903938</v>
      </c>
      <c r="Q80" t="s">
        <v>29</v>
      </c>
      <c r="V80" t="s">
        <v>59</v>
      </c>
      <c r="W80" s="10">
        <f t="shared" si="1"/>
        <v>3</v>
      </c>
      <c r="X80" s="10" t="str">
        <f>+ VLOOKUP(W80,'COMISIONES ENERO-MARZO 2025 (2)'!X:Y,2,0)</f>
        <v>Marzo</v>
      </c>
    </row>
    <row r="81" spans="1:24" x14ac:dyDescent="0.35">
      <c r="A81" t="s">
        <v>14</v>
      </c>
      <c r="B81">
        <v>53051501</v>
      </c>
      <c r="C81" t="s">
        <v>15</v>
      </c>
      <c r="D81" s="1">
        <v>3529</v>
      </c>
      <c r="E81" s="1">
        <v>0</v>
      </c>
      <c r="F81" s="1">
        <v>3529</v>
      </c>
      <c r="J81" s="2">
        <v>45721</v>
      </c>
      <c r="K81" t="s">
        <v>209</v>
      </c>
      <c r="L81" t="s">
        <v>151</v>
      </c>
      <c r="M81" t="s">
        <v>151</v>
      </c>
      <c r="N81">
        <v>29760690</v>
      </c>
      <c r="O81" t="s">
        <v>1061</v>
      </c>
      <c r="P81">
        <v>890903938</v>
      </c>
      <c r="Q81" t="s">
        <v>29</v>
      </c>
      <c r="V81" t="s">
        <v>59</v>
      </c>
      <c r="W81" s="10">
        <f t="shared" si="1"/>
        <v>3</v>
      </c>
      <c r="X81" s="10" t="str">
        <f>+ VLOOKUP(W81,'COMISIONES ENERO-MARZO 2025 (2)'!X:Y,2,0)</f>
        <v>Marzo</v>
      </c>
    </row>
    <row r="82" spans="1:24" x14ac:dyDescent="0.35">
      <c r="A82" t="s">
        <v>14</v>
      </c>
      <c r="B82">
        <v>53051501</v>
      </c>
      <c r="C82" t="s">
        <v>15</v>
      </c>
      <c r="D82" s="1">
        <v>3529</v>
      </c>
      <c r="E82" s="1">
        <v>0</v>
      </c>
      <c r="F82" s="1">
        <v>3529</v>
      </c>
      <c r="J82" s="2">
        <v>45721</v>
      </c>
      <c r="K82" t="s">
        <v>210</v>
      </c>
      <c r="L82" t="s">
        <v>194</v>
      </c>
      <c r="M82" t="s">
        <v>194</v>
      </c>
      <c r="N82">
        <v>16502466</v>
      </c>
      <c r="O82" t="s">
        <v>1056</v>
      </c>
      <c r="P82">
        <v>890903938</v>
      </c>
      <c r="Q82" t="s">
        <v>29</v>
      </c>
      <c r="V82" t="s">
        <v>59</v>
      </c>
      <c r="W82" s="10">
        <f t="shared" si="1"/>
        <v>3</v>
      </c>
      <c r="X82" s="10" t="str">
        <f>+ VLOOKUP(W82,'COMISIONES ENERO-MARZO 2025 (2)'!X:Y,2,0)</f>
        <v>Marzo</v>
      </c>
    </row>
    <row r="83" spans="1:24" x14ac:dyDescent="0.35">
      <c r="A83" t="s">
        <v>14</v>
      </c>
      <c r="B83">
        <v>53051501</v>
      </c>
      <c r="C83" t="s">
        <v>15</v>
      </c>
      <c r="D83" s="1">
        <v>12052</v>
      </c>
      <c r="E83" s="1">
        <v>0</v>
      </c>
      <c r="F83" s="1">
        <v>12052</v>
      </c>
      <c r="J83" s="2">
        <v>45722</v>
      </c>
      <c r="K83" t="s">
        <v>121</v>
      </c>
      <c r="L83" t="s">
        <v>122</v>
      </c>
      <c r="M83" t="s">
        <v>122</v>
      </c>
      <c r="N83">
        <v>800037800</v>
      </c>
      <c r="O83" t="s">
        <v>37</v>
      </c>
      <c r="P83">
        <v>800037800</v>
      </c>
      <c r="Q83" t="s">
        <v>37</v>
      </c>
      <c r="V83" t="s">
        <v>59</v>
      </c>
      <c r="W83" s="10">
        <f t="shared" si="1"/>
        <v>3</v>
      </c>
      <c r="X83" s="10" t="str">
        <f>+ VLOOKUP(W83,'COMISIONES ENERO-MARZO 2025 (2)'!X:Y,2,0)</f>
        <v>Marzo</v>
      </c>
    </row>
    <row r="84" spans="1:24" x14ac:dyDescent="0.35">
      <c r="A84" t="s">
        <v>14</v>
      </c>
      <c r="B84">
        <v>53051501</v>
      </c>
      <c r="C84" t="s">
        <v>15</v>
      </c>
      <c r="D84" s="1">
        <v>1069455.6299999999</v>
      </c>
      <c r="E84" s="1">
        <v>0</v>
      </c>
      <c r="F84" s="1">
        <v>1069455.6299999999</v>
      </c>
      <c r="J84" s="2">
        <v>45722</v>
      </c>
      <c r="K84" t="s">
        <v>175</v>
      </c>
      <c r="L84" t="s">
        <v>176</v>
      </c>
      <c r="M84" t="s">
        <v>176</v>
      </c>
      <c r="N84">
        <v>900079775</v>
      </c>
      <c r="O84" t="s">
        <v>1060</v>
      </c>
      <c r="P84">
        <v>860003020</v>
      </c>
      <c r="Q84" t="s">
        <v>40</v>
      </c>
      <c r="V84" t="s">
        <v>59</v>
      </c>
      <c r="W84" s="10">
        <f t="shared" si="1"/>
        <v>3</v>
      </c>
      <c r="X84" s="10" t="str">
        <f>+ VLOOKUP(W84,'COMISIONES ENERO-MARZO 2025 (2)'!X:Y,2,0)</f>
        <v>Marzo</v>
      </c>
    </row>
    <row r="85" spans="1:24" x14ac:dyDescent="0.35">
      <c r="A85" t="s">
        <v>14</v>
      </c>
      <c r="B85">
        <v>53051501</v>
      </c>
      <c r="C85" t="s">
        <v>15</v>
      </c>
      <c r="D85" s="1">
        <v>59241903.100000001</v>
      </c>
      <c r="E85" s="1">
        <v>0</v>
      </c>
      <c r="F85" s="1">
        <v>59241903.100000001</v>
      </c>
      <c r="J85" s="2">
        <v>45724</v>
      </c>
      <c r="K85" t="s">
        <v>177</v>
      </c>
      <c r="L85" t="s">
        <v>178</v>
      </c>
      <c r="M85" t="s">
        <v>178</v>
      </c>
      <c r="N85">
        <v>891900196</v>
      </c>
      <c r="O85" t="s">
        <v>676</v>
      </c>
      <c r="P85">
        <v>860003020</v>
      </c>
      <c r="Q85" t="s">
        <v>40</v>
      </c>
      <c r="V85" t="s">
        <v>59</v>
      </c>
      <c r="W85" s="10">
        <f t="shared" si="1"/>
        <v>3</v>
      </c>
      <c r="X85" s="10" t="str">
        <f>+ VLOOKUP(W85,'COMISIONES ENERO-MARZO 2025 (2)'!X:Y,2,0)</f>
        <v>Marzo</v>
      </c>
    </row>
    <row r="86" spans="1:24" x14ac:dyDescent="0.35">
      <c r="A86" t="s">
        <v>14</v>
      </c>
      <c r="B86">
        <v>53051501</v>
      </c>
      <c r="C86" t="s">
        <v>15</v>
      </c>
      <c r="D86" s="1">
        <v>3529</v>
      </c>
      <c r="E86" s="1">
        <v>0</v>
      </c>
      <c r="F86" s="1">
        <v>3529</v>
      </c>
      <c r="J86" s="2">
        <v>45727</v>
      </c>
      <c r="K86" t="s">
        <v>211</v>
      </c>
      <c r="L86" t="s">
        <v>212</v>
      </c>
      <c r="M86" t="s">
        <v>213</v>
      </c>
      <c r="N86">
        <v>1144185697</v>
      </c>
      <c r="O86" t="s">
        <v>1057</v>
      </c>
      <c r="P86">
        <v>890903938</v>
      </c>
      <c r="Q86" t="s">
        <v>29</v>
      </c>
      <c r="V86" t="s">
        <v>59</v>
      </c>
      <c r="W86" s="10">
        <f t="shared" si="1"/>
        <v>3</v>
      </c>
      <c r="X86" s="10" t="str">
        <f>+ VLOOKUP(W86,'COMISIONES ENERO-MARZO 2025 (2)'!X:Y,2,0)</f>
        <v>Marzo</v>
      </c>
    </row>
    <row r="87" spans="1:24" x14ac:dyDescent="0.35">
      <c r="A87" t="s">
        <v>14</v>
      </c>
      <c r="B87">
        <v>53051501</v>
      </c>
      <c r="C87" t="s">
        <v>15</v>
      </c>
      <c r="D87" s="1">
        <v>3529</v>
      </c>
      <c r="E87" s="1">
        <v>0</v>
      </c>
      <c r="F87" s="1">
        <v>3529</v>
      </c>
      <c r="J87" s="2">
        <v>45727</v>
      </c>
      <c r="K87" t="s">
        <v>214</v>
      </c>
      <c r="L87" t="s">
        <v>151</v>
      </c>
      <c r="M87" t="s">
        <v>151</v>
      </c>
      <c r="N87">
        <v>16502466</v>
      </c>
      <c r="O87" t="s">
        <v>1056</v>
      </c>
      <c r="P87">
        <v>890903938</v>
      </c>
      <c r="Q87" t="s">
        <v>29</v>
      </c>
      <c r="V87" t="s">
        <v>59</v>
      </c>
      <c r="W87" s="10">
        <f t="shared" si="1"/>
        <v>3</v>
      </c>
      <c r="X87" s="10" t="str">
        <f>+ VLOOKUP(W87,'COMISIONES ENERO-MARZO 2025 (2)'!X:Y,2,0)</f>
        <v>Marzo</v>
      </c>
    </row>
    <row r="88" spans="1:24" x14ac:dyDescent="0.35">
      <c r="A88" t="s">
        <v>14</v>
      </c>
      <c r="B88">
        <v>53051501</v>
      </c>
      <c r="C88" t="s">
        <v>15</v>
      </c>
      <c r="D88" s="1">
        <v>711750</v>
      </c>
      <c r="E88" s="1">
        <v>0</v>
      </c>
      <c r="F88" s="1">
        <v>711750</v>
      </c>
      <c r="J88" s="2">
        <v>45733</v>
      </c>
      <c r="K88" t="s">
        <v>66</v>
      </c>
      <c r="L88" t="s">
        <v>67</v>
      </c>
      <c r="M88" t="s">
        <v>67</v>
      </c>
      <c r="N88">
        <v>800141235</v>
      </c>
      <c r="O88" t="s">
        <v>42</v>
      </c>
      <c r="P88">
        <v>800141235</v>
      </c>
      <c r="Q88" t="s">
        <v>42</v>
      </c>
      <c r="V88" t="s">
        <v>59</v>
      </c>
      <c r="W88" s="10">
        <f t="shared" si="1"/>
        <v>3</v>
      </c>
      <c r="X88" s="10" t="str">
        <f>+ VLOOKUP(W88,'COMISIONES ENERO-MARZO 2025 (2)'!X:Y,2,0)</f>
        <v>Marzo</v>
      </c>
    </row>
    <row r="89" spans="1:24" x14ac:dyDescent="0.35">
      <c r="A89" t="s">
        <v>14</v>
      </c>
      <c r="B89">
        <v>53051501</v>
      </c>
      <c r="C89" t="s">
        <v>15</v>
      </c>
      <c r="D89" s="1">
        <v>3558750</v>
      </c>
      <c r="E89" s="1">
        <v>0</v>
      </c>
      <c r="F89" s="1">
        <v>3558750</v>
      </c>
      <c r="J89" s="2">
        <v>45733</v>
      </c>
      <c r="K89" t="s">
        <v>68</v>
      </c>
      <c r="L89" t="s">
        <v>69</v>
      </c>
      <c r="M89" t="s">
        <v>69</v>
      </c>
      <c r="N89">
        <v>800141235</v>
      </c>
      <c r="O89" t="s">
        <v>42</v>
      </c>
      <c r="P89">
        <v>800141235</v>
      </c>
      <c r="Q89" t="s">
        <v>42</v>
      </c>
      <c r="V89" t="s">
        <v>59</v>
      </c>
      <c r="W89" s="10">
        <f t="shared" si="1"/>
        <v>3</v>
      </c>
      <c r="X89" s="10" t="str">
        <f>+ VLOOKUP(W89,'COMISIONES ENERO-MARZO 2025 (2)'!X:Y,2,0)</f>
        <v>Marzo</v>
      </c>
    </row>
    <row r="90" spans="1:24" x14ac:dyDescent="0.35">
      <c r="A90" t="s">
        <v>14</v>
      </c>
      <c r="B90">
        <v>53051501</v>
      </c>
      <c r="C90" t="s">
        <v>15</v>
      </c>
      <c r="D90" s="1">
        <v>3558750</v>
      </c>
      <c r="E90" s="1">
        <v>0</v>
      </c>
      <c r="F90" s="1">
        <v>3558750</v>
      </c>
      <c r="J90" s="2">
        <v>45733</v>
      </c>
      <c r="K90" t="s">
        <v>70</v>
      </c>
      <c r="L90" t="s">
        <v>71</v>
      </c>
      <c r="M90" t="s">
        <v>72</v>
      </c>
      <c r="N90">
        <v>800182281</v>
      </c>
      <c r="O90" t="s">
        <v>44</v>
      </c>
      <c r="P90">
        <v>800182281</v>
      </c>
      <c r="Q90" t="s">
        <v>44</v>
      </c>
      <c r="V90" t="s">
        <v>59</v>
      </c>
      <c r="W90" s="10">
        <f t="shared" si="1"/>
        <v>3</v>
      </c>
      <c r="X90" s="10" t="str">
        <f>+ VLOOKUP(W90,'COMISIONES ENERO-MARZO 2025 (2)'!X:Y,2,0)</f>
        <v>Marzo</v>
      </c>
    </row>
    <row r="91" spans="1:24" x14ac:dyDescent="0.35">
      <c r="A91" t="s">
        <v>14</v>
      </c>
      <c r="B91">
        <v>53051501</v>
      </c>
      <c r="C91" t="s">
        <v>15</v>
      </c>
      <c r="D91" s="1">
        <v>1423500</v>
      </c>
      <c r="E91" s="1">
        <v>0</v>
      </c>
      <c r="F91" s="1">
        <v>1423500</v>
      </c>
      <c r="J91" s="2">
        <v>45736</v>
      </c>
      <c r="K91" t="s">
        <v>73</v>
      </c>
      <c r="L91" t="s">
        <v>74</v>
      </c>
      <c r="M91" t="s">
        <v>74</v>
      </c>
      <c r="N91">
        <v>860531315</v>
      </c>
      <c r="O91" t="s">
        <v>75</v>
      </c>
      <c r="P91">
        <v>860531315</v>
      </c>
      <c r="Q91" t="s">
        <v>75</v>
      </c>
      <c r="V91" t="s">
        <v>59</v>
      </c>
      <c r="W91" s="10">
        <f t="shared" si="1"/>
        <v>3</v>
      </c>
      <c r="X91" s="10" t="str">
        <f>+ VLOOKUP(W91,'COMISIONES ENERO-MARZO 2025 (2)'!X:Y,2,0)</f>
        <v>Marzo</v>
      </c>
    </row>
    <row r="92" spans="1:24" x14ac:dyDescent="0.35">
      <c r="A92" t="s">
        <v>14</v>
      </c>
      <c r="B92">
        <v>53051501</v>
      </c>
      <c r="C92" t="s">
        <v>15</v>
      </c>
      <c r="D92" s="1">
        <v>1675065</v>
      </c>
      <c r="E92" s="1">
        <v>0</v>
      </c>
      <c r="F92" s="1">
        <v>1675065</v>
      </c>
      <c r="J92" s="2">
        <v>45737</v>
      </c>
      <c r="K92" t="s">
        <v>47</v>
      </c>
      <c r="L92" t="s">
        <v>48</v>
      </c>
      <c r="M92" t="s">
        <v>48</v>
      </c>
      <c r="N92">
        <v>860002964</v>
      </c>
      <c r="O92" t="s">
        <v>19</v>
      </c>
      <c r="P92">
        <v>860002964</v>
      </c>
      <c r="Q92" t="s">
        <v>19</v>
      </c>
      <c r="V92" t="s">
        <v>20</v>
      </c>
      <c r="W92" s="10">
        <f t="shared" si="1"/>
        <v>3</v>
      </c>
      <c r="X92" s="10" t="str">
        <f>+ VLOOKUP(W92,'COMISIONES ENERO-MARZO 2025 (2)'!X:Y,2,0)</f>
        <v>Marzo</v>
      </c>
    </row>
    <row r="93" spans="1:24" x14ac:dyDescent="0.35">
      <c r="A93" t="s">
        <v>14</v>
      </c>
      <c r="B93">
        <v>53051501</v>
      </c>
      <c r="C93" t="s">
        <v>15</v>
      </c>
      <c r="D93" s="1">
        <v>4209166.1500000004</v>
      </c>
      <c r="E93" s="1">
        <v>0</v>
      </c>
      <c r="F93" s="1">
        <v>4209166.1500000004</v>
      </c>
      <c r="J93" s="2">
        <v>45737</v>
      </c>
      <c r="K93" t="s">
        <v>49</v>
      </c>
      <c r="L93" t="s">
        <v>48</v>
      </c>
      <c r="M93" t="s">
        <v>48</v>
      </c>
      <c r="N93">
        <v>890903938</v>
      </c>
      <c r="O93" t="s">
        <v>29</v>
      </c>
      <c r="P93">
        <v>890903938</v>
      </c>
      <c r="Q93" t="s">
        <v>29</v>
      </c>
      <c r="V93" t="s">
        <v>20</v>
      </c>
      <c r="W93" s="10">
        <f t="shared" si="1"/>
        <v>3</v>
      </c>
      <c r="X93" s="10" t="str">
        <f>+ VLOOKUP(W93,'COMISIONES ENERO-MARZO 2025 (2)'!X:Y,2,0)</f>
        <v>Marzo</v>
      </c>
    </row>
    <row r="94" spans="1:24" x14ac:dyDescent="0.35">
      <c r="A94" t="s">
        <v>14</v>
      </c>
      <c r="B94">
        <v>53051501</v>
      </c>
      <c r="C94" t="s">
        <v>15</v>
      </c>
      <c r="D94" s="1">
        <v>8162148</v>
      </c>
      <c r="E94" s="1">
        <v>0</v>
      </c>
      <c r="F94" s="1">
        <v>8162148</v>
      </c>
      <c r="J94" s="2">
        <v>45737</v>
      </c>
      <c r="K94" t="s">
        <v>50</v>
      </c>
      <c r="L94" t="s">
        <v>51</v>
      </c>
      <c r="M94" t="s">
        <v>51</v>
      </c>
      <c r="N94">
        <v>860034313</v>
      </c>
      <c r="O94" t="s">
        <v>35</v>
      </c>
      <c r="P94">
        <v>860034313</v>
      </c>
      <c r="Q94" t="s">
        <v>35</v>
      </c>
      <c r="V94" t="s">
        <v>20</v>
      </c>
      <c r="W94" s="10">
        <f t="shared" si="1"/>
        <v>3</v>
      </c>
      <c r="X94" s="10" t="str">
        <f>+ VLOOKUP(W94,'COMISIONES ENERO-MARZO 2025 (2)'!X:Y,2,0)</f>
        <v>Marzo</v>
      </c>
    </row>
    <row r="95" spans="1:24" x14ac:dyDescent="0.35">
      <c r="A95" t="s">
        <v>14</v>
      </c>
      <c r="B95">
        <v>53051501</v>
      </c>
      <c r="C95" t="s">
        <v>15</v>
      </c>
      <c r="D95" s="1">
        <v>32028.49</v>
      </c>
      <c r="E95" s="1">
        <v>0</v>
      </c>
      <c r="F95" s="1">
        <v>32028.49</v>
      </c>
      <c r="J95" s="2">
        <v>45737</v>
      </c>
      <c r="K95" t="s">
        <v>52</v>
      </c>
      <c r="L95" t="s">
        <v>48</v>
      </c>
      <c r="M95" t="s">
        <v>48</v>
      </c>
      <c r="N95">
        <v>800037800</v>
      </c>
      <c r="O95" t="s">
        <v>37</v>
      </c>
      <c r="P95">
        <v>800037800</v>
      </c>
      <c r="Q95" t="s">
        <v>37</v>
      </c>
      <c r="V95" t="s">
        <v>20</v>
      </c>
      <c r="W95" s="10">
        <f t="shared" si="1"/>
        <v>3</v>
      </c>
      <c r="X95" s="10" t="str">
        <f>+ VLOOKUP(W95,'COMISIONES ENERO-MARZO 2025 (2)'!X:Y,2,0)</f>
        <v>Marzo</v>
      </c>
    </row>
    <row r="96" spans="1:24" x14ac:dyDescent="0.35">
      <c r="A96" t="s">
        <v>14</v>
      </c>
      <c r="B96">
        <v>53051501</v>
      </c>
      <c r="C96" t="s">
        <v>15</v>
      </c>
      <c r="D96" s="1">
        <v>51359811.799999997</v>
      </c>
      <c r="E96" s="1">
        <v>0</v>
      </c>
      <c r="F96" s="1">
        <v>51359811.799999997</v>
      </c>
      <c r="J96" s="2">
        <v>45737</v>
      </c>
      <c r="K96" t="s">
        <v>53</v>
      </c>
      <c r="L96" t="s">
        <v>48</v>
      </c>
      <c r="M96" t="s">
        <v>48</v>
      </c>
      <c r="N96">
        <v>860003020</v>
      </c>
      <c r="O96" t="s">
        <v>40</v>
      </c>
      <c r="P96">
        <v>860003020</v>
      </c>
      <c r="Q96" t="s">
        <v>40</v>
      </c>
      <c r="V96" t="s">
        <v>20</v>
      </c>
      <c r="W96" s="10">
        <f t="shared" si="1"/>
        <v>3</v>
      </c>
      <c r="X96" s="10" t="str">
        <f>+ VLOOKUP(W96,'COMISIONES ENERO-MARZO 2025 (2)'!X:Y,2,0)</f>
        <v>Marzo</v>
      </c>
    </row>
    <row r="97" spans="1:24" x14ac:dyDescent="0.35">
      <c r="A97" t="s">
        <v>14</v>
      </c>
      <c r="B97">
        <v>53051501</v>
      </c>
      <c r="C97" t="s">
        <v>15</v>
      </c>
      <c r="D97" s="1">
        <v>3558750</v>
      </c>
      <c r="E97" s="1">
        <v>0</v>
      </c>
      <c r="F97" s="1">
        <v>3558750</v>
      </c>
      <c r="J97" s="2">
        <v>45737</v>
      </c>
      <c r="K97" t="s">
        <v>54</v>
      </c>
      <c r="L97" t="s">
        <v>48</v>
      </c>
      <c r="M97" t="s">
        <v>48</v>
      </c>
      <c r="N97">
        <v>800141235</v>
      </c>
      <c r="O97" t="s">
        <v>42</v>
      </c>
      <c r="P97">
        <v>800141235</v>
      </c>
      <c r="Q97" t="s">
        <v>42</v>
      </c>
      <c r="V97" t="s">
        <v>20</v>
      </c>
      <c r="W97" s="10">
        <f t="shared" si="1"/>
        <v>3</v>
      </c>
      <c r="X97" s="10" t="str">
        <f>+ VLOOKUP(W97,'COMISIONES ENERO-MARZO 2025 (2)'!X:Y,2,0)</f>
        <v>Marzo</v>
      </c>
    </row>
    <row r="98" spans="1:24" x14ac:dyDescent="0.35">
      <c r="A98" t="s">
        <v>14</v>
      </c>
      <c r="B98">
        <v>53051501</v>
      </c>
      <c r="C98" t="s">
        <v>15</v>
      </c>
      <c r="D98" s="1">
        <v>3558750</v>
      </c>
      <c r="E98" s="1">
        <v>0</v>
      </c>
      <c r="F98" s="1">
        <v>3558750</v>
      </c>
      <c r="J98" s="2">
        <v>45737</v>
      </c>
      <c r="K98" t="s">
        <v>55</v>
      </c>
      <c r="L98" t="s">
        <v>48</v>
      </c>
      <c r="M98" t="s">
        <v>48</v>
      </c>
      <c r="N98">
        <v>800182281</v>
      </c>
      <c r="O98" t="s">
        <v>44</v>
      </c>
      <c r="P98">
        <v>800182281</v>
      </c>
      <c r="Q98" t="s">
        <v>44</v>
      </c>
      <c r="V98" t="s">
        <v>20</v>
      </c>
      <c r="W98" s="10">
        <f t="shared" si="1"/>
        <v>3</v>
      </c>
      <c r="X98" s="10" t="str">
        <f>+ VLOOKUP(W98,'COMISIONES ENERO-MARZO 2025 (2)'!X:Y,2,0)</f>
        <v>Marzo</v>
      </c>
    </row>
    <row r="99" spans="1:24" x14ac:dyDescent="0.35">
      <c r="A99" t="s">
        <v>14</v>
      </c>
      <c r="B99">
        <v>53051501</v>
      </c>
      <c r="C99" t="s">
        <v>15</v>
      </c>
      <c r="D99" s="1">
        <v>284369.99</v>
      </c>
      <c r="E99" s="1">
        <v>0</v>
      </c>
      <c r="F99" s="1">
        <v>284369.99</v>
      </c>
      <c r="J99" s="2">
        <v>45737</v>
      </c>
      <c r="K99" t="s">
        <v>56</v>
      </c>
      <c r="L99" t="s">
        <v>48</v>
      </c>
      <c r="M99" t="s">
        <v>48</v>
      </c>
      <c r="N99" t="s">
        <v>1072</v>
      </c>
      <c r="O99" t="s">
        <v>46</v>
      </c>
      <c r="P99" t="s">
        <v>1072</v>
      </c>
      <c r="Q99" t="s">
        <v>46</v>
      </c>
      <c r="V99" t="s">
        <v>20</v>
      </c>
      <c r="W99" s="10">
        <f t="shared" si="1"/>
        <v>3</v>
      </c>
      <c r="X99" s="10" t="str">
        <f>+ VLOOKUP(W99,'COMISIONES ENERO-MARZO 2025 (2)'!X:Y,2,0)</f>
        <v>Marzo</v>
      </c>
    </row>
    <row r="100" spans="1:24" x14ac:dyDescent="0.35">
      <c r="A100" t="s">
        <v>14</v>
      </c>
      <c r="B100">
        <v>53051501</v>
      </c>
      <c r="C100" t="s">
        <v>15</v>
      </c>
      <c r="D100" s="1">
        <v>1809003.04</v>
      </c>
      <c r="E100" s="1">
        <v>0</v>
      </c>
      <c r="F100" s="1">
        <v>1809003.04</v>
      </c>
      <c r="J100" s="2">
        <v>45737</v>
      </c>
      <c r="K100" t="s">
        <v>123</v>
      </c>
      <c r="L100" t="s">
        <v>124</v>
      </c>
      <c r="M100" t="s">
        <v>124</v>
      </c>
      <c r="N100">
        <v>890805267</v>
      </c>
      <c r="O100" t="s">
        <v>1058</v>
      </c>
      <c r="P100">
        <v>860003020</v>
      </c>
      <c r="Q100" t="s">
        <v>40</v>
      </c>
      <c r="V100" t="s">
        <v>59</v>
      </c>
      <c r="W100" s="10">
        <f t="shared" si="1"/>
        <v>3</v>
      </c>
      <c r="X100" s="10" t="str">
        <f>+ VLOOKUP(W100,'COMISIONES ENERO-MARZO 2025 (2)'!X:Y,2,0)</f>
        <v>Marzo</v>
      </c>
    </row>
    <row r="101" spans="1:24" x14ac:dyDescent="0.35">
      <c r="A101" t="s">
        <v>14</v>
      </c>
      <c r="B101">
        <v>53051501</v>
      </c>
      <c r="C101" t="s">
        <v>15</v>
      </c>
      <c r="D101" s="1">
        <v>12271969.91</v>
      </c>
      <c r="E101" s="1">
        <v>0</v>
      </c>
      <c r="F101" s="1">
        <v>12271969.91</v>
      </c>
      <c r="J101" s="2">
        <v>45737</v>
      </c>
      <c r="K101" t="s">
        <v>141</v>
      </c>
      <c r="L101" t="s">
        <v>142</v>
      </c>
      <c r="M101" t="s">
        <v>143</v>
      </c>
      <c r="N101">
        <v>890805267</v>
      </c>
      <c r="O101" t="s">
        <v>1058</v>
      </c>
      <c r="P101">
        <v>860003020</v>
      </c>
      <c r="Q101" t="s">
        <v>40</v>
      </c>
      <c r="V101" t="s">
        <v>59</v>
      </c>
      <c r="W101" s="10">
        <f t="shared" si="1"/>
        <v>3</v>
      </c>
      <c r="X101" s="10" t="str">
        <f>+ VLOOKUP(W101,'COMISIONES ENERO-MARZO 2025 (2)'!X:Y,2,0)</f>
        <v>Marzo</v>
      </c>
    </row>
    <row r="102" spans="1:24" x14ac:dyDescent="0.35">
      <c r="A102" t="s">
        <v>14</v>
      </c>
      <c r="B102">
        <v>53051501</v>
      </c>
      <c r="C102" t="s">
        <v>15</v>
      </c>
      <c r="D102" s="1">
        <v>153140</v>
      </c>
      <c r="E102" s="1">
        <v>0</v>
      </c>
      <c r="F102" s="1">
        <v>153140</v>
      </c>
      <c r="J102" s="2">
        <v>45737</v>
      </c>
      <c r="K102" t="s">
        <v>179</v>
      </c>
      <c r="L102" t="s">
        <v>180</v>
      </c>
      <c r="M102" t="s">
        <v>181</v>
      </c>
      <c r="N102">
        <v>891900196</v>
      </c>
      <c r="O102" t="s">
        <v>676</v>
      </c>
      <c r="P102">
        <v>860002964</v>
      </c>
      <c r="Q102" t="s">
        <v>19</v>
      </c>
      <c r="V102" t="s">
        <v>59</v>
      </c>
      <c r="W102" s="10">
        <f t="shared" si="1"/>
        <v>3</v>
      </c>
      <c r="X102" s="10" t="str">
        <f>+ VLOOKUP(W102,'COMISIONES ENERO-MARZO 2025 (2)'!X:Y,2,0)</f>
        <v>Marzo</v>
      </c>
    </row>
    <row r="103" spans="1:24" x14ac:dyDescent="0.35">
      <c r="A103" t="s">
        <v>14</v>
      </c>
      <c r="B103">
        <v>53051501</v>
      </c>
      <c r="C103" t="s">
        <v>15</v>
      </c>
      <c r="D103" s="1">
        <v>239997.6</v>
      </c>
      <c r="E103" s="1">
        <v>0</v>
      </c>
      <c r="F103" s="1">
        <v>239997.6</v>
      </c>
      <c r="J103" s="2">
        <v>45737</v>
      </c>
      <c r="K103" t="s">
        <v>179</v>
      </c>
      <c r="L103" t="s">
        <v>182</v>
      </c>
      <c r="M103" t="s">
        <v>181</v>
      </c>
      <c r="N103">
        <v>891900196</v>
      </c>
      <c r="O103" t="s">
        <v>676</v>
      </c>
      <c r="P103">
        <v>890903937</v>
      </c>
      <c r="Q103" t="s">
        <v>167</v>
      </c>
      <c r="V103" t="s">
        <v>59</v>
      </c>
      <c r="W103" s="10">
        <f t="shared" si="1"/>
        <v>3</v>
      </c>
      <c r="X103" s="10" t="str">
        <f>+ VLOOKUP(W103,'COMISIONES ENERO-MARZO 2025 (2)'!X:Y,2,0)</f>
        <v>Marzo</v>
      </c>
    </row>
    <row r="104" spans="1:24" x14ac:dyDescent="0.35">
      <c r="A104" t="s">
        <v>14</v>
      </c>
      <c r="B104">
        <v>53051501</v>
      </c>
      <c r="C104" t="s">
        <v>15</v>
      </c>
      <c r="D104" s="1">
        <v>9020.32</v>
      </c>
      <c r="E104" s="1">
        <v>0</v>
      </c>
      <c r="F104" s="1">
        <v>9020.32</v>
      </c>
      <c r="J104" s="2">
        <v>45737</v>
      </c>
      <c r="K104" t="s">
        <v>179</v>
      </c>
      <c r="L104" t="s">
        <v>183</v>
      </c>
      <c r="M104" t="s">
        <v>181</v>
      </c>
      <c r="N104">
        <v>891900196</v>
      </c>
      <c r="O104" t="s">
        <v>676</v>
      </c>
      <c r="P104">
        <v>890903938</v>
      </c>
      <c r="Q104" t="s">
        <v>29</v>
      </c>
      <c r="V104" t="s">
        <v>59</v>
      </c>
      <c r="W104" s="10">
        <f t="shared" si="1"/>
        <v>3</v>
      </c>
      <c r="X104" s="10" t="str">
        <f>+ VLOOKUP(W104,'COMISIONES ENERO-MARZO 2025 (2)'!X:Y,2,0)</f>
        <v>Marzo</v>
      </c>
    </row>
    <row r="105" spans="1:24" x14ac:dyDescent="0.35">
      <c r="A105" t="s">
        <v>14</v>
      </c>
      <c r="B105">
        <v>53051501</v>
      </c>
      <c r="C105" t="s">
        <v>15</v>
      </c>
      <c r="D105" s="1">
        <v>0</v>
      </c>
      <c r="E105" s="1">
        <v>32028.49</v>
      </c>
      <c r="F105" s="1">
        <v>-32028.49</v>
      </c>
      <c r="J105" s="2">
        <v>45737</v>
      </c>
      <c r="K105" t="s">
        <v>184</v>
      </c>
      <c r="L105" t="s">
        <v>185</v>
      </c>
      <c r="M105" t="s">
        <v>185</v>
      </c>
      <c r="N105">
        <v>891900196</v>
      </c>
      <c r="O105" t="s">
        <v>676</v>
      </c>
      <c r="P105">
        <v>800037800</v>
      </c>
      <c r="Q105" t="s">
        <v>37</v>
      </c>
      <c r="V105" t="s">
        <v>59</v>
      </c>
      <c r="W105" s="10">
        <f t="shared" si="1"/>
        <v>3</v>
      </c>
      <c r="X105" s="10" t="str">
        <f>+ VLOOKUP(W105,'COMISIONES ENERO-MARZO 2025 (2)'!X:Y,2,0)</f>
        <v>Marzo</v>
      </c>
    </row>
    <row r="106" spans="1:24" x14ac:dyDescent="0.35">
      <c r="A106" t="s">
        <v>14</v>
      </c>
      <c r="B106">
        <v>53051501</v>
      </c>
      <c r="C106" t="s">
        <v>15</v>
      </c>
      <c r="D106" s="1">
        <v>0</v>
      </c>
      <c r="E106" s="1">
        <v>3558750</v>
      </c>
      <c r="F106" s="1">
        <v>-3558750</v>
      </c>
      <c r="J106" s="2">
        <v>45737</v>
      </c>
      <c r="K106" t="s">
        <v>184</v>
      </c>
      <c r="L106" t="s">
        <v>185</v>
      </c>
      <c r="M106" t="s">
        <v>185</v>
      </c>
      <c r="N106">
        <v>891900196</v>
      </c>
      <c r="O106" t="s">
        <v>676</v>
      </c>
      <c r="P106">
        <v>800141235</v>
      </c>
      <c r="Q106" t="s">
        <v>42</v>
      </c>
      <c r="V106" t="s">
        <v>59</v>
      </c>
      <c r="W106" s="10">
        <f t="shared" si="1"/>
        <v>3</v>
      </c>
      <c r="X106" s="10" t="str">
        <f>+ VLOOKUP(W106,'COMISIONES ENERO-MARZO 2025 (2)'!X:Y,2,0)</f>
        <v>Marzo</v>
      </c>
    </row>
    <row r="107" spans="1:24" x14ac:dyDescent="0.35">
      <c r="A107" t="s">
        <v>14</v>
      </c>
      <c r="B107">
        <v>53051501</v>
      </c>
      <c r="C107" t="s">
        <v>15</v>
      </c>
      <c r="D107" s="1">
        <v>0</v>
      </c>
      <c r="E107" s="1">
        <v>3558750</v>
      </c>
      <c r="F107" s="1">
        <v>-3558750</v>
      </c>
      <c r="J107" s="2">
        <v>45737</v>
      </c>
      <c r="K107" t="s">
        <v>184</v>
      </c>
      <c r="L107" t="s">
        <v>185</v>
      </c>
      <c r="M107" t="s">
        <v>185</v>
      </c>
      <c r="N107">
        <v>891900196</v>
      </c>
      <c r="O107" t="s">
        <v>676</v>
      </c>
      <c r="P107">
        <v>800182281</v>
      </c>
      <c r="Q107" t="s">
        <v>44</v>
      </c>
      <c r="V107" t="s">
        <v>59</v>
      </c>
      <c r="W107" s="10">
        <f t="shared" si="1"/>
        <v>3</v>
      </c>
      <c r="X107" s="10" t="str">
        <f>+ VLOOKUP(W107,'COMISIONES ENERO-MARZO 2025 (2)'!X:Y,2,0)</f>
        <v>Marzo</v>
      </c>
    </row>
    <row r="108" spans="1:24" x14ac:dyDescent="0.35">
      <c r="A108" t="s">
        <v>14</v>
      </c>
      <c r="B108">
        <v>53051501</v>
      </c>
      <c r="C108" t="s">
        <v>15</v>
      </c>
      <c r="D108" s="1">
        <v>0</v>
      </c>
      <c r="E108" s="1">
        <v>1675065</v>
      </c>
      <c r="F108" s="1">
        <v>-1675065</v>
      </c>
      <c r="J108" s="2">
        <v>45737</v>
      </c>
      <c r="K108" t="s">
        <v>184</v>
      </c>
      <c r="L108" t="s">
        <v>185</v>
      </c>
      <c r="M108" t="s">
        <v>185</v>
      </c>
      <c r="N108">
        <v>891900196</v>
      </c>
      <c r="O108" t="s">
        <v>676</v>
      </c>
      <c r="P108">
        <v>860002964</v>
      </c>
      <c r="Q108" t="s">
        <v>19</v>
      </c>
      <c r="V108" t="s">
        <v>59</v>
      </c>
      <c r="W108" s="10">
        <f t="shared" si="1"/>
        <v>3</v>
      </c>
      <c r="X108" s="10" t="str">
        <f>+ VLOOKUP(W108,'COMISIONES ENERO-MARZO 2025 (2)'!X:Y,2,0)</f>
        <v>Marzo</v>
      </c>
    </row>
    <row r="109" spans="1:24" x14ac:dyDescent="0.35">
      <c r="A109" t="s">
        <v>14</v>
      </c>
      <c r="B109">
        <v>53051501</v>
      </c>
      <c r="C109" t="s">
        <v>15</v>
      </c>
      <c r="D109" s="1">
        <v>0</v>
      </c>
      <c r="E109" s="1">
        <v>51359811.799999997</v>
      </c>
      <c r="F109" s="1">
        <v>-51359811.799999997</v>
      </c>
      <c r="J109" s="2">
        <v>45737</v>
      </c>
      <c r="K109" t="s">
        <v>184</v>
      </c>
      <c r="L109" t="s">
        <v>185</v>
      </c>
      <c r="M109" t="s">
        <v>185</v>
      </c>
      <c r="N109">
        <v>891900196</v>
      </c>
      <c r="O109" t="s">
        <v>676</v>
      </c>
      <c r="P109">
        <v>860003020</v>
      </c>
      <c r="Q109" t="s">
        <v>40</v>
      </c>
      <c r="V109" t="s">
        <v>59</v>
      </c>
      <c r="W109" s="10">
        <f t="shared" si="1"/>
        <v>3</v>
      </c>
      <c r="X109" s="10" t="str">
        <f>+ VLOOKUP(W109,'COMISIONES ENERO-MARZO 2025 (2)'!X:Y,2,0)</f>
        <v>Marzo</v>
      </c>
    </row>
    <row r="110" spans="1:24" x14ac:dyDescent="0.35">
      <c r="A110" t="s">
        <v>14</v>
      </c>
      <c r="B110">
        <v>53051501</v>
      </c>
      <c r="C110" t="s">
        <v>15</v>
      </c>
      <c r="D110" s="1">
        <v>0</v>
      </c>
      <c r="E110" s="1">
        <v>8162148</v>
      </c>
      <c r="F110" s="1">
        <v>-8162148</v>
      </c>
      <c r="J110" s="2">
        <v>45737</v>
      </c>
      <c r="K110" t="s">
        <v>184</v>
      </c>
      <c r="L110" t="s">
        <v>185</v>
      </c>
      <c r="M110" t="s">
        <v>185</v>
      </c>
      <c r="N110">
        <v>891900196</v>
      </c>
      <c r="O110" t="s">
        <v>676</v>
      </c>
      <c r="P110">
        <v>860034313</v>
      </c>
      <c r="Q110" t="s">
        <v>35</v>
      </c>
      <c r="V110" t="s">
        <v>59</v>
      </c>
      <c r="W110" s="10">
        <f t="shared" si="1"/>
        <v>3</v>
      </c>
      <c r="X110" s="10" t="str">
        <f>+ VLOOKUP(W110,'COMISIONES ENERO-MARZO 2025 (2)'!X:Y,2,0)</f>
        <v>Marzo</v>
      </c>
    </row>
    <row r="111" spans="1:24" x14ac:dyDescent="0.35">
      <c r="A111" t="s">
        <v>14</v>
      </c>
      <c r="B111">
        <v>53051501</v>
      </c>
      <c r="C111" t="s">
        <v>15</v>
      </c>
      <c r="D111" s="1">
        <v>0</v>
      </c>
      <c r="E111" s="1">
        <v>4209166.1500000004</v>
      </c>
      <c r="F111" s="1">
        <v>-4209166.1500000004</v>
      </c>
      <c r="J111" s="2">
        <v>45737</v>
      </c>
      <c r="K111" t="s">
        <v>184</v>
      </c>
      <c r="L111" t="s">
        <v>185</v>
      </c>
      <c r="M111" t="s">
        <v>185</v>
      </c>
      <c r="N111">
        <v>891900196</v>
      </c>
      <c r="O111" t="s">
        <v>676</v>
      </c>
      <c r="P111">
        <v>890903938</v>
      </c>
      <c r="Q111" t="s">
        <v>29</v>
      </c>
      <c r="V111" t="s">
        <v>59</v>
      </c>
      <c r="W111" s="10">
        <f t="shared" si="1"/>
        <v>3</v>
      </c>
      <c r="X111" s="10" t="str">
        <f>+ VLOOKUP(W111,'COMISIONES ENERO-MARZO 2025 (2)'!X:Y,2,0)</f>
        <v>Marzo</v>
      </c>
    </row>
    <row r="112" spans="1:24" x14ac:dyDescent="0.35">
      <c r="A112" t="s">
        <v>14</v>
      </c>
      <c r="B112">
        <v>53051501</v>
      </c>
      <c r="C112" t="s">
        <v>15</v>
      </c>
      <c r="D112" s="1">
        <v>0</v>
      </c>
      <c r="E112" s="1">
        <v>284369.99</v>
      </c>
      <c r="F112" s="1">
        <v>-284369.99</v>
      </c>
      <c r="J112" s="2">
        <v>45737</v>
      </c>
      <c r="K112" t="s">
        <v>184</v>
      </c>
      <c r="L112" t="s">
        <v>185</v>
      </c>
      <c r="M112" t="s">
        <v>185</v>
      </c>
      <c r="N112">
        <v>891900196</v>
      </c>
      <c r="O112" t="s">
        <v>676</v>
      </c>
      <c r="P112" t="s">
        <v>1072</v>
      </c>
      <c r="Q112" t="s">
        <v>46</v>
      </c>
      <c r="V112" t="s">
        <v>59</v>
      </c>
      <c r="W112" s="10">
        <f t="shared" si="1"/>
        <v>3</v>
      </c>
      <c r="X112" s="10" t="str">
        <f>+ VLOOKUP(W112,'COMISIONES ENERO-MARZO 2025 (2)'!X:Y,2,0)</f>
        <v>Marzo</v>
      </c>
    </row>
    <row r="113" spans="1:24" x14ac:dyDescent="0.35">
      <c r="A113" t="s">
        <v>14</v>
      </c>
      <c r="B113">
        <v>53051501</v>
      </c>
      <c r="C113" t="s">
        <v>15</v>
      </c>
      <c r="D113" s="1">
        <v>3529</v>
      </c>
      <c r="E113" s="1">
        <v>0</v>
      </c>
      <c r="F113" s="1">
        <v>3529</v>
      </c>
      <c r="J113" s="2">
        <v>45737</v>
      </c>
      <c r="K113" t="s">
        <v>215</v>
      </c>
      <c r="L113" t="s">
        <v>216</v>
      </c>
      <c r="M113" t="s">
        <v>216</v>
      </c>
      <c r="N113">
        <v>16502466</v>
      </c>
      <c r="O113" t="s">
        <v>1056</v>
      </c>
      <c r="P113">
        <v>890903938</v>
      </c>
      <c r="Q113" t="s">
        <v>29</v>
      </c>
      <c r="V113" t="s">
        <v>59</v>
      </c>
      <c r="W113" s="10">
        <f t="shared" si="1"/>
        <v>3</v>
      </c>
      <c r="X113" s="10" t="str">
        <f>+ VLOOKUP(W113,'COMISIONES ENERO-MARZO 2025 (2)'!X:Y,2,0)</f>
        <v>Marzo</v>
      </c>
    </row>
    <row r="114" spans="1:24" x14ac:dyDescent="0.35">
      <c r="A114" t="s">
        <v>14</v>
      </c>
      <c r="B114">
        <v>53051501</v>
      </c>
      <c r="C114" t="s">
        <v>15</v>
      </c>
      <c r="D114" s="1">
        <v>1755101</v>
      </c>
      <c r="E114" s="1">
        <v>0</v>
      </c>
      <c r="F114" s="1">
        <v>1755101</v>
      </c>
      <c r="J114" s="2">
        <v>45742</v>
      </c>
      <c r="K114" t="s">
        <v>125</v>
      </c>
      <c r="L114" t="s">
        <v>126</v>
      </c>
      <c r="M114" t="s">
        <v>126</v>
      </c>
      <c r="N114">
        <v>890904478</v>
      </c>
      <c r="O114" t="s">
        <v>127</v>
      </c>
      <c r="P114">
        <v>890904478</v>
      </c>
      <c r="Q114" t="s">
        <v>127</v>
      </c>
      <c r="V114" t="s">
        <v>59</v>
      </c>
      <c r="W114" s="10">
        <f t="shared" si="1"/>
        <v>3</v>
      </c>
      <c r="X114" s="10" t="str">
        <f>+ VLOOKUP(W114,'COMISIONES ENERO-MARZO 2025 (2)'!X:Y,2,0)</f>
        <v>Marzo</v>
      </c>
    </row>
    <row r="115" spans="1:24" x14ac:dyDescent="0.35">
      <c r="A115" t="s">
        <v>14</v>
      </c>
      <c r="B115">
        <v>53051501</v>
      </c>
      <c r="C115" t="s">
        <v>15</v>
      </c>
      <c r="D115" s="1">
        <v>3529</v>
      </c>
      <c r="E115" s="1">
        <v>0</v>
      </c>
      <c r="F115" s="1">
        <v>3529</v>
      </c>
      <c r="J115" s="2">
        <v>45742</v>
      </c>
      <c r="K115" t="s">
        <v>217</v>
      </c>
      <c r="L115" t="s">
        <v>208</v>
      </c>
      <c r="M115" t="s">
        <v>208</v>
      </c>
      <c r="N115">
        <v>1144185697</v>
      </c>
      <c r="O115" t="s">
        <v>1057</v>
      </c>
      <c r="P115">
        <v>890903938</v>
      </c>
      <c r="Q115" t="s">
        <v>29</v>
      </c>
      <c r="V115" t="s">
        <v>59</v>
      </c>
      <c r="W115" s="10">
        <f t="shared" si="1"/>
        <v>3</v>
      </c>
      <c r="X115" s="10" t="str">
        <f>+ VLOOKUP(W115,'COMISIONES ENERO-MARZO 2025 (2)'!X:Y,2,0)</f>
        <v>Marzo</v>
      </c>
    </row>
    <row r="116" spans="1:24" x14ac:dyDescent="0.35">
      <c r="A116" t="s">
        <v>14</v>
      </c>
      <c r="B116">
        <v>53051501</v>
      </c>
      <c r="C116" t="s">
        <v>15</v>
      </c>
      <c r="D116" s="1">
        <v>3529</v>
      </c>
      <c r="E116" s="1">
        <v>0</v>
      </c>
      <c r="F116" s="1">
        <v>3529</v>
      </c>
      <c r="J116" s="2">
        <v>45742</v>
      </c>
      <c r="K116" t="s">
        <v>218</v>
      </c>
      <c r="L116" t="s">
        <v>151</v>
      </c>
      <c r="M116" t="s">
        <v>151</v>
      </c>
      <c r="N116">
        <v>16502466</v>
      </c>
      <c r="O116" t="s">
        <v>1056</v>
      </c>
      <c r="P116">
        <v>890903938</v>
      </c>
      <c r="Q116" t="s">
        <v>29</v>
      </c>
      <c r="V116" t="s">
        <v>59</v>
      </c>
      <c r="W116" s="10">
        <f t="shared" si="1"/>
        <v>3</v>
      </c>
      <c r="X116" s="10" t="str">
        <f>+ VLOOKUP(W116,'COMISIONES ENERO-MARZO 2025 (2)'!X:Y,2,0)</f>
        <v>Marzo</v>
      </c>
    </row>
    <row r="117" spans="1:24" x14ac:dyDescent="0.35">
      <c r="A117" t="s">
        <v>14</v>
      </c>
      <c r="B117">
        <v>53051501</v>
      </c>
      <c r="C117" t="s">
        <v>15</v>
      </c>
      <c r="D117" s="1">
        <v>846982.5</v>
      </c>
      <c r="E117" s="1">
        <v>0</v>
      </c>
      <c r="F117" s="1">
        <v>846982.5</v>
      </c>
      <c r="J117" s="2">
        <v>45743</v>
      </c>
      <c r="K117" t="s">
        <v>136</v>
      </c>
      <c r="L117" t="s">
        <v>137</v>
      </c>
      <c r="M117" t="s">
        <v>137</v>
      </c>
      <c r="N117">
        <v>860043186</v>
      </c>
      <c r="O117" t="s">
        <v>138</v>
      </c>
      <c r="P117">
        <v>860043186</v>
      </c>
      <c r="Q117" t="s">
        <v>138</v>
      </c>
      <c r="V117" t="s">
        <v>59</v>
      </c>
      <c r="W117" s="10">
        <f t="shared" si="1"/>
        <v>3</v>
      </c>
      <c r="X117" s="10" t="str">
        <f>+ VLOOKUP(W117,'COMISIONES ENERO-MARZO 2025 (2)'!X:Y,2,0)</f>
        <v>Marzo</v>
      </c>
    </row>
    <row r="118" spans="1:24" x14ac:dyDescent="0.35">
      <c r="A118" t="s">
        <v>14</v>
      </c>
      <c r="B118">
        <v>53051501</v>
      </c>
      <c r="C118" t="s">
        <v>15</v>
      </c>
      <c r="D118" s="1">
        <v>14754923.09</v>
      </c>
      <c r="E118" s="1">
        <v>0</v>
      </c>
      <c r="F118" s="1">
        <v>14754923.09</v>
      </c>
      <c r="J118" s="2">
        <v>45744</v>
      </c>
      <c r="K118" t="s">
        <v>139</v>
      </c>
      <c r="L118" t="s">
        <v>140</v>
      </c>
      <c r="M118" t="s">
        <v>140</v>
      </c>
      <c r="N118">
        <v>900079775</v>
      </c>
      <c r="O118" t="s">
        <v>1060</v>
      </c>
      <c r="P118">
        <v>860003020</v>
      </c>
      <c r="Q118" t="s">
        <v>40</v>
      </c>
      <c r="V118" t="s">
        <v>59</v>
      </c>
      <c r="W118" s="10">
        <f t="shared" si="1"/>
        <v>3</v>
      </c>
      <c r="X118" s="10" t="str">
        <f>+ VLOOKUP(W118,'COMISIONES ENERO-MARZO 2025 (2)'!X:Y,2,0)</f>
        <v>Marzo</v>
      </c>
    </row>
    <row r="119" spans="1:24" x14ac:dyDescent="0.35">
      <c r="A119" t="s">
        <v>14</v>
      </c>
      <c r="B119">
        <v>53051501</v>
      </c>
      <c r="C119" t="s">
        <v>15</v>
      </c>
      <c r="D119" s="1">
        <v>475395.51</v>
      </c>
      <c r="E119" s="1">
        <v>0</v>
      </c>
      <c r="F119" s="1">
        <v>475395.51</v>
      </c>
      <c r="J119" s="2">
        <v>45747</v>
      </c>
      <c r="K119" t="s">
        <v>128</v>
      </c>
      <c r="L119" t="s">
        <v>129</v>
      </c>
      <c r="M119" t="s">
        <v>129</v>
      </c>
      <c r="N119" t="s">
        <v>1072</v>
      </c>
      <c r="O119" t="s">
        <v>46</v>
      </c>
      <c r="P119" t="s">
        <v>1072</v>
      </c>
      <c r="Q119" t="s">
        <v>46</v>
      </c>
      <c r="V119" t="s">
        <v>59</v>
      </c>
      <c r="W119" s="10">
        <f t="shared" si="1"/>
        <v>3</v>
      </c>
      <c r="X119" s="10" t="str">
        <f>+ VLOOKUP(W119,'COMISIONES ENERO-MARZO 2025 (2)'!X:Y,2,0)</f>
        <v>Marzo</v>
      </c>
    </row>
    <row r="120" spans="1:24" x14ac:dyDescent="0.35">
      <c r="A120" t="s">
        <v>14</v>
      </c>
      <c r="B120">
        <v>53051501</v>
      </c>
      <c r="C120" t="s">
        <v>15</v>
      </c>
      <c r="D120" s="1">
        <v>8069844</v>
      </c>
      <c r="E120" s="1">
        <v>0</v>
      </c>
      <c r="F120" s="1">
        <v>8069844</v>
      </c>
      <c r="J120" s="2">
        <v>45747</v>
      </c>
      <c r="K120" t="s">
        <v>130</v>
      </c>
      <c r="L120" t="s">
        <v>131</v>
      </c>
      <c r="M120" t="s">
        <v>131</v>
      </c>
      <c r="N120">
        <v>860034313</v>
      </c>
      <c r="O120" t="s">
        <v>35</v>
      </c>
      <c r="P120">
        <v>860034313</v>
      </c>
      <c r="Q120" t="s">
        <v>35</v>
      </c>
      <c r="V120" t="s">
        <v>59</v>
      </c>
      <c r="W120" s="10">
        <f t="shared" si="1"/>
        <v>3</v>
      </c>
      <c r="X120" s="10" t="str">
        <f>+ VLOOKUP(W120,'COMISIONES ENERO-MARZO 2025 (2)'!X:Y,2,0)</f>
        <v>Marzo</v>
      </c>
    </row>
    <row r="121" spans="1:24" x14ac:dyDescent="0.35">
      <c r="A121" t="s">
        <v>14</v>
      </c>
      <c r="B121">
        <v>53051501</v>
      </c>
      <c r="C121" t="s">
        <v>15</v>
      </c>
      <c r="D121" s="1">
        <v>73668</v>
      </c>
      <c r="E121" s="1">
        <v>0</v>
      </c>
      <c r="F121" s="1">
        <v>73668</v>
      </c>
      <c r="J121" s="2">
        <v>45747</v>
      </c>
      <c r="K121" t="s">
        <v>132</v>
      </c>
      <c r="L121" t="s">
        <v>133</v>
      </c>
      <c r="M121" t="s">
        <v>133</v>
      </c>
      <c r="N121">
        <v>860002964</v>
      </c>
      <c r="O121" t="s">
        <v>19</v>
      </c>
      <c r="P121">
        <v>860002964</v>
      </c>
      <c r="Q121" t="s">
        <v>19</v>
      </c>
      <c r="V121" t="s">
        <v>59</v>
      </c>
      <c r="W121" s="10">
        <f t="shared" si="1"/>
        <v>3</v>
      </c>
      <c r="X121" s="10" t="str">
        <f>+ VLOOKUP(W121,'COMISIONES ENERO-MARZO 2025 (2)'!X:Y,2,0)</f>
        <v>Marzo</v>
      </c>
    </row>
    <row r="122" spans="1:24" x14ac:dyDescent="0.35">
      <c r="A122" t="s">
        <v>14</v>
      </c>
      <c r="B122">
        <v>53051501</v>
      </c>
      <c r="C122" t="s">
        <v>15</v>
      </c>
      <c r="D122" s="1">
        <v>1575534</v>
      </c>
      <c r="E122" s="1">
        <v>0</v>
      </c>
      <c r="F122" s="1">
        <v>1575534</v>
      </c>
      <c r="J122" s="2">
        <v>45747</v>
      </c>
      <c r="K122" t="s">
        <v>134</v>
      </c>
      <c r="L122" t="s">
        <v>135</v>
      </c>
      <c r="M122" t="s">
        <v>135</v>
      </c>
      <c r="N122">
        <v>860002964</v>
      </c>
      <c r="O122" t="s">
        <v>19</v>
      </c>
      <c r="P122">
        <v>860002964</v>
      </c>
      <c r="Q122" t="s">
        <v>19</v>
      </c>
      <c r="V122" t="s">
        <v>59</v>
      </c>
      <c r="W122" s="10">
        <f t="shared" si="1"/>
        <v>3</v>
      </c>
      <c r="X122" s="10" t="str">
        <f>+ VLOOKUP(W122,'COMISIONES ENERO-MARZO 2025 (2)'!X:Y,2,0)</f>
        <v>Marzo</v>
      </c>
    </row>
    <row r="123" spans="1:24" x14ac:dyDescent="0.35">
      <c r="A123" t="s">
        <v>14</v>
      </c>
      <c r="B123">
        <v>53051501</v>
      </c>
      <c r="C123" t="s">
        <v>15</v>
      </c>
      <c r="D123" s="1">
        <v>15900</v>
      </c>
      <c r="E123" s="1">
        <v>0</v>
      </c>
      <c r="F123" s="1">
        <v>15900</v>
      </c>
      <c r="J123" s="2">
        <v>45747</v>
      </c>
      <c r="K123" t="s">
        <v>144</v>
      </c>
      <c r="L123" t="s">
        <v>145</v>
      </c>
      <c r="M123" t="s">
        <v>145</v>
      </c>
      <c r="N123">
        <v>860007738</v>
      </c>
      <c r="O123" t="s">
        <v>25</v>
      </c>
      <c r="P123">
        <v>860007738</v>
      </c>
      <c r="Q123" t="s">
        <v>25</v>
      </c>
      <c r="V123" t="s">
        <v>59</v>
      </c>
      <c r="W123" s="10">
        <f t="shared" si="1"/>
        <v>3</v>
      </c>
      <c r="X123" s="10" t="str">
        <f>+ VLOOKUP(W123,'COMISIONES ENERO-MARZO 2025 (2)'!X:Y,2,0)</f>
        <v>Marzo</v>
      </c>
    </row>
    <row r="124" spans="1:24" x14ac:dyDescent="0.35">
      <c r="A124" t="s">
        <v>14</v>
      </c>
      <c r="B124">
        <v>53051501</v>
      </c>
      <c r="C124" t="s">
        <v>15</v>
      </c>
      <c r="D124" s="1">
        <v>0.5</v>
      </c>
      <c r="E124" s="1">
        <v>0</v>
      </c>
      <c r="F124" s="1">
        <v>0.5</v>
      </c>
      <c r="J124" s="2">
        <v>45747</v>
      </c>
      <c r="K124" t="s">
        <v>146</v>
      </c>
      <c r="L124" t="s">
        <v>147</v>
      </c>
      <c r="M124" t="s">
        <v>147</v>
      </c>
      <c r="N124">
        <v>800182281</v>
      </c>
      <c r="O124" t="s">
        <v>44</v>
      </c>
      <c r="P124">
        <v>800182281</v>
      </c>
      <c r="Q124" t="s">
        <v>44</v>
      </c>
      <c r="V124" t="s">
        <v>59</v>
      </c>
      <c r="W124" s="10">
        <f t="shared" si="1"/>
        <v>3</v>
      </c>
      <c r="X124" s="10" t="str">
        <f>+ VLOOKUP(W124,'COMISIONES ENERO-MARZO 2025 (2)'!X:Y,2,0)</f>
        <v>Marzo</v>
      </c>
    </row>
    <row r="125" spans="1:24" x14ac:dyDescent="0.35">
      <c r="A125" t="s">
        <v>14</v>
      </c>
      <c r="B125">
        <v>53051501</v>
      </c>
      <c r="C125" t="s">
        <v>15</v>
      </c>
      <c r="D125" s="1">
        <v>16653281.57</v>
      </c>
      <c r="E125" s="1">
        <v>0</v>
      </c>
      <c r="F125" s="1">
        <v>16653281.57</v>
      </c>
      <c r="J125" s="2">
        <v>45747</v>
      </c>
      <c r="K125" t="s">
        <v>186</v>
      </c>
      <c r="L125" t="s">
        <v>187</v>
      </c>
      <c r="M125" t="s">
        <v>187</v>
      </c>
      <c r="N125">
        <v>860003020</v>
      </c>
      <c r="O125" t="s">
        <v>40</v>
      </c>
      <c r="P125">
        <v>860003020</v>
      </c>
      <c r="Q125" t="s">
        <v>40</v>
      </c>
      <c r="V125" t="s">
        <v>59</v>
      </c>
      <c r="W125" s="10">
        <f t="shared" si="1"/>
        <v>3</v>
      </c>
      <c r="X125" s="10" t="str">
        <f>+ VLOOKUP(W125,'COMISIONES ENERO-MARZO 2025 (2)'!X:Y,2,0)</f>
        <v>Marzo</v>
      </c>
    </row>
    <row r="126" spans="1:24" x14ac:dyDescent="0.35">
      <c r="A126" t="s">
        <v>14</v>
      </c>
      <c r="B126">
        <v>53051501</v>
      </c>
      <c r="C126" t="s">
        <v>15</v>
      </c>
      <c r="D126" s="1">
        <v>0</v>
      </c>
      <c r="E126" s="1">
        <v>25012459.350000001</v>
      </c>
      <c r="F126" s="1">
        <v>-25012459.350000001</v>
      </c>
      <c r="J126" s="2">
        <v>45747</v>
      </c>
      <c r="K126" t="s">
        <v>234</v>
      </c>
      <c r="L126" t="s">
        <v>235</v>
      </c>
      <c r="M126" t="s">
        <v>235</v>
      </c>
      <c r="N126">
        <v>891900196</v>
      </c>
      <c r="O126" t="s">
        <v>676</v>
      </c>
      <c r="P126">
        <v>860003020</v>
      </c>
      <c r="Q126" t="s">
        <v>40</v>
      </c>
      <c r="V126" t="s">
        <v>59</v>
      </c>
      <c r="W126" s="10">
        <f t="shared" si="1"/>
        <v>3</v>
      </c>
      <c r="X126" s="10" t="str">
        <f>+ VLOOKUP(W126,'COMISIONES ENERO-MARZO 2025 (2)'!X:Y,2,0)</f>
        <v>Marzo</v>
      </c>
    </row>
    <row r="127" spans="1:24" x14ac:dyDescent="0.35">
      <c r="A127" t="s">
        <v>14</v>
      </c>
      <c r="B127">
        <v>53051501</v>
      </c>
      <c r="C127" t="s">
        <v>15</v>
      </c>
      <c r="D127" s="1">
        <v>0</v>
      </c>
      <c r="E127" s="1">
        <v>16510024.09</v>
      </c>
      <c r="F127" s="1">
        <v>-16510024.09</v>
      </c>
      <c r="J127" s="2">
        <v>45747</v>
      </c>
      <c r="K127" t="s">
        <v>234</v>
      </c>
      <c r="L127" t="s">
        <v>235</v>
      </c>
      <c r="M127" t="s">
        <v>235</v>
      </c>
      <c r="N127">
        <v>891900196</v>
      </c>
      <c r="O127" t="s">
        <v>676</v>
      </c>
      <c r="P127">
        <v>890904478</v>
      </c>
      <c r="Q127" t="s">
        <v>127</v>
      </c>
      <c r="V127" t="s">
        <v>59</v>
      </c>
      <c r="W127" s="10">
        <f t="shared" si="1"/>
        <v>3</v>
      </c>
      <c r="X127" s="10" t="str">
        <f>+ VLOOKUP(W127,'COMISIONES ENERO-MARZO 2025 (2)'!X:Y,2,0)</f>
        <v>Marzo</v>
      </c>
    </row>
    <row r="128" spans="1:24" x14ac:dyDescent="0.35">
      <c r="A128" t="s">
        <v>14</v>
      </c>
      <c r="B128">
        <v>53051501</v>
      </c>
      <c r="C128" t="s">
        <v>15</v>
      </c>
      <c r="D128" s="1">
        <v>0</v>
      </c>
      <c r="E128" s="1">
        <v>14754923.09</v>
      </c>
      <c r="F128" s="1">
        <v>-14754923.09</v>
      </c>
      <c r="J128" s="2">
        <v>45747</v>
      </c>
      <c r="K128" t="s">
        <v>236</v>
      </c>
      <c r="L128" t="s">
        <v>237</v>
      </c>
      <c r="M128" t="s">
        <v>237</v>
      </c>
      <c r="N128">
        <v>860003020</v>
      </c>
      <c r="O128" t="s">
        <v>40</v>
      </c>
      <c r="P128">
        <v>860003020</v>
      </c>
      <c r="Q128" t="s">
        <v>40</v>
      </c>
      <c r="V128" t="s">
        <v>59</v>
      </c>
      <c r="W128" s="10">
        <f t="shared" si="1"/>
        <v>3</v>
      </c>
      <c r="X128" s="10" t="str">
        <f>+ VLOOKUP(W128,'COMISIONES ENERO-MARZO 2025 (2)'!X:Y,2,0)</f>
        <v>Marzo</v>
      </c>
    </row>
    <row r="129" spans="1:24" x14ac:dyDescent="0.35">
      <c r="A129" t="s">
        <v>14</v>
      </c>
      <c r="B129">
        <v>53051501</v>
      </c>
      <c r="C129" t="s">
        <v>15</v>
      </c>
      <c r="D129" s="1">
        <v>14754923.09</v>
      </c>
      <c r="E129" s="1">
        <v>0</v>
      </c>
      <c r="F129" s="1">
        <v>14754923.09</v>
      </c>
      <c r="J129" s="2">
        <v>45747</v>
      </c>
      <c r="K129" t="s">
        <v>236</v>
      </c>
      <c r="L129" t="s">
        <v>237</v>
      </c>
      <c r="M129" t="s">
        <v>237</v>
      </c>
      <c r="N129">
        <v>860003020</v>
      </c>
      <c r="O129" t="s">
        <v>40</v>
      </c>
      <c r="P129">
        <v>890904478</v>
      </c>
      <c r="Q129" t="s">
        <v>127</v>
      </c>
      <c r="V129" t="s">
        <v>59</v>
      </c>
      <c r="W129" s="10">
        <f t="shared" si="1"/>
        <v>3</v>
      </c>
      <c r="X129" s="10" t="str">
        <f>+ VLOOKUP(W129,'COMISIONES ENERO-MARZO 2025 (2)'!X:Y,2,0)</f>
        <v>Marzo</v>
      </c>
    </row>
    <row r="130" spans="1:24" x14ac:dyDescent="0.35">
      <c r="A130" t="s">
        <v>14</v>
      </c>
      <c r="B130">
        <v>53051501</v>
      </c>
      <c r="C130" t="s">
        <v>15</v>
      </c>
      <c r="D130" s="1">
        <v>3949585.86</v>
      </c>
      <c r="E130" s="1">
        <v>0</v>
      </c>
      <c r="F130" s="1">
        <v>3949585.86</v>
      </c>
      <c r="J130" s="2">
        <v>45747</v>
      </c>
      <c r="K130" t="s">
        <v>251</v>
      </c>
      <c r="L130" t="s">
        <v>252</v>
      </c>
      <c r="M130" t="s">
        <v>252</v>
      </c>
      <c r="N130">
        <v>890903938</v>
      </c>
      <c r="O130" t="s">
        <v>29</v>
      </c>
      <c r="P130">
        <v>890903938</v>
      </c>
      <c r="Q130" t="s">
        <v>29</v>
      </c>
      <c r="V130" t="s">
        <v>59</v>
      </c>
      <c r="W130" s="10">
        <f t="shared" si="1"/>
        <v>3</v>
      </c>
      <c r="X130" s="10" t="str">
        <f>+ VLOOKUP(W130,'COMISIONES ENERO-MARZO 2025 (2)'!X:Y,2,0)</f>
        <v>Marzo</v>
      </c>
    </row>
    <row r="131" spans="1:24" x14ac:dyDescent="0.35">
      <c r="A131" t="s">
        <v>14</v>
      </c>
      <c r="B131">
        <v>53051501</v>
      </c>
      <c r="C131" t="s">
        <v>15</v>
      </c>
      <c r="D131" s="1">
        <v>15186483</v>
      </c>
      <c r="E131" s="1">
        <v>0</v>
      </c>
      <c r="F131" s="1">
        <v>15186483</v>
      </c>
      <c r="J131" s="2">
        <v>45747</v>
      </c>
      <c r="K131" t="s">
        <v>219</v>
      </c>
      <c r="L131" t="s">
        <v>220</v>
      </c>
      <c r="M131" t="s">
        <v>220</v>
      </c>
      <c r="N131">
        <v>805000867</v>
      </c>
      <c r="O131" t="s">
        <v>203</v>
      </c>
      <c r="P131">
        <v>805000867</v>
      </c>
      <c r="Q131" t="s">
        <v>203</v>
      </c>
      <c r="V131" t="s">
        <v>59</v>
      </c>
      <c r="W131" s="10">
        <f t="shared" ref="W131:W194" si="2">+MONTH(J131)</f>
        <v>3</v>
      </c>
      <c r="X131" s="10" t="str">
        <f>+ VLOOKUP(W131,'COMISIONES ENERO-MARZO 2025 (2)'!X:Y,2,0)</f>
        <v>Marzo</v>
      </c>
    </row>
    <row r="132" spans="1:24" x14ac:dyDescent="0.35">
      <c r="A132" t="s">
        <v>14</v>
      </c>
      <c r="B132">
        <v>53051501</v>
      </c>
      <c r="C132" t="s">
        <v>15</v>
      </c>
      <c r="D132" s="1">
        <v>4782185</v>
      </c>
      <c r="E132" s="1">
        <v>0</v>
      </c>
      <c r="F132" s="1">
        <v>4782185</v>
      </c>
      <c r="J132" s="2">
        <v>45747</v>
      </c>
      <c r="K132" t="s">
        <v>221</v>
      </c>
      <c r="L132" t="s">
        <v>222</v>
      </c>
      <c r="M132" t="s">
        <v>222</v>
      </c>
      <c r="N132">
        <v>805000867</v>
      </c>
      <c r="O132" t="s">
        <v>203</v>
      </c>
      <c r="P132">
        <v>805000867</v>
      </c>
      <c r="Q132" t="s">
        <v>203</v>
      </c>
      <c r="V132" t="s">
        <v>59</v>
      </c>
      <c r="W132" s="10">
        <f t="shared" si="2"/>
        <v>3</v>
      </c>
      <c r="X132" s="10" t="str">
        <f>+ VLOOKUP(W132,'COMISIONES ENERO-MARZO 2025 (2)'!X:Y,2,0)</f>
        <v>Marzo</v>
      </c>
    </row>
    <row r="133" spans="1:24" x14ac:dyDescent="0.35">
      <c r="A133" t="s">
        <v>14</v>
      </c>
      <c r="B133">
        <v>53051501</v>
      </c>
      <c r="C133" t="s">
        <v>15</v>
      </c>
      <c r="D133" s="1">
        <v>3529</v>
      </c>
      <c r="E133" s="1">
        <v>0</v>
      </c>
      <c r="F133" s="1">
        <v>3529</v>
      </c>
      <c r="J133" s="2">
        <v>45749</v>
      </c>
      <c r="K133" t="s">
        <v>311</v>
      </c>
      <c r="L133" t="s">
        <v>151</v>
      </c>
      <c r="M133" t="s">
        <v>151</v>
      </c>
      <c r="N133">
        <v>29760690</v>
      </c>
      <c r="O133" t="s">
        <v>1061</v>
      </c>
      <c r="P133">
        <v>890903938</v>
      </c>
      <c r="Q133" t="s">
        <v>29</v>
      </c>
      <c r="V133" t="s">
        <v>59</v>
      </c>
      <c r="W133" s="10">
        <f t="shared" si="2"/>
        <v>4</v>
      </c>
      <c r="X133" s="10" t="str">
        <f>+ VLOOKUP(W133,'COMISIONES ENERO-MARZO 2025 (2)'!X:Y,2,0)</f>
        <v>Abril</v>
      </c>
    </row>
    <row r="134" spans="1:24" x14ac:dyDescent="0.35">
      <c r="A134" t="s">
        <v>14</v>
      </c>
      <c r="B134">
        <v>53051501</v>
      </c>
      <c r="C134" t="s">
        <v>15</v>
      </c>
      <c r="D134" s="1">
        <v>3529</v>
      </c>
      <c r="E134" s="1">
        <v>0</v>
      </c>
      <c r="F134" s="1">
        <v>3529</v>
      </c>
      <c r="J134" s="2">
        <v>45749</v>
      </c>
      <c r="K134" t="s">
        <v>312</v>
      </c>
      <c r="L134" t="s">
        <v>151</v>
      </c>
      <c r="M134" t="s">
        <v>151</v>
      </c>
      <c r="N134">
        <v>1144185697</v>
      </c>
      <c r="O134" t="s">
        <v>1057</v>
      </c>
      <c r="P134">
        <v>890903938</v>
      </c>
      <c r="Q134" t="s">
        <v>29</v>
      </c>
      <c r="V134" t="s">
        <v>59</v>
      </c>
      <c r="W134" s="10">
        <f t="shared" si="2"/>
        <v>4</v>
      </c>
      <c r="X134" s="10" t="str">
        <f>+ VLOOKUP(W134,'COMISIONES ENERO-MARZO 2025 (2)'!X:Y,2,0)</f>
        <v>Abril</v>
      </c>
    </row>
    <row r="135" spans="1:24" x14ac:dyDescent="0.35">
      <c r="A135" t="s">
        <v>14</v>
      </c>
      <c r="B135">
        <v>53051501</v>
      </c>
      <c r="C135" t="s">
        <v>15</v>
      </c>
      <c r="D135" s="1">
        <v>3529</v>
      </c>
      <c r="E135" s="1">
        <v>0</v>
      </c>
      <c r="F135" s="1">
        <v>3529</v>
      </c>
      <c r="J135" s="2">
        <v>45749</v>
      </c>
      <c r="K135" t="s">
        <v>313</v>
      </c>
      <c r="L135" t="s">
        <v>151</v>
      </c>
      <c r="M135" t="s">
        <v>151</v>
      </c>
      <c r="N135">
        <v>16502466</v>
      </c>
      <c r="O135" t="s">
        <v>1056</v>
      </c>
      <c r="P135">
        <v>890903938</v>
      </c>
      <c r="Q135" t="s">
        <v>29</v>
      </c>
      <c r="V135" t="s">
        <v>59</v>
      </c>
      <c r="W135" s="10">
        <f t="shared" si="2"/>
        <v>4</v>
      </c>
      <c r="X135" s="10" t="str">
        <f>+ VLOOKUP(W135,'COMISIONES ENERO-MARZO 2025 (2)'!X:Y,2,0)</f>
        <v>Abril</v>
      </c>
    </row>
    <row r="136" spans="1:24" x14ac:dyDescent="0.35">
      <c r="A136" t="s">
        <v>14</v>
      </c>
      <c r="B136">
        <v>53051501</v>
      </c>
      <c r="C136" t="s">
        <v>15</v>
      </c>
      <c r="D136" s="1">
        <v>13140</v>
      </c>
      <c r="E136" s="1">
        <v>0</v>
      </c>
      <c r="F136" s="1">
        <v>13140</v>
      </c>
      <c r="J136" s="2">
        <v>45754</v>
      </c>
      <c r="K136" t="s">
        <v>275</v>
      </c>
      <c r="L136" t="s">
        <v>276</v>
      </c>
      <c r="M136" t="s">
        <v>276</v>
      </c>
      <c r="N136">
        <v>800037800</v>
      </c>
      <c r="O136" t="s">
        <v>37</v>
      </c>
      <c r="P136">
        <v>800037800</v>
      </c>
      <c r="Q136" t="s">
        <v>37</v>
      </c>
      <c r="V136" t="s">
        <v>59</v>
      </c>
      <c r="W136" s="10">
        <f t="shared" si="2"/>
        <v>4</v>
      </c>
      <c r="X136" s="10" t="str">
        <f>+ VLOOKUP(W136,'COMISIONES ENERO-MARZO 2025 (2)'!X:Y,2,0)</f>
        <v>Abril</v>
      </c>
    </row>
    <row r="137" spans="1:24" x14ac:dyDescent="0.35">
      <c r="A137" t="s">
        <v>14</v>
      </c>
      <c r="B137">
        <v>53051501</v>
      </c>
      <c r="C137" t="s">
        <v>15</v>
      </c>
      <c r="D137" s="1">
        <v>23550215.649999999</v>
      </c>
      <c r="E137" s="1">
        <v>0</v>
      </c>
      <c r="F137" s="1">
        <v>23550215.649999999</v>
      </c>
      <c r="J137" s="2">
        <v>45755</v>
      </c>
      <c r="K137" t="s">
        <v>277</v>
      </c>
      <c r="L137" t="s">
        <v>278</v>
      </c>
      <c r="M137" t="s">
        <v>278</v>
      </c>
      <c r="N137">
        <v>890805267</v>
      </c>
      <c r="O137" t="s">
        <v>1058</v>
      </c>
      <c r="P137">
        <v>860003020</v>
      </c>
      <c r="Q137" t="s">
        <v>40</v>
      </c>
      <c r="V137" t="s">
        <v>59</v>
      </c>
      <c r="W137" s="10">
        <f t="shared" si="2"/>
        <v>4</v>
      </c>
      <c r="X137" s="10" t="str">
        <f>+ VLOOKUP(W137,'COMISIONES ENERO-MARZO 2025 (2)'!X:Y,2,0)</f>
        <v>Abril</v>
      </c>
    </row>
    <row r="138" spans="1:24" x14ac:dyDescent="0.35">
      <c r="A138" t="s">
        <v>14</v>
      </c>
      <c r="B138">
        <v>53051501</v>
      </c>
      <c r="C138" t="s">
        <v>15</v>
      </c>
      <c r="D138" s="1">
        <v>629958.5</v>
      </c>
      <c r="E138" s="1">
        <v>0</v>
      </c>
      <c r="F138" s="1">
        <v>629958.5</v>
      </c>
      <c r="J138" s="2">
        <v>45755</v>
      </c>
      <c r="K138" t="s">
        <v>297</v>
      </c>
      <c r="L138" t="s">
        <v>298</v>
      </c>
      <c r="M138" t="s">
        <v>298</v>
      </c>
      <c r="N138">
        <v>890904478</v>
      </c>
      <c r="O138" t="s">
        <v>127</v>
      </c>
      <c r="P138">
        <v>900296536</v>
      </c>
      <c r="Q138" t="s">
        <v>172</v>
      </c>
      <c r="V138" t="s">
        <v>59</v>
      </c>
      <c r="W138" s="10">
        <f t="shared" si="2"/>
        <v>4</v>
      </c>
      <c r="X138" s="10" t="str">
        <f>+ VLOOKUP(W138,'COMISIONES ENERO-MARZO 2025 (2)'!X:Y,2,0)</f>
        <v>Abril</v>
      </c>
    </row>
    <row r="139" spans="1:24" x14ac:dyDescent="0.35">
      <c r="A139" t="s">
        <v>14</v>
      </c>
      <c r="B139">
        <v>53051501</v>
      </c>
      <c r="C139" t="s">
        <v>15</v>
      </c>
      <c r="D139" s="1">
        <v>3529</v>
      </c>
      <c r="E139" s="1">
        <v>0</v>
      </c>
      <c r="F139" s="1">
        <v>3529</v>
      </c>
      <c r="J139" s="2">
        <v>45756</v>
      </c>
      <c r="K139" t="s">
        <v>314</v>
      </c>
      <c r="L139" t="s">
        <v>151</v>
      </c>
      <c r="M139" t="s">
        <v>151</v>
      </c>
      <c r="N139">
        <v>16502466</v>
      </c>
      <c r="O139" t="s">
        <v>1056</v>
      </c>
      <c r="P139">
        <v>890903938</v>
      </c>
      <c r="Q139" t="s">
        <v>29</v>
      </c>
      <c r="V139" t="s">
        <v>59</v>
      </c>
      <c r="W139" s="10">
        <f t="shared" si="2"/>
        <v>4</v>
      </c>
      <c r="X139" s="10" t="str">
        <f>+ VLOOKUP(W139,'COMISIONES ENERO-MARZO 2025 (2)'!X:Y,2,0)</f>
        <v>Abril</v>
      </c>
    </row>
    <row r="140" spans="1:24" x14ac:dyDescent="0.35">
      <c r="A140" t="s">
        <v>14</v>
      </c>
      <c r="B140">
        <v>53051501</v>
      </c>
      <c r="C140" t="s">
        <v>15</v>
      </c>
      <c r="D140" s="1">
        <v>10931486.4</v>
      </c>
      <c r="E140" s="1">
        <v>0</v>
      </c>
      <c r="F140" s="1">
        <v>10931486.4</v>
      </c>
      <c r="J140" s="2">
        <v>45757</v>
      </c>
      <c r="K140" t="s">
        <v>303</v>
      </c>
      <c r="L140" t="s">
        <v>304</v>
      </c>
      <c r="M140" t="s">
        <v>304</v>
      </c>
      <c r="N140">
        <v>860005224</v>
      </c>
      <c r="O140" t="s">
        <v>1073</v>
      </c>
      <c r="P140">
        <v>860003020</v>
      </c>
      <c r="Q140" t="s">
        <v>40</v>
      </c>
      <c r="V140" t="s">
        <v>59</v>
      </c>
      <c r="W140" s="10">
        <f t="shared" si="2"/>
        <v>4</v>
      </c>
      <c r="X140" s="10" t="str">
        <f>+ VLOOKUP(W140,'COMISIONES ENERO-MARZO 2025 (2)'!X:Y,2,0)</f>
        <v>Abril</v>
      </c>
    </row>
    <row r="141" spans="1:24" x14ac:dyDescent="0.35">
      <c r="A141" t="s">
        <v>14</v>
      </c>
      <c r="B141">
        <v>53051501</v>
      </c>
      <c r="C141" t="s">
        <v>15</v>
      </c>
      <c r="D141" s="1">
        <v>26254603.52</v>
      </c>
      <c r="E141" s="1">
        <v>0</v>
      </c>
      <c r="F141" s="1">
        <v>26254603.52</v>
      </c>
      <c r="J141" s="2">
        <v>45757</v>
      </c>
      <c r="K141" t="s">
        <v>307</v>
      </c>
      <c r="L141" t="s">
        <v>308</v>
      </c>
      <c r="M141" t="s">
        <v>176</v>
      </c>
      <c r="N141">
        <v>900079775</v>
      </c>
      <c r="O141" t="s">
        <v>1060</v>
      </c>
      <c r="P141">
        <v>860003020</v>
      </c>
      <c r="Q141" t="s">
        <v>40</v>
      </c>
      <c r="V141" t="s">
        <v>59</v>
      </c>
      <c r="W141" s="10">
        <f t="shared" si="2"/>
        <v>4</v>
      </c>
      <c r="X141" s="10" t="str">
        <f>+ VLOOKUP(W141,'COMISIONES ENERO-MARZO 2025 (2)'!X:Y,2,0)</f>
        <v>Abril</v>
      </c>
    </row>
    <row r="142" spans="1:24" x14ac:dyDescent="0.35">
      <c r="A142" t="s">
        <v>14</v>
      </c>
      <c r="B142">
        <v>53051501</v>
      </c>
      <c r="C142" t="s">
        <v>15</v>
      </c>
      <c r="D142" s="1">
        <v>0</v>
      </c>
      <c r="E142" s="1">
        <v>271584</v>
      </c>
      <c r="F142" s="1">
        <v>-271584</v>
      </c>
      <c r="J142" s="2">
        <v>45761</v>
      </c>
      <c r="K142" t="s">
        <v>269</v>
      </c>
      <c r="L142" t="s">
        <v>270</v>
      </c>
      <c r="M142" t="s">
        <v>270</v>
      </c>
      <c r="N142">
        <v>805000867</v>
      </c>
      <c r="O142" t="s">
        <v>203</v>
      </c>
      <c r="P142">
        <v>805000867</v>
      </c>
      <c r="Q142" t="s">
        <v>203</v>
      </c>
      <c r="V142" t="s">
        <v>59</v>
      </c>
      <c r="W142" s="10">
        <f t="shared" si="2"/>
        <v>4</v>
      </c>
      <c r="X142" s="10" t="str">
        <f>+ VLOOKUP(W142,'COMISIONES ENERO-MARZO 2025 (2)'!X:Y,2,0)</f>
        <v>Abril</v>
      </c>
    </row>
    <row r="143" spans="1:24" x14ac:dyDescent="0.35">
      <c r="A143" t="s">
        <v>14</v>
      </c>
      <c r="B143">
        <v>53051501</v>
      </c>
      <c r="C143" t="s">
        <v>15</v>
      </c>
      <c r="D143" s="1">
        <v>0</v>
      </c>
      <c r="E143" s="1">
        <v>87576</v>
      </c>
      <c r="F143" s="1">
        <v>-87576</v>
      </c>
      <c r="J143" s="2">
        <v>45761</v>
      </c>
      <c r="K143" t="s">
        <v>271</v>
      </c>
      <c r="L143" t="s">
        <v>272</v>
      </c>
      <c r="M143" t="s">
        <v>272</v>
      </c>
      <c r="N143">
        <v>805000867</v>
      </c>
      <c r="O143" t="s">
        <v>203</v>
      </c>
      <c r="P143">
        <v>805000867</v>
      </c>
      <c r="Q143" t="s">
        <v>203</v>
      </c>
      <c r="V143" t="s">
        <v>59</v>
      </c>
      <c r="W143" s="10">
        <f t="shared" si="2"/>
        <v>4</v>
      </c>
      <c r="X143" s="10" t="str">
        <f>+ VLOOKUP(W143,'COMISIONES ENERO-MARZO 2025 (2)'!X:Y,2,0)</f>
        <v>Abril</v>
      </c>
    </row>
    <row r="144" spans="1:24" x14ac:dyDescent="0.35">
      <c r="A144" t="s">
        <v>14</v>
      </c>
      <c r="B144">
        <v>53051501</v>
      </c>
      <c r="C144" t="s">
        <v>15</v>
      </c>
      <c r="D144" s="1">
        <v>0</v>
      </c>
      <c r="E144" s="1">
        <v>266910</v>
      </c>
      <c r="F144" s="1">
        <v>-266910</v>
      </c>
      <c r="J144" s="2">
        <v>45761</v>
      </c>
      <c r="K144" t="s">
        <v>273</v>
      </c>
      <c r="L144" t="s">
        <v>274</v>
      </c>
      <c r="M144" t="s">
        <v>274</v>
      </c>
      <c r="N144">
        <v>805000867</v>
      </c>
      <c r="O144" t="s">
        <v>203</v>
      </c>
      <c r="P144">
        <v>805000867</v>
      </c>
      <c r="Q144" t="s">
        <v>203</v>
      </c>
      <c r="V144" t="s">
        <v>59</v>
      </c>
      <c r="W144" s="10">
        <f t="shared" si="2"/>
        <v>4</v>
      </c>
      <c r="X144" s="10" t="str">
        <f>+ VLOOKUP(W144,'COMISIONES ENERO-MARZO 2025 (2)'!X:Y,2,0)</f>
        <v>Abril</v>
      </c>
    </row>
    <row r="145" spans="1:24" x14ac:dyDescent="0.35">
      <c r="A145" t="s">
        <v>14</v>
      </c>
      <c r="B145">
        <v>53051501</v>
      </c>
      <c r="C145" t="s">
        <v>15</v>
      </c>
      <c r="D145" s="1">
        <v>3529</v>
      </c>
      <c r="E145" s="1">
        <v>0</v>
      </c>
      <c r="F145" s="1">
        <v>3529</v>
      </c>
      <c r="J145" s="2">
        <v>45761</v>
      </c>
      <c r="K145" t="s">
        <v>315</v>
      </c>
      <c r="L145" t="s">
        <v>208</v>
      </c>
      <c r="M145" t="s">
        <v>208</v>
      </c>
      <c r="N145">
        <v>16502466</v>
      </c>
      <c r="O145" t="s">
        <v>1056</v>
      </c>
      <c r="P145">
        <v>890903938</v>
      </c>
      <c r="Q145" t="s">
        <v>29</v>
      </c>
      <c r="V145" t="s">
        <v>59</v>
      </c>
      <c r="W145" s="10">
        <f t="shared" si="2"/>
        <v>4</v>
      </c>
      <c r="X145" s="10" t="str">
        <f>+ VLOOKUP(W145,'COMISIONES ENERO-MARZO 2025 (2)'!X:Y,2,0)</f>
        <v>Abril</v>
      </c>
    </row>
    <row r="146" spans="1:24" x14ac:dyDescent="0.35">
      <c r="A146" t="s">
        <v>14</v>
      </c>
      <c r="B146">
        <v>53051501</v>
      </c>
      <c r="C146" t="s">
        <v>15</v>
      </c>
      <c r="D146" s="1">
        <v>1802342</v>
      </c>
      <c r="E146" s="1">
        <v>0</v>
      </c>
      <c r="F146" s="1">
        <v>1802342</v>
      </c>
      <c r="J146" s="2">
        <v>45762</v>
      </c>
      <c r="K146" t="s">
        <v>253</v>
      </c>
      <c r="L146" t="s">
        <v>254</v>
      </c>
      <c r="M146" t="s">
        <v>254</v>
      </c>
      <c r="N146">
        <v>860002964</v>
      </c>
      <c r="O146" t="s">
        <v>19</v>
      </c>
      <c r="P146">
        <v>860002964</v>
      </c>
      <c r="Q146" t="s">
        <v>19</v>
      </c>
      <c r="V146" t="s">
        <v>20</v>
      </c>
      <c r="W146" s="10">
        <f t="shared" si="2"/>
        <v>4</v>
      </c>
      <c r="X146" s="10" t="str">
        <f>+ VLOOKUP(W146,'COMISIONES ENERO-MARZO 2025 (2)'!X:Y,2,0)</f>
        <v>Abril</v>
      </c>
    </row>
    <row r="147" spans="1:24" x14ac:dyDescent="0.35">
      <c r="A147" t="s">
        <v>14</v>
      </c>
      <c r="B147">
        <v>53051501</v>
      </c>
      <c r="C147" t="s">
        <v>15</v>
      </c>
      <c r="D147" s="1">
        <v>3990367.18</v>
      </c>
      <c r="E147" s="1">
        <v>0</v>
      </c>
      <c r="F147" s="1">
        <v>3990367.18</v>
      </c>
      <c r="J147" s="2">
        <v>45762</v>
      </c>
      <c r="K147" t="s">
        <v>255</v>
      </c>
      <c r="L147" t="s">
        <v>254</v>
      </c>
      <c r="M147" t="s">
        <v>254</v>
      </c>
      <c r="N147">
        <v>890903938</v>
      </c>
      <c r="O147" t="s">
        <v>29</v>
      </c>
      <c r="P147">
        <v>890903938</v>
      </c>
      <c r="Q147" t="s">
        <v>29</v>
      </c>
      <c r="V147" t="s">
        <v>20</v>
      </c>
      <c r="W147" s="10">
        <f t="shared" si="2"/>
        <v>4</v>
      </c>
      <c r="X147" s="10" t="str">
        <f>+ VLOOKUP(W147,'COMISIONES ENERO-MARZO 2025 (2)'!X:Y,2,0)</f>
        <v>Abril</v>
      </c>
    </row>
    <row r="148" spans="1:24" x14ac:dyDescent="0.35">
      <c r="A148" t="s">
        <v>14</v>
      </c>
      <c r="B148">
        <v>53051501</v>
      </c>
      <c r="C148" t="s">
        <v>15</v>
      </c>
      <c r="D148" s="1">
        <v>8069844</v>
      </c>
      <c r="E148" s="1">
        <v>0</v>
      </c>
      <c r="F148" s="1">
        <v>8069844</v>
      </c>
      <c r="J148" s="2">
        <v>45762</v>
      </c>
      <c r="K148" t="s">
        <v>256</v>
      </c>
      <c r="L148" t="s">
        <v>254</v>
      </c>
      <c r="M148" t="s">
        <v>254</v>
      </c>
      <c r="N148">
        <v>860034313</v>
      </c>
      <c r="O148" t="s">
        <v>35</v>
      </c>
      <c r="P148">
        <v>860034313</v>
      </c>
      <c r="Q148" t="s">
        <v>35</v>
      </c>
      <c r="V148" t="s">
        <v>20</v>
      </c>
      <c r="W148" s="10">
        <f t="shared" si="2"/>
        <v>4</v>
      </c>
      <c r="X148" s="10" t="str">
        <f>+ VLOOKUP(W148,'COMISIONES ENERO-MARZO 2025 (2)'!X:Y,2,0)</f>
        <v>Abril</v>
      </c>
    </row>
    <row r="149" spans="1:24" x14ac:dyDescent="0.35">
      <c r="A149" t="s">
        <v>14</v>
      </c>
      <c r="B149">
        <v>53051501</v>
      </c>
      <c r="C149" t="s">
        <v>15</v>
      </c>
      <c r="D149" s="1">
        <v>12052</v>
      </c>
      <c r="E149" s="1">
        <v>0</v>
      </c>
      <c r="F149" s="1">
        <v>12052</v>
      </c>
      <c r="J149" s="2">
        <v>45762</v>
      </c>
      <c r="K149" t="s">
        <v>257</v>
      </c>
      <c r="L149" t="s">
        <v>254</v>
      </c>
      <c r="M149" t="s">
        <v>254</v>
      </c>
      <c r="N149">
        <v>800037800</v>
      </c>
      <c r="O149" t="s">
        <v>37</v>
      </c>
      <c r="P149">
        <v>800037800</v>
      </c>
      <c r="Q149" t="s">
        <v>37</v>
      </c>
      <c r="V149" t="s">
        <v>20</v>
      </c>
      <c r="W149" s="10">
        <f t="shared" si="2"/>
        <v>4</v>
      </c>
      <c r="X149" s="10" t="str">
        <f>+ VLOOKUP(W149,'COMISIONES ENERO-MARZO 2025 (2)'!X:Y,2,0)</f>
        <v>Abril</v>
      </c>
    </row>
    <row r="150" spans="1:24" x14ac:dyDescent="0.35">
      <c r="A150" t="s">
        <v>14</v>
      </c>
      <c r="B150">
        <v>53051501</v>
      </c>
      <c r="C150" t="s">
        <v>15</v>
      </c>
      <c r="D150" s="1">
        <v>15900</v>
      </c>
      <c r="E150" s="1">
        <v>0</v>
      </c>
      <c r="F150" s="1">
        <v>15900</v>
      </c>
      <c r="J150" s="2">
        <v>45762</v>
      </c>
      <c r="K150" t="s">
        <v>258</v>
      </c>
      <c r="L150" t="s">
        <v>254</v>
      </c>
      <c r="M150" t="s">
        <v>254</v>
      </c>
      <c r="N150">
        <v>860007738</v>
      </c>
      <c r="O150" t="s">
        <v>25</v>
      </c>
      <c r="P150">
        <v>860007738</v>
      </c>
      <c r="Q150" t="s">
        <v>25</v>
      </c>
      <c r="V150" t="s">
        <v>20</v>
      </c>
      <c r="W150" s="10">
        <f t="shared" si="2"/>
        <v>4</v>
      </c>
      <c r="X150" s="10" t="str">
        <f>+ VLOOKUP(W150,'COMISIONES ENERO-MARZO 2025 (2)'!X:Y,2,0)</f>
        <v>Abril</v>
      </c>
    </row>
    <row r="151" spans="1:24" x14ac:dyDescent="0.35">
      <c r="A151" t="s">
        <v>14</v>
      </c>
      <c r="B151">
        <v>53051501</v>
      </c>
      <c r="C151" t="s">
        <v>15</v>
      </c>
      <c r="D151" s="1">
        <v>1423500</v>
      </c>
      <c r="E151" s="1">
        <v>0</v>
      </c>
      <c r="F151" s="1">
        <v>1423500</v>
      </c>
      <c r="J151" s="2">
        <v>45762</v>
      </c>
      <c r="K151" t="s">
        <v>259</v>
      </c>
      <c r="L151" t="s">
        <v>254</v>
      </c>
      <c r="M151" t="s">
        <v>254</v>
      </c>
      <c r="N151">
        <v>860531315</v>
      </c>
      <c r="O151" t="s">
        <v>75</v>
      </c>
      <c r="P151">
        <v>860531315</v>
      </c>
      <c r="Q151" t="s">
        <v>75</v>
      </c>
      <c r="V151" t="s">
        <v>20</v>
      </c>
      <c r="W151" s="10">
        <f t="shared" si="2"/>
        <v>4</v>
      </c>
      <c r="X151" s="10" t="str">
        <f>+ VLOOKUP(W151,'COMISIONES ENERO-MARZO 2025 (2)'!X:Y,2,0)</f>
        <v>Abril</v>
      </c>
    </row>
    <row r="152" spans="1:24" x14ac:dyDescent="0.35">
      <c r="A152" t="s">
        <v>14</v>
      </c>
      <c r="B152">
        <v>53051501</v>
      </c>
      <c r="C152" t="s">
        <v>15</v>
      </c>
      <c r="D152" s="1">
        <v>846982.5</v>
      </c>
      <c r="E152" s="1">
        <v>0</v>
      </c>
      <c r="F152" s="1">
        <v>846982.5</v>
      </c>
      <c r="J152" s="2">
        <v>45762</v>
      </c>
      <c r="K152" t="s">
        <v>260</v>
      </c>
      <c r="L152" t="s">
        <v>254</v>
      </c>
      <c r="M152" t="s">
        <v>254</v>
      </c>
      <c r="N152">
        <v>860043186</v>
      </c>
      <c r="O152" t="s">
        <v>138</v>
      </c>
      <c r="P152">
        <v>860043186</v>
      </c>
      <c r="Q152" t="s">
        <v>138</v>
      </c>
      <c r="V152" t="s">
        <v>20</v>
      </c>
      <c r="W152" s="10">
        <f t="shared" si="2"/>
        <v>4</v>
      </c>
      <c r="X152" s="10" t="str">
        <f>+ VLOOKUP(W152,'COMISIONES ENERO-MARZO 2025 (2)'!X:Y,2,0)</f>
        <v>Abril</v>
      </c>
    </row>
    <row r="153" spans="1:24" x14ac:dyDescent="0.35">
      <c r="A153" t="s">
        <v>14</v>
      </c>
      <c r="B153">
        <v>53051501</v>
      </c>
      <c r="C153" t="s">
        <v>15</v>
      </c>
      <c r="D153" s="1">
        <v>66033153.899999999</v>
      </c>
      <c r="E153" s="1">
        <v>0</v>
      </c>
      <c r="F153" s="1">
        <v>66033153.899999999</v>
      </c>
      <c r="J153" s="2">
        <v>45762</v>
      </c>
      <c r="K153" t="s">
        <v>261</v>
      </c>
      <c r="L153" t="s">
        <v>262</v>
      </c>
      <c r="M153" t="s">
        <v>262</v>
      </c>
      <c r="N153">
        <v>860003020</v>
      </c>
      <c r="O153" t="s">
        <v>40</v>
      </c>
      <c r="P153">
        <v>860003020</v>
      </c>
      <c r="Q153" t="s">
        <v>40</v>
      </c>
      <c r="V153" t="s">
        <v>20</v>
      </c>
      <c r="W153" s="10">
        <f t="shared" si="2"/>
        <v>4</v>
      </c>
      <c r="X153" s="10" t="str">
        <f>+ VLOOKUP(W153,'COMISIONES ENERO-MARZO 2025 (2)'!X:Y,2,0)</f>
        <v>Abril</v>
      </c>
    </row>
    <row r="154" spans="1:24" x14ac:dyDescent="0.35">
      <c r="A154" t="s">
        <v>14</v>
      </c>
      <c r="B154">
        <v>53051501</v>
      </c>
      <c r="C154" t="s">
        <v>15</v>
      </c>
      <c r="D154" s="1">
        <v>4270500</v>
      </c>
      <c r="E154" s="1">
        <v>0</v>
      </c>
      <c r="F154" s="1">
        <v>4270500</v>
      </c>
      <c r="J154" s="2">
        <v>45762</v>
      </c>
      <c r="K154" t="s">
        <v>263</v>
      </c>
      <c r="L154" t="s">
        <v>254</v>
      </c>
      <c r="M154" t="s">
        <v>254</v>
      </c>
      <c r="N154">
        <v>800141235</v>
      </c>
      <c r="O154" t="s">
        <v>42</v>
      </c>
      <c r="P154">
        <v>800141235</v>
      </c>
      <c r="Q154" t="s">
        <v>42</v>
      </c>
      <c r="V154" t="s">
        <v>20</v>
      </c>
      <c r="W154" s="10">
        <f t="shared" si="2"/>
        <v>4</v>
      </c>
      <c r="X154" s="10" t="str">
        <f>+ VLOOKUP(W154,'COMISIONES ENERO-MARZO 2025 (2)'!X:Y,2,0)</f>
        <v>Abril</v>
      </c>
    </row>
    <row r="155" spans="1:24" x14ac:dyDescent="0.35">
      <c r="A155" t="s">
        <v>14</v>
      </c>
      <c r="B155">
        <v>53051501</v>
      </c>
      <c r="C155" t="s">
        <v>15</v>
      </c>
      <c r="D155" s="1">
        <v>3558750.5</v>
      </c>
      <c r="E155" s="1">
        <v>0</v>
      </c>
      <c r="F155" s="1">
        <v>3558750.5</v>
      </c>
      <c r="J155" s="2">
        <v>45762</v>
      </c>
      <c r="K155" t="s">
        <v>264</v>
      </c>
      <c r="L155" t="s">
        <v>254</v>
      </c>
      <c r="M155" t="s">
        <v>254</v>
      </c>
      <c r="N155">
        <v>800182281</v>
      </c>
      <c r="O155" t="s">
        <v>44</v>
      </c>
      <c r="P155">
        <v>800182281</v>
      </c>
      <c r="Q155" t="s">
        <v>44</v>
      </c>
      <c r="V155" t="s">
        <v>20</v>
      </c>
      <c r="W155" s="10">
        <f t="shared" si="2"/>
        <v>4</v>
      </c>
      <c r="X155" s="10" t="str">
        <f>+ VLOOKUP(W155,'COMISIONES ENERO-MARZO 2025 (2)'!X:Y,2,0)</f>
        <v>Abril</v>
      </c>
    </row>
    <row r="156" spans="1:24" x14ac:dyDescent="0.35">
      <c r="A156" t="s">
        <v>14</v>
      </c>
      <c r="B156">
        <v>53051501</v>
      </c>
      <c r="C156" t="s">
        <v>15</v>
      </c>
      <c r="D156" s="1">
        <v>475395.51</v>
      </c>
      <c r="E156" s="1">
        <v>0</v>
      </c>
      <c r="F156" s="1">
        <v>475395.51</v>
      </c>
      <c r="J156" s="2">
        <v>45762</v>
      </c>
      <c r="K156" t="s">
        <v>265</v>
      </c>
      <c r="L156" t="s">
        <v>254</v>
      </c>
      <c r="M156" t="s">
        <v>254</v>
      </c>
      <c r="N156" t="s">
        <v>1072</v>
      </c>
      <c r="O156" t="s">
        <v>46</v>
      </c>
      <c r="P156" t="s">
        <v>1072</v>
      </c>
      <c r="Q156" t="s">
        <v>46</v>
      </c>
      <c r="V156" t="s">
        <v>20</v>
      </c>
      <c r="W156" s="10">
        <f t="shared" si="2"/>
        <v>4</v>
      </c>
      <c r="X156" s="10" t="str">
        <f>+ VLOOKUP(W156,'COMISIONES ENERO-MARZO 2025 (2)'!X:Y,2,0)</f>
        <v>Abril</v>
      </c>
    </row>
    <row r="157" spans="1:24" x14ac:dyDescent="0.35">
      <c r="A157" t="s">
        <v>14</v>
      </c>
      <c r="B157">
        <v>53051501</v>
      </c>
      <c r="C157" t="s">
        <v>15</v>
      </c>
      <c r="D157" s="1">
        <v>239997.6</v>
      </c>
      <c r="E157" s="1">
        <v>0</v>
      </c>
      <c r="F157" s="1">
        <v>239997.6</v>
      </c>
      <c r="J157" s="2">
        <v>45762</v>
      </c>
      <c r="K157" t="s">
        <v>266</v>
      </c>
      <c r="L157" t="s">
        <v>254</v>
      </c>
      <c r="M157" t="s">
        <v>254</v>
      </c>
      <c r="N157">
        <v>890903937</v>
      </c>
      <c r="O157" t="s">
        <v>167</v>
      </c>
      <c r="P157">
        <v>890903937</v>
      </c>
      <c r="Q157" t="s">
        <v>167</v>
      </c>
      <c r="V157" t="s">
        <v>20</v>
      </c>
      <c r="W157" s="10">
        <f t="shared" si="2"/>
        <v>4</v>
      </c>
      <c r="X157" s="10" t="str">
        <f>+ VLOOKUP(W157,'COMISIONES ENERO-MARZO 2025 (2)'!X:Y,2,0)</f>
        <v>Abril</v>
      </c>
    </row>
    <row r="158" spans="1:24" x14ac:dyDescent="0.35">
      <c r="A158" t="s">
        <v>14</v>
      </c>
      <c r="B158">
        <v>53051501</v>
      </c>
      <c r="C158" t="s">
        <v>15</v>
      </c>
      <c r="D158" s="1">
        <v>0</v>
      </c>
      <c r="E158" s="1">
        <v>12052</v>
      </c>
      <c r="F158" s="1">
        <v>-12052</v>
      </c>
      <c r="J158" s="2">
        <v>45762</v>
      </c>
      <c r="K158" t="s">
        <v>301</v>
      </c>
      <c r="L158" t="s">
        <v>302</v>
      </c>
      <c r="M158" t="s">
        <v>302</v>
      </c>
      <c r="N158">
        <v>891900196</v>
      </c>
      <c r="O158" t="s">
        <v>676</v>
      </c>
      <c r="P158">
        <v>800037800</v>
      </c>
      <c r="Q158" t="s">
        <v>37</v>
      </c>
      <c r="V158" t="s">
        <v>59</v>
      </c>
      <c r="W158" s="10">
        <f t="shared" si="2"/>
        <v>4</v>
      </c>
      <c r="X158" s="10" t="str">
        <f>+ VLOOKUP(W158,'COMISIONES ENERO-MARZO 2025 (2)'!X:Y,2,0)</f>
        <v>Abril</v>
      </c>
    </row>
    <row r="159" spans="1:24" x14ac:dyDescent="0.35">
      <c r="A159" t="s">
        <v>14</v>
      </c>
      <c r="B159">
        <v>53051501</v>
      </c>
      <c r="C159" t="s">
        <v>15</v>
      </c>
      <c r="D159" s="1">
        <v>0</v>
      </c>
      <c r="E159" s="1">
        <v>4270500</v>
      </c>
      <c r="F159" s="1">
        <v>-4270500</v>
      </c>
      <c r="J159" s="2">
        <v>45762</v>
      </c>
      <c r="K159" t="s">
        <v>301</v>
      </c>
      <c r="L159" t="s">
        <v>302</v>
      </c>
      <c r="M159" t="s">
        <v>302</v>
      </c>
      <c r="N159">
        <v>891900196</v>
      </c>
      <c r="O159" t="s">
        <v>676</v>
      </c>
      <c r="P159">
        <v>800141235</v>
      </c>
      <c r="Q159" t="s">
        <v>42</v>
      </c>
      <c r="V159" t="s">
        <v>59</v>
      </c>
      <c r="W159" s="10">
        <f t="shared" si="2"/>
        <v>4</v>
      </c>
      <c r="X159" s="10" t="str">
        <f>+ VLOOKUP(W159,'COMISIONES ENERO-MARZO 2025 (2)'!X:Y,2,0)</f>
        <v>Abril</v>
      </c>
    </row>
    <row r="160" spans="1:24" x14ac:dyDescent="0.35">
      <c r="A160" t="s">
        <v>14</v>
      </c>
      <c r="B160">
        <v>53051501</v>
      </c>
      <c r="C160" t="s">
        <v>15</v>
      </c>
      <c r="D160" s="1">
        <v>0</v>
      </c>
      <c r="E160" s="1">
        <v>3558750.5</v>
      </c>
      <c r="F160" s="1">
        <v>-3558750.5</v>
      </c>
      <c r="J160" s="2">
        <v>45762</v>
      </c>
      <c r="K160" t="s">
        <v>301</v>
      </c>
      <c r="L160" t="s">
        <v>302</v>
      </c>
      <c r="M160" t="s">
        <v>302</v>
      </c>
      <c r="N160">
        <v>891900196</v>
      </c>
      <c r="O160" t="s">
        <v>676</v>
      </c>
      <c r="P160">
        <v>800182281</v>
      </c>
      <c r="Q160" t="s">
        <v>44</v>
      </c>
      <c r="V160" t="s">
        <v>59</v>
      </c>
      <c r="W160" s="10">
        <f t="shared" si="2"/>
        <v>4</v>
      </c>
      <c r="X160" s="10" t="str">
        <f>+ VLOOKUP(W160,'COMISIONES ENERO-MARZO 2025 (2)'!X:Y,2,0)</f>
        <v>Abril</v>
      </c>
    </row>
    <row r="161" spans="1:24" x14ac:dyDescent="0.35">
      <c r="A161" t="s">
        <v>14</v>
      </c>
      <c r="B161">
        <v>53051501</v>
      </c>
      <c r="C161" t="s">
        <v>15</v>
      </c>
      <c r="D161" s="1">
        <v>0</v>
      </c>
      <c r="E161" s="1">
        <v>1802342</v>
      </c>
      <c r="F161" s="1">
        <v>-1802342</v>
      </c>
      <c r="J161" s="2">
        <v>45762</v>
      </c>
      <c r="K161" t="s">
        <v>301</v>
      </c>
      <c r="L161" t="s">
        <v>302</v>
      </c>
      <c r="M161" t="s">
        <v>302</v>
      </c>
      <c r="N161">
        <v>891900196</v>
      </c>
      <c r="O161" t="s">
        <v>676</v>
      </c>
      <c r="P161">
        <v>860002964</v>
      </c>
      <c r="Q161" t="s">
        <v>19</v>
      </c>
      <c r="V161" t="s">
        <v>59</v>
      </c>
      <c r="W161" s="10">
        <f t="shared" si="2"/>
        <v>4</v>
      </c>
      <c r="X161" s="10" t="str">
        <f>+ VLOOKUP(W161,'COMISIONES ENERO-MARZO 2025 (2)'!X:Y,2,0)</f>
        <v>Abril</v>
      </c>
    </row>
    <row r="162" spans="1:24" x14ac:dyDescent="0.35">
      <c r="A162" t="s">
        <v>14</v>
      </c>
      <c r="B162">
        <v>53051501</v>
      </c>
      <c r="C162" t="s">
        <v>15</v>
      </c>
      <c r="D162" s="1">
        <v>0</v>
      </c>
      <c r="E162" s="1">
        <v>66033153.899999999</v>
      </c>
      <c r="F162" s="1">
        <v>-66033153.899999999</v>
      </c>
      <c r="J162" s="2">
        <v>45762</v>
      </c>
      <c r="K162" t="s">
        <v>301</v>
      </c>
      <c r="L162" t="s">
        <v>302</v>
      </c>
      <c r="M162" t="s">
        <v>302</v>
      </c>
      <c r="N162">
        <v>891900196</v>
      </c>
      <c r="O162" t="s">
        <v>676</v>
      </c>
      <c r="P162">
        <v>860003020</v>
      </c>
      <c r="Q162" t="s">
        <v>40</v>
      </c>
      <c r="V162" t="s">
        <v>59</v>
      </c>
      <c r="W162" s="10">
        <f t="shared" si="2"/>
        <v>4</v>
      </c>
      <c r="X162" s="10" t="str">
        <f>+ VLOOKUP(W162,'COMISIONES ENERO-MARZO 2025 (2)'!X:Y,2,0)</f>
        <v>Abril</v>
      </c>
    </row>
    <row r="163" spans="1:24" x14ac:dyDescent="0.35">
      <c r="A163" t="s">
        <v>14</v>
      </c>
      <c r="B163">
        <v>53051501</v>
      </c>
      <c r="C163" t="s">
        <v>15</v>
      </c>
      <c r="D163" s="1">
        <v>0</v>
      </c>
      <c r="E163" s="1">
        <v>15900</v>
      </c>
      <c r="F163" s="1">
        <v>-15900</v>
      </c>
      <c r="J163" s="2">
        <v>45762</v>
      </c>
      <c r="K163" t="s">
        <v>301</v>
      </c>
      <c r="L163" t="s">
        <v>302</v>
      </c>
      <c r="M163" t="s">
        <v>302</v>
      </c>
      <c r="N163">
        <v>891900196</v>
      </c>
      <c r="O163" t="s">
        <v>676</v>
      </c>
      <c r="P163">
        <v>860007738</v>
      </c>
      <c r="Q163" t="s">
        <v>25</v>
      </c>
      <c r="V163" t="s">
        <v>59</v>
      </c>
      <c r="W163" s="10">
        <f t="shared" si="2"/>
        <v>4</v>
      </c>
      <c r="X163" s="10" t="str">
        <f>+ VLOOKUP(W163,'COMISIONES ENERO-MARZO 2025 (2)'!X:Y,2,0)</f>
        <v>Abril</v>
      </c>
    </row>
    <row r="164" spans="1:24" x14ac:dyDescent="0.35">
      <c r="A164" t="s">
        <v>14</v>
      </c>
      <c r="B164">
        <v>53051501</v>
      </c>
      <c r="C164" t="s">
        <v>15</v>
      </c>
      <c r="D164" s="1">
        <v>0</v>
      </c>
      <c r="E164" s="1">
        <v>8069844</v>
      </c>
      <c r="F164" s="1">
        <v>-8069844</v>
      </c>
      <c r="J164" s="2">
        <v>45762</v>
      </c>
      <c r="K164" t="s">
        <v>301</v>
      </c>
      <c r="L164" t="s">
        <v>302</v>
      </c>
      <c r="M164" t="s">
        <v>302</v>
      </c>
      <c r="N164">
        <v>891900196</v>
      </c>
      <c r="O164" t="s">
        <v>676</v>
      </c>
      <c r="P164">
        <v>860034313</v>
      </c>
      <c r="Q164" t="s">
        <v>35</v>
      </c>
      <c r="V164" t="s">
        <v>59</v>
      </c>
      <c r="W164" s="10">
        <f t="shared" si="2"/>
        <v>4</v>
      </c>
      <c r="X164" s="10" t="str">
        <f>+ VLOOKUP(W164,'COMISIONES ENERO-MARZO 2025 (2)'!X:Y,2,0)</f>
        <v>Abril</v>
      </c>
    </row>
    <row r="165" spans="1:24" x14ac:dyDescent="0.35">
      <c r="A165" t="s">
        <v>14</v>
      </c>
      <c r="B165">
        <v>53051501</v>
      </c>
      <c r="C165" t="s">
        <v>15</v>
      </c>
      <c r="D165" s="1">
        <v>0</v>
      </c>
      <c r="E165" s="1">
        <v>846982.5</v>
      </c>
      <c r="F165" s="1">
        <v>-846982.5</v>
      </c>
      <c r="J165" s="2">
        <v>45762</v>
      </c>
      <c r="K165" t="s">
        <v>301</v>
      </c>
      <c r="L165" t="s">
        <v>302</v>
      </c>
      <c r="M165" t="s">
        <v>302</v>
      </c>
      <c r="N165">
        <v>891900196</v>
      </c>
      <c r="O165" t="s">
        <v>676</v>
      </c>
      <c r="P165">
        <v>860043186</v>
      </c>
      <c r="Q165" t="s">
        <v>138</v>
      </c>
      <c r="V165" t="s">
        <v>59</v>
      </c>
      <c r="W165" s="10">
        <f t="shared" si="2"/>
        <v>4</v>
      </c>
      <c r="X165" s="10" t="str">
        <f>+ VLOOKUP(W165,'COMISIONES ENERO-MARZO 2025 (2)'!X:Y,2,0)</f>
        <v>Abril</v>
      </c>
    </row>
    <row r="166" spans="1:24" x14ac:dyDescent="0.35">
      <c r="A166" t="s">
        <v>14</v>
      </c>
      <c r="B166">
        <v>53051501</v>
      </c>
      <c r="C166" t="s">
        <v>15</v>
      </c>
      <c r="D166" s="1">
        <v>0</v>
      </c>
      <c r="E166" s="1">
        <v>1423500</v>
      </c>
      <c r="F166" s="1">
        <v>-1423500</v>
      </c>
      <c r="J166" s="2">
        <v>45762</v>
      </c>
      <c r="K166" t="s">
        <v>301</v>
      </c>
      <c r="L166" t="s">
        <v>302</v>
      </c>
      <c r="M166" t="s">
        <v>302</v>
      </c>
      <c r="N166">
        <v>891900196</v>
      </c>
      <c r="O166" t="s">
        <v>676</v>
      </c>
      <c r="P166">
        <v>860531315</v>
      </c>
      <c r="Q166" t="s">
        <v>75</v>
      </c>
      <c r="V166" t="s">
        <v>59</v>
      </c>
      <c r="W166" s="10">
        <f t="shared" si="2"/>
        <v>4</v>
      </c>
      <c r="X166" s="10" t="str">
        <f>+ VLOOKUP(W166,'COMISIONES ENERO-MARZO 2025 (2)'!X:Y,2,0)</f>
        <v>Abril</v>
      </c>
    </row>
    <row r="167" spans="1:24" x14ac:dyDescent="0.35">
      <c r="A167" t="s">
        <v>14</v>
      </c>
      <c r="B167">
        <v>53051501</v>
      </c>
      <c r="C167" t="s">
        <v>15</v>
      </c>
      <c r="D167" s="1">
        <v>0</v>
      </c>
      <c r="E167" s="1">
        <v>239997.6</v>
      </c>
      <c r="F167" s="1">
        <v>-239997.6</v>
      </c>
      <c r="J167" s="2">
        <v>45762</v>
      </c>
      <c r="K167" t="s">
        <v>301</v>
      </c>
      <c r="L167" t="s">
        <v>302</v>
      </c>
      <c r="M167" t="s">
        <v>302</v>
      </c>
      <c r="N167">
        <v>891900196</v>
      </c>
      <c r="O167" t="s">
        <v>676</v>
      </c>
      <c r="P167">
        <v>890903937</v>
      </c>
      <c r="Q167" t="s">
        <v>167</v>
      </c>
      <c r="V167" t="s">
        <v>59</v>
      </c>
      <c r="W167" s="10">
        <f t="shared" si="2"/>
        <v>4</v>
      </c>
      <c r="X167" s="10" t="str">
        <f>+ VLOOKUP(W167,'COMISIONES ENERO-MARZO 2025 (2)'!X:Y,2,0)</f>
        <v>Abril</v>
      </c>
    </row>
    <row r="168" spans="1:24" x14ac:dyDescent="0.35">
      <c r="A168" t="s">
        <v>14</v>
      </c>
      <c r="B168">
        <v>53051501</v>
      </c>
      <c r="C168" t="s">
        <v>15</v>
      </c>
      <c r="D168" s="1">
        <v>0</v>
      </c>
      <c r="E168" s="1">
        <v>3990367.18</v>
      </c>
      <c r="F168" s="1">
        <v>-3990367.18</v>
      </c>
      <c r="J168" s="2">
        <v>45762</v>
      </c>
      <c r="K168" t="s">
        <v>301</v>
      </c>
      <c r="L168" t="s">
        <v>302</v>
      </c>
      <c r="M168" t="s">
        <v>302</v>
      </c>
      <c r="N168">
        <v>891900196</v>
      </c>
      <c r="O168" t="s">
        <v>676</v>
      </c>
      <c r="P168">
        <v>890903938</v>
      </c>
      <c r="Q168" t="s">
        <v>29</v>
      </c>
      <c r="V168" t="s">
        <v>59</v>
      </c>
      <c r="W168" s="10">
        <f t="shared" si="2"/>
        <v>4</v>
      </c>
      <c r="X168" s="10" t="str">
        <f>+ VLOOKUP(W168,'COMISIONES ENERO-MARZO 2025 (2)'!X:Y,2,0)</f>
        <v>Abril</v>
      </c>
    </row>
    <row r="169" spans="1:24" x14ac:dyDescent="0.35">
      <c r="A169" t="s">
        <v>14</v>
      </c>
      <c r="B169">
        <v>53051501</v>
      </c>
      <c r="C169" t="s">
        <v>15</v>
      </c>
      <c r="D169" s="1">
        <v>0</v>
      </c>
      <c r="E169" s="1">
        <v>475395.51</v>
      </c>
      <c r="F169" s="1">
        <v>-475395.51</v>
      </c>
      <c r="J169" s="2">
        <v>45762</v>
      </c>
      <c r="K169" t="s">
        <v>301</v>
      </c>
      <c r="L169" t="s">
        <v>302</v>
      </c>
      <c r="M169" t="s">
        <v>302</v>
      </c>
      <c r="N169">
        <v>891900196</v>
      </c>
      <c r="O169" t="s">
        <v>676</v>
      </c>
      <c r="P169" t="s">
        <v>1072</v>
      </c>
      <c r="Q169" t="s">
        <v>46</v>
      </c>
      <c r="V169" t="s">
        <v>59</v>
      </c>
      <c r="W169" s="10">
        <f t="shared" si="2"/>
        <v>4</v>
      </c>
      <c r="X169" s="10" t="str">
        <f>+ VLOOKUP(W169,'COMISIONES ENERO-MARZO 2025 (2)'!X:Y,2,0)</f>
        <v>Abril</v>
      </c>
    </row>
    <row r="170" spans="1:24" x14ac:dyDescent="0.35">
      <c r="A170" t="s">
        <v>14</v>
      </c>
      <c r="B170">
        <v>53051501</v>
      </c>
      <c r="C170" t="s">
        <v>15</v>
      </c>
      <c r="D170" s="1">
        <v>3529</v>
      </c>
      <c r="E170" s="1">
        <v>0</v>
      </c>
      <c r="F170" s="1">
        <v>3529</v>
      </c>
      <c r="J170" s="2">
        <v>45763</v>
      </c>
      <c r="K170" t="s">
        <v>316</v>
      </c>
      <c r="L170" t="s">
        <v>155</v>
      </c>
      <c r="M170" t="s">
        <v>155</v>
      </c>
      <c r="N170">
        <v>29760690</v>
      </c>
      <c r="O170" t="s">
        <v>1061</v>
      </c>
      <c r="P170">
        <v>890903938</v>
      </c>
      <c r="Q170" t="s">
        <v>29</v>
      </c>
      <c r="V170" t="s">
        <v>59</v>
      </c>
      <c r="W170" s="10">
        <f t="shared" si="2"/>
        <v>4</v>
      </c>
      <c r="X170" s="10" t="str">
        <f>+ VLOOKUP(W170,'COMISIONES ENERO-MARZO 2025 (2)'!X:Y,2,0)</f>
        <v>Abril</v>
      </c>
    </row>
    <row r="171" spans="1:24" x14ac:dyDescent="0.35">
      <c r="A171" t="s">
        <v>14</v>
      </c>
      <c r="B171">
        <v>53051501</v>
      </c>
      <c r="C171" t="s">
        <v>15</v>
      </c>
      <c r="D171" s="1">
        <v>3529</v>
      </c>
      <c r="E171" s="1">
        <v>0</v>
      </c>
      <c r="F171" s="1">
        <v>3529</v>
      </c>
      <c r="J171" s="2">
        <v>45770</v>
      </c>
      <c r="K171" t="s">
        <v>320</v>
      </c>
      <c r="L171" t="s">
        <v>321</v>
      </c>
      <c r="M171" t="s">
        <v>321</v>
      </c>
      <c r="N171">
        <v>16502466</v>
      </c>
      <c r="O171" t="s">
        <v>1056</v>
      </c>
      <c r="P171">
        <v>890903938</v>
      </c>
      <c r="Q171" t="s">
        <v>29</v>
      </c>
      <c r="V171" t="s">
        <v>59</v>
      </c>
      <c r="W171" s="10">
        <f t="shared" si="2"/>
        <v>4</v>
      </c>
      <c r="X171" s="10" t="str">
        <f>+ VLOOKUP(W171,'COMISIONES ENERO-MARZO 2025 (2)'!X:Y,2,0)</f>
        <v>Abril</v>
      </c>
    </row>
    <row r="172" spans="1:24" x14ac:dyDescent="0.35">
      <c r="A172" t="s">
        <v>14</v>
      </c>
      <c r="B172">
        <v>53051501</v>
      </c>
      <c r="C172" t="s">
        <v>15</v>
      </c>
      <c r="D172" s="1">
        <v>3529</v>
      </c>
      <c r="E172" s="1">
        <v>0</v>
      </c>
      <c r="F172" s="1">
        <v>3529</v>
      </c>
      <c r="J172" s="2">
        <v>45771</v>
      </c>
      <c r="K172" t="s">
        <v>281</v>
      </c>
      <c r="L172" t="s">
        <v>282</v>
      </c>
      <c r="M172" t="s">
        <v>282</v>
      </c>
      <c r="N172">
        <v>16358666</v>
      </c>
      <c r="O172" t="s">
        <v>1074</v>
      </c>
      <c r="P172">
        <v>890903938</v>
      </c>
      <c r="Q172" t="s">
        <v>29</v>
      </c>
      <c r="V172" t="s">
        <v>59</v>
      </c>
      <c r="W172" s="10">
        <f t="shared" si="2"/>
        <v>4</v>
      </c>
      <c r="X172" s="10" t="str">
        <f>+ VLOOKUP(W172,'COMISIONES ENERO-MARZO 2025 (2)'!X:Y,2,0)</f>
        <v>Abril</v>
      </c>
    </row>
    <row r="173" spans="1:24" x14ac:dyDescent="0.35">
      <c r="A173" t="s">
        <v>14</v>
      </c>
      <c r="B173">
        <v>53051501</v>
      </c>
      <c r="C173" t="s">
        <v>15</v>
      </c>
      <c r="D173" s="1">
        <v>12852055</v>
      </c>
      <c r="E173" s="1">
        <v>0</v>
      </c>
      <c r="F173" s="1">
        <v>12852055</v>
      </c>
      <c r="J173" s="2">
        <v>45775</v>
      </c>
      <c r="K173" t="s">
        <v>293</v>
      </c>
      <c r="L173" t="s">
        <v>294</v>
      </c>
      <c r="M173" t="s">
        <v>294</v>
      </c>
      <c r="N173">
        <v>890903938</v>
      </c>
      <c r="O173" t="s">
        <v>29</v>
      </c>
      <c r="P173">
        <v>890903938</v>
      </c>
      <c r="Q173" t="s">
        <v>29</v>
      </c>
      <c r="V173" t="s">
        <v>59</v>
      </c>
      <c r="W173" s="10">
        <f t="shared" si="2"/>
        <v>4</v>
      </c>
      <c r="X173" s="10" t="str">
        <f>+ VLOOKUP(W173,'COMISIONES ENERO-MARZO 2025 (2)'!X:Y,2,0)</f>
        <v>Abril</v>
      </c>
    </row>
    <row r="174" spans="1:24" x14ac:dyDescent="0.35">
      <c r="A174" t="s">
        <v>14</v>
      </c>
      <c r="B174">
        <v>53051501</v>
      </c>
      <c r="C174" t="s">
        <v>15</v>
      </c>
      <c r="D174" s="1">
        <v>3529</v>
      </c>
      <c r="E174" s="1">
        <v>0</v>
      </c>
      <c r="F174" s="1">
        <v>3529</v>
      </c>
      <c r="J174" s="2">
        <v>45775</v>
      </c>
      <c r="K174" t="s">
        <v>324</v>
      </c>
      <c r="L174" t="s">
        <v>325</v>
      </c>
      <c r="M174" t="s">
        <v>325</v>
      </c>
      <c r="N174">
        <v>16358666</v>
      </c>
      <c r="O174" t="s">
        <v>1074</v>
      </c>
      <c r="P174">
        <v>890903938</v>
      </c>
      <c r="Q174" t="s">
        <v>29</v>
      </c>
      <c r="V174" t="s">
        <v>59</v>
      </c>
      <c r="W174" s="10">
        <f t="shared" si="2"/>
        <v>4</v>
      </c>
      <c r="X174" s="10" t="str">
        <f>+ VLOOKUP(W174,'COMISIONES ENERO-MARZO 2025 (2)'!X:Y,2,0)</f>
        <v>Abril</v>
      </c>
    </row>
    <row r="175" spans="1:24" x14ac:dyDescent="0.35">
      <c r="A175" t="s">
        <v>14</v>
      </c>
      <c r="B175">
        <v>53051501</v>
      </c>
      <c r="C175" t="s">
        <v>15</v>
      </c>
      <c r="D175" s="1">
        <v>2445246</v>
      </c>
      <c r="E175" s="1">
        <v>0</v>
      </c>
      <c r="F175" s="1">
        <v>2445246</v>
      </c>
      <c r="J175" s="2">
        <v>45776</v>
      </c>
      <c r="K175" t="s">
        <v>279</v>
      </c>
      <c r="L175" t="s">
        <v>280</v>
      </c>
      <c r="M175" t="s">
        <v>280</v>
      </c>
      <c r="N175">
        <v>890904478</v>
      </c>
      <c r="O175" t="s">
        <v>127</v>
      </c>
      <c r="P175">
        <v>900296536</v>
      </c>
      <c r="Q175" t="s">
        <v>172</v>
      </c>
      <c r="V175" t="s">
        <v>59</v>
      </c>
      <c r="W175" s="10">
        <f t="shared" si="2"/>
        <v>4</v>
      </c>
      <c r="X175" s="10" t="str">
        <f>+ VLOOKUP(W175,'COMISIONES ENERO-MARZO 2025 (2)'!X:Y,2,0)</f>
        <v>Abril</v>
      </c>
    </row>
    <row r="176" spans="1:24" x14ac:dyDescent="0.35">
      <c r="A176" t="s">
        <v>14</v>
      </c>
      <c r="B176">
        <v>53051501</v>
      </c>
      <c r="C176" t="s">
        <v>15</v>
      </c>
      <c r="D176" s="1">
        <v>3558750</v>
      </c>
      <c r="E176" s="1">
        <v>0</v>
      </c>
      <c r="F176" s="1">
        <v>3558750</v>
      </c>
      <c r="J176" s="2">
        <v>45777</v>
      </c>
      <c r="K176" t="s">
        <v>267</v>
      </c>
      <c r="L176" t="s">
        <v>268</v>
      </c>
      <c r="M176" t="s">
        <v>268</v>
      </c>
      <c r="N176">
        <v>800182281</v>
      </c>
      <c r="O176" t="s">
        <v>44</v>
      </c>
      <c r="P176">
        <v>800182281</v>
      </c>
      <c r="Q176" t="s">
        <v>44</v>
      </c>
      <c r="V176" t="s">
        <v>59</v>
      </c>
      <c r="W176" s="10">
        <f t="shared" si="2"/>
        <v>4</v>
      </c>
      <c r="X176" s="10" t="str">
        <f>+ VLOOKUP(W176,'COMISIONES ENERO-MARZO 2025 (2)'!X:Y,2,0)</f>
        <v>Abril</v>
      </c>
    </row>
    <row r="177" spans="1:24" x14ac:dyDescent="0.35">
      <c r="A177" t="s">
        <v>14</v>
      </c>
      <c r="B177">
        <v>53051501</v>
      </c>
      <c r="C177" t="s">
        <v>15</v>
      </c>
      <c r="D177" s="1">
        <v>1339481</v>
      </c>
      <c r="E177" s="1">
        <v>0</v>
      </c>
      <c r="F177" s="1">
        <v>1339481</v>
      </c>
      <c r="J177" s="2">
        <v>45777</v>
      </c>
      <c r="K177" t="s">
        <v>283</v>
      </c>
      <c r="L177" t="s">
        <v>284</v>
      </c>
      <c r="M177" t="s">
        <v>284</v>
      </c>
      <c r="N177">
        <v>860002964</v>
      </c>
      <c r="O177" t="s">
        <v>19</v>
      </c>
      <c r="P177">
        <v>860002964</v>
      </c>
      <c r="Q177" t="s">
        <v>19</v>
      </c>
      <c r="V177" t="s">
        <v>59</v>
      </c>
      <c r="W177" s="10">
        <f t="shared" si="2"/>
        <v>4</v>
      </c>
      <c r="X177" s="10" t="str">
        <f>+ VLOOKUP(W177,'COMISIONES ENERO-MARZO 2025 (2)'!X:Y,2,0)</f>
        <v>Abril</v>
      </c>
    </row>
    <row r="178" spans="1:24" x14ac:dyDescent="0.35">
      <c r="A178" t="s">
        <v>14</v>
      </c>
      <c r="B178">
        <v>53051501</v>
      </c>
      <c r="C178" t="s">
        <v>15</v>
      </c>
      <c r="D178" s="1">
        <v>73668</v>
      </c>
      <c r="E178" s="1">
        <v>0</v>
      </c>
      <c r="F178" s="1">
        <v>73668</v>
      </c>
      <c r="J178" s="2">
        <v>45777</v>
      </c>
      <c r="K178" t="s">
        <v>285</v>
      </c>
      <c r="L178" t="s">
        <v>286</v>
      </c>
      <c r="M178" t="s">
        <v>286</v>
      </c>
      <c r="N178">
        <v>860002964</v>
      </c>
      <c r="O178" t="s">
        <v>19</v>
      </c>
      <c r="P178">
        <v>860002964</v>
      </c>
      <c r="Q178" t="s">
        <v>19</v>
      </c>
      <c r="V178" t="s">
        <v>59</v>
      </c>
      <c r="W178" s="10">
        <f t="shared" si="2"/>
        <v>4</v>
      </c>
      <c r="X178" s="10" t="str">
        <f>+ VLOOKUP(W178,'COMISIONES ENERO-MARZO 2025 (2)'!X:Y,2,0)</f>
        <v>Abril</v>
      </c>
    </row>
    <row r="179" spans="1:24" x14ac:dyDescent="0.35">
      <c r="A179" t="s">
        <v>14</v>
      </c>
      <c r="B179">
        <v>53051501</v>
      </c>
      <c r="C179" t="s">
        <v>15</v>
      </c>
      <c r="D179" s="1">
        <v>1029094.16</v>
      </c>
      <c r="E179" s="1">
        <v>0</v>
      </c>
      <c r="F179" s="1">
        <v>1029094.16</v>
      </c>
      <c r="J179" s="2">
        <v>45777</v>
      </c>
      <c r="K179" t="s">
        <v>287</v>
      </c>
      <c r="L179" t="s">
        <v>288</v>
      </c>
      <c r="M179" t="s">
        <v>288</v>
      </c>
      <c r="N179">
        <v>890903938</v>
      </c>
      <c r="O179" t="s">
        <v>29</v>
      </c>
      <c r="P179">
        <v>890903938</v>
      </c>
      <c r="Q179" t="s">
        <v>29</v>
      </c>
      <c r="V179" t="s">
        <v>59</v>
      </c>
      <c r="W179" s="10">
        <f t="shared" si="2"/>
        <v>4</v>
      </c>
      <c r="X179" s="10" t="str">
        <f>+ VLOOKUP(W179,'COMISIONES ENERO-MARZO 2025 (2)'!X:Y,2,0)</f>
        <v>Abril</v>
      </c>
    </row>
    <row r="180" spans="1:24" x14ac:dyDescent="0.35">
      <c r="A180" t="s">
        <v>14</v>
      </c>
      <c r="B180">
        <v>53051501</v>
      </c>
      <c r="C180" t="s">
        <v>15</v>
      </c>
      <c r="D180" s="1">
        <v>8003222</v>
      </c>
      <c r="E180" s="1">
        <v>0</v>
      </c>
      <c r="F180" s="1">
        <v>8003222</v>
      </c>
      <c r="J180" s="2">
        <v>45777</v>
      </c>
      <c r="K180" t="s">
        <v>289</v>
      </c>
      <c r="L180" t="s">
        <v>290</v>
      </c>
      <c r="M180" t="s">
        <v>290</v>
      </c>
      <c r="N180">
        <v>860034313</v>
      </c>
      <c r="O180" t="s">
        <v>35</v>
      </c>
      <c r="P180">
        <v>860034313</v>
      </c>
      <c r="Q180" t="s">
        <v>35</v>
      </c>
      <c r="V180" t="s">
        <v>59</v>
      </c>
      <c r="W180" s="10">
        <f t="shared" si="2"/>
        <v>4</v>
      </c>
      <c r="X180" s="10" t="str">
        <f>+ VLOOKUP(W180,'COMISIONES ENERO-MARZO 2025 (2)'!X:Y,2,0)</f>
        <v>Abril</v>
      </c>
    </row>
    <row r="181" spans="1:24" x14ac:dyDescent="0.35">
      <c r="A181" t="s">
        <v>14</v>
      </c>
      <c r="B181">
        <v>53051501</v>
      </c>
      <c r="C181" t="s">
        <v>15</v>
      </c>
      <c r="D181" s="1">
        <v>3650</v>
      </c>
      <c r="E181" s="1">
        <v>0</v>
      </c>
      <c r="F181" s="1">
        <v>3650</v>
      </c>
      <c r="J181" s="2">
        <v>45777</v>
      </c>
      <c r="K181" t="s">
        <v>291</v>
      </c>
      <c r="L181" t="s">
        <v>292</v>
      </c>
      <c r="M181" t="s">
        <v>292</v>
      </c>
      <c r="N181">
        <v>860007738</v>
      </c>
      <c r="O181" t="s">
        <v>25</v>
      </c>
      <c r="P181">
        <v>860007738</v>
      </c>
      <c r="Q181" t="s">
        <v>25</v>
      </c>
      <c r="V181" t="s">
        <v>59</v>
      </c>
      <c r="W181" s="10">
        <f t="shared" si="2"/>
        <v>4</v>
      </c>
      <c r="X181" s="10" t="str">
        <f>+ VLOOKUP(W181,'COMISIONES ENERO-MARZO 2025 (2)'!X:Y,2,0)</f>
        <v>Abril</v>
      </c>
    </row>
    <row r="182" spans="1:24" x14ac:dyDescent="0.35">
      <c r="A182" t="s">
        <v>14</v>
      </c>
      <c r="B182">
        <v>53051501</v>
      </c>
      <c r="C182" t="s">
        <v>15</v>
      </c>
      <c r="D182" s="1">
        <v>269103.01</v>
      </c>
      <c r="E182" s="1">
        <v>0</v>
      </c>
      <c r="F182" s="1">
        <v>269103.01</v>
      </c>
      <c r="J182" s="2">
        <v>45777</v>
      </c>
      <c r="K182" t="s">
        <v>295</v>
      </c>
      <c r="L182" t="s">
        <v>296</v>
      </c>
      <c r="M182" t="s">
        <v>296</v>
      </c>
      <c r="N182" t="s">
        <v>1072</v>
      </c>
      <c r="O182" t="s">
        <v>46</v>
      </c>
      <c r="P182" t="s">
        <v>1072</v>
      </c>
      <c r="Q182" t="s">
        <v>46</v>
      </c>
      <c r="V182" t="s">
        <v>59</v>
      </c>
      <c r="W182" s="10">
        <f t="shared" si="2"/>
        <v>4</v>
      </c>
      <c r="X182" s="10" t="str">
        <f>+ VLOOKUP(W182,'COMISIONES ENERO-MARZO 2025 (2)'!X:Y,2,0)</f>
        <v>Abril</v>
      </c>
    </row>
    <row r="183" spans="1:24" x14ac:dyDescent="0.35">
      <c r="A183" t="s">
        <v>14</v>
      </c>
      <c r="B183">
        <v>53051501</v>
      </c>
      <c r="C183" t="s">
        <v>15</v>
      </c>
      <c r="D183" s="1">
        <v>2883447.6</v>
      </c>
      <c r="E183" s="1">
        <v>0</v>
      </c>
      <c r="F183" s="1">
        <v>2883447.6</v>
      </c>
      <c r="J183" s="2">
        <v>45777</v>
      </c>
      <c r="K183" t="s">
        <v>299</v>
      </c>
      <c r="L183" t="s">
        <v>300</v>
      </c>
      <c r="M183" t="s">
        <v>300</v>
      </c>
      <c r="N183">
        <v>890903938</v>
      </c>
      <c r="O183" t="s">
        <v>29</v>
      </c>
      <c r="P183">
        <v>890903938</v>
      </c>
      <c r="Q183" t="s">
        <v>29</v>
      </c>
      <c r="V183" t="s">
        <v>59</v>
      </c>
      <c r="W183" s="10">
        <f t="shared" si="2"/>
        <v>4</v>
      </c>
      <c r="X183" s="10" t="str">
        <f>+ VLOOKUP(W183,'COMISIONES ENERO-MARZO 2025 (2)'!X:Y,2,0)</f>
        <v>Abril</v>
      </c>
    </row>
    <row r="184" spans="1:24" x14ac:dyDescent="0.35">
      <c r="A184" t="s">
        <v>14</v>
      </c>
      <c r="B184">
        <v>53051501</v>
      </c>
      <c r="C184" t="s">
        <v>15</v>
      </c>
      <c r="D184" s="1">
        <v>6867236</v>
      </c>
      <c r="E184" s="1">
        <v>0</v>
      </c>
      <c r="F184" s="1">
        <v>6867236</v>
      </c>
      <c r="J184" s="2">
        <v>45777</v>
      </c>
      <c r="K184" t="s">
        <v>305</v>
      </c>
      <c r="L184" t="s">
        <v>306</v>
      </c>
      <c r="M184" t="s">
        <v>306</v>
      </c>
      <c r="N184">
        <v>891900196</v>
      </c>
      <c r="O184" t="s">
        <v>676</v>
      </c>
      <c r="P184">
        <v>860003020</v>
      </c>
      <c r="Q184" t="s">
        <v>40</v>
      </c>
      <c r="V184" t="s">
        <v>59</v>
      </c>
      <c r="W184" s="10">
        <f t="shared" si="2"/>
        <v>4</v>
      </c>
      <c r="X184" s="10" t="str">
        <f>+ VLOOKUP(W184,'COMISIONES ENERO-MARZO 2025 (2)'!X:Y,2,0)</f>
        <v>Abril</v>
      </c>
    </row>
    <row r="185" spans="1:24" x14ac:dyDescent="0.35">
      <c r="A185" t="s">
        <v>14</v>
      </c>
      <c r="B185">
        <v>53051501</v>
      </c>
      <c r="C185" t="s">
        <v>15</v>
      </c>
      <c r="D185" s="1">
        <v>2936269.65</v>
      </c>
      <c r="E185" s="1">
        <v>0</v>
      </c>
      <c r="F185" s="1">
        <v>2936269.65</v>
      </c>
      <c r="J185" s="2">
        <v>45777</v>
      </c>
      <c r="K185" t="s">
        <v>305</v>
      </c>
      <c r="L185" t="s">
        <v>306</v>
      </c>
      <c r="M185" t="s">
        <v>306</v>
      </c>
      <c r="N185">
        <v>891900196</v>
      </c>
      <c r="O185" t="s">
        <v>676</v>
      </c>
      <c r="P185">
        <v>860034313</v>
      </c>
      <c r="Q185" t="s">
        <v>35</v>
      </c>
      <c r="V185" t="s">
        <v>59</v>
      </c>
      <c r="W185" s="10">
        <f t="shared" si="2"/>
        <v>4</v>
      </c>
      <c r="X185" s="10" t="str">
        <f>+ VLOOKUP(W185,'COMISIONES ENERO-MARZO 2025 (2)'!X:Y,2,0)</f>
        <v>Abril</v>
      </c>
    </row>
    <row r="186" spans="1:24" x14ac:dyDescent="0.35">
      <c r="A186" t="s">
        <v>14</v>
      </c>
      <c r="B186">
        <v>53051501</v>
      </c>
      <c r="C186" t="s">
        <v>15</v>
      </c>
      <c r="D186" s="1">
        <v>20734350.5</v>
      </c>
      <c r="E186" s="1">
        <v>0</v>
      </c>
      <c r="F186" s="1">
        <v>20734350.5</v>
      </c>
      <c r="J186" s="2">
        <v>45777</v>
      </c>
      <c r="K186" t="s">
        <v>305</v>
      </c>
      <c r="L186" t="s">
        <v>306</v>
      </c>
      <c r="M186" t="s">
        <v>306</v>
      </c>
      <c r="N186">
        <v>891900196</v>
      </c>
      <c r="O186" t="s">
        <v>676</v>
      </c>
      <c r="P186">
        <v>900296536</v>
      </c>
      <c r="Q186" t="s">
        <v>172</v>
      </c>
      <c r="V186" t="s">
        <v>59</v>
      </c>
      <c r="W186" s="10">
        <f t="shared" si="2"/>
        <v>4</v>
      </c>
      <c r="X186" s="10" t="str">
        <f>+ VLOOKUP(W186,'COMISIONES ENERO-MARZO 2025 (2)'!X:Y,2,0)</f>
        <v>Abril</v>
      </c>
    </row>
    <row r="187" spans="1:24" x14ac:dyDescent="0.35">
      <c r="A187" t="s">
        <v>14</v>
      </c>
      <c r="B187">
        <v>53051501</v>
      </c>
      <c r="C187" t="s">
        <v>15</v>
      </c>
      <c r="D187" s="1">
        <v>0</v>
      </c>
      <c r="E187" s="1">
        <v>12852055</v>
      </c>
      <c r="F187" s="1">
        <v>-12852055</v>
      </c>
      <c r="J187" s="2">
        <v>45777</v>
      </c>
      <c r="K187" t="s">
        <v>309</v>
      </c>
      <c r="L187" t="s">
        <v>310</v>
      </c>
      <c r="M187" t="s">
        <v>310</v>
      </c>
      <c r="N187">
        <v>890903938</v>
      </c>
      <c r="O187" t="s">
        <v>29</v>
      </c>
      <c r="P187">
        <v>890903938</v>
      </c>
      <c r="Q187" t="s">
        <v>29</v>
      </c>
      <c r="V187" t="s">
        <v>59</v>
      </c>
      <c r="W187" s="10">
        <f t="shared" si="2"/>
        <v>4</v>
      </c>
      <c r="X187" s="10" t="str">
        <f>+ VLOOKUP(W187,'COMISIONES ENERO-MARZO 2025 (2)'!X:Y,2,0)</f>
        <v>Abril</v>
      </c>
    </row>
    <row r="188" spans="1:24" x14ac:dyDescent="0.35">
      <c r="A188" t="s">
        <v>14</v>
      </c>
      <c r="B188">
        <v>53051501</v>
      </c>
      <c r="C188" t="s">
        <v>15</v>
      </c>
      <c r="D188" s="1">
        <v>3529</v>
      </c>
      <c r="E188" s="1">
        <v>0</v>
      </c>
      <c r="F188" s="1">
        <v>3529</v>
      </c>
      <c r="J188" s="2">
        <v>45777</v>
      </c>
      <c r="K188" t="s">
        <v>317</v>
      </c>
      <c r="L188" t="s">
        <v>153</v>
      </c>
      <c r="M188" t="s">
        <v>153</v>
      </c>
      <c r="N188">
        <v>1144185697</v>
      </c>
      <c r="O188" t="s">
        <v>1057</v>
      </c>
      <c r="P188">
        <v>890903938</v>
      </c>
      <c r="Q188" t="s">
        <v>29</v>
      </c>
      <c r="V188" t="s">
        <v>59</v>
      </c>
      <c r="W188" s="10">
        <f t="shared" si="2"/>
        <v>4</v>
      </c>
      <c r="X188" s="10" t="str">
        <f>+ VLOOKUP(W188,'COMISIONES ENERO-MARZO 2025 (2)'!X:Y,2,0)</f>
        <v>Abril</v>
      </c>
    </row>
    <row r="189" spans="1:24" x14ac:dyDescent="0.35">
      <c r="A189" t="s">
        <v>14</v>
      </c>
      <c r="B189">
        <v>53051501</v>
      </c>
      <c r="C189" t="s">
        <v>15</v>
      </c>
      <c r="D189" s="1">
        <v>3529</v>
      </c>
      <c r="E189" s="1">
        <v>0</v>
      </c>
      <c r="F189" s="1">
        <v>3529</v>
      </c>
      <c r="J189" s="2">
        <v>45777</v>
      </c>
      <c r="K189" t="s">
        <v>318</v>
      </c>
      <c r="L189" t="s">
        <v>319</v>
      </c>
      <c r="M189" t="s">
        <v>319</v>
      </c>
      <c r="N189">
        <v>16502466</v>
      </c>
      <c r="O189" t="s">
        <v>1056</v>
      </c>
      <c r="P189">
        <v>890903938</v>
      </c>
      <c r="Q189" t="s">
        <v>29</v>
      </c>
      <c r="V189" t="s">
        <v>59</v>
      </c>
      <c r="W189" s="10">
        <f t="shared" si="2"/>
        <v>4</v>
      </c>
      <c r="X189" s="10" t="str">
        <f>+ VLOOKUP(W189,'COMISIONES ENERO-MARZO 2025 (2)'!X:Y,2,0)</f>
        <v>Abril</v>
      </c>
    </row>
    <row r="190" spans="1:24" x14ac:dyDescent="0.35">
      <c r="A190" t="s">
        <v>14</v>
      </c>
      <c r="B190">
        <v>53051501</v>
      </c>
      <c r="C190" t="s">
        <v>15</v>
      </c>
      <c r="D190" s="1">
        <v>3529</v>
      </c>
      <c r="E190" s="1">
        <v>0</v>
      </c>
      <c r="F190" s="1">
        <v>3529</v>
      </c>
      <c r="J190" s="2">
        <v>45777</v>
      </c>
      <c r="K190" t="s">
        <v>322</v>
      </c>
      <c r="L190" t="s">
        <v>323</v>
      </c>
      <c r="M190" t="s">
        <v>323</v>
      </c>
      <c r="N190">
        <v>29757880</v>
      </c>
      <c r="O190" t="s">
        <v>1075</v>
      </c>
      <c r="P190">
        <v>890903938</v>
      </c>
      <c r="Q190" t="s">
        <v>29</v>
      </c>
      <c r="V190" t="s">
        <v>59</v>
      </c>
      <c r="W190" s="10">
        <f t="shared" si="2"/>
        <v>4</v>
      </c>
      <c r="X190" s="10" t="str">
        <f>+ VLOOKUP(W190,'COMISIONES ENERO-MARZO 2025 (2)'!X:Y,2,0)</f>
        <v>Abril</v>
      </c>
    </row>
    <row r="191" spans="1:24" x14ac:dyDescent="0.35">
      <c r="A191" t="s">
        <v>14</v>
      </c>
      <c r="B191">
        <v>53051501</v>
      </c>
      <c r="C191" t="s">
        <v>15</v>
      </c>
      <c r="D191" s="1">
        <v>8941687.1799999997</v>
      </c>
      <c r="E191" s="1">
        <v>0</v>
      </c>
      <c r="F191" s="1">
        <v>8941687.1799999997</v>
      </c>
      <c r="J191" s="2">
        <v>45782</v>
      </c>
      <c r="K191" t="s">
        <v>969</v>
      </c>
      <c r="L191" t="s">
        <v>1017</v>
      </c>
      <c r="M191" t="s">
        <v>1017</v>
      </c>
      <c r="N191">
        <v>891900196</v>
      </c>
      <c r="O191" t="s">
        <v>676</v>
      </c>
      <c r="P191">
        <v>860003020</v>
      </c>
      <c r="Q191" t="s">
        <v>40</v>
      </c>
      <c r="V191" t="s">
        <v>59</v>
      </c>
      <c r="W191" s="10">
        <f t="shared" si="2"/>
        <v>5</v>
      </c>
      <c r="X191" s="10" t="str">
        <f>+ VLOOKUP(W191,'COMISIONES ENERO-MARZO 2025 (2)'!X:Y,2,0)</f>
        <v>Mayo</v>
      </c>
    </row>
    <row r="192" spans="1:24" x14ac:dyDescent="0.35">
      <c r="A192" t="s">
        <v>14</v>
      </c>
      <c r="B192">
        <v>53051501</v>
      </c>
      <c r="C192" t="s">
        <v>15</v>
      </c>
      <c r="D192" s="1">
        <v>21179929.489999998</v>
      </c>
      <c r="E192" s="1">
        <v>0</v>
      </c>
      <c r="F192" s="1">
        <v>21179929.489999998</v>
      </c>
      <c r="J192" s="2">
        <v>45782</v>
      </c>
      <c r="K192" t="s">
        <v>969</v>
      </c>
      <c r="L192" t="s">
        <v>1017</v>
      </c>
      <c r="M192" t="s">
        <v>1017</v>
      </c>
      <c r="N192">
        <v>891900196</v>
      </c>
      <c r="O192" t="s">
        <v>676</v>
      </c>
      <c r="P192">
        <v>860034313</v>
      </c>
      <c r="Q192" t="s">
        <v>35</v>
      </c>
      <c r="V192" t="s">
        <v>59</v>
      </c>
      <c r="W192" s="10">
        <f t="shared" si="2"/>
        <v>5</v>
      </c>
      <c r="X192" s="10" t="str">
        <f>+ VLOOKUP(W192,'COMISIONES ENERO-MARZO 2025 (2)'!X:Y,2,0)</f>
        <v>Mayo</v>
      </c>
    </row>
    <row r="193" spans="1:24" x14ac:dyDescent="0.35">
      <c r="A193" t="s">
        <v>14</v>
      </c>
      <c r="B193">
        <v>53051501</v>
      </c>
      <c r="C193" t="s">
        <v>15</v>
      </c>
      <c r="D193" s="1">
        <v>636813</v>
      </c>
      <c r="E193" s="1">
        <v>0</v>
      </c>
      <c r="F193" s="1">
        <v>636813</v>
      </c>
      <c r="J193" s="2">
        <v>45782</v>
      </c>
      <c r="K193" t="s">
        <v>969</v>
      </c>
      <c r="L193" t="s">
        <v>1017</v>
      </c>
      <c r="M193" t="s">
        <v>1017</v>
      </c>
      <c r="N193">
        <v>891900196</v>
      </c>
      <c r="O193" t="s">
        <v>676</v>
      </c>
      <c r="P193">
        <v>900296536</v>
      </c>
      <c r="Q193" t="s">
        <v>172</v>
      </c>
      <c r="V193" t="s">
        <v>59</v>
      </c>
      <c r="W193" s="10">
        <f t="shared" si="2"/>
        <v>5</v>
      </c>
      <c r="X193" s="10" t="str">
        <f>+ VLOOKUP(W193,'COMISIONES ENERO-MARZO 2025 (2)'!X:Y,2,0)</f>
        <v>Mayo</v>
      </c>
    </row>
    <row r="194" spans="1:24" x14ac:dyDescent="0.35">
      <c r="A194" t="s">
        <v>14</v>
      </c>
      <c r="B194">
        <v>53051501</v>
      </c>
      <c r="C194" t="s">
        <v>15</v>
      </c>
      <c r="D194" s="1">
        <v>3529</v>
      </c>
      <c r="E194" s="1">
        <v>0</v>
      </c>
      <c r="F194" s="1">
        <v>3529</v>
      </c>
      <c r="J194" s="2">
        <v>45783</v>
      </c>
      <c r="K194" t="s">
        <v>970</v>
      </c>
      <c r="L194" t="s">
        <v>151</v>
      </c>
      <c r="M194" t="s">
        <v>151</v>
      </c>
      <c r="N194">
        <v>16502466</v>
      </c>
      <c r="O194" t="s">
        <v>1056</v>
      </c>
      <c r="P194">
        <v>890903938</v>
      </c>
      <c r="Q194" t="s">
        <v>29</v>
      </c>
      <c r="V194" t="s">
        <v>59</v>
      </c>
      <c r="W194" s="10">
        <f t="shared" si="2"/>
        <v>5</v>
      </c>
      <c r="X194" s="10" t="str">
        <f>+ VLOOKUP(W194,'COMISIONES ENERO-MARZO 2025 (2)'!X:Y,2,0)</f>
        <v>Mayo</v>
      </c>
    </row>
    <row r="195" spans="1:24" x14ac:dyDescent="0.35">
      <c r="A195" t="s">
        <v>14</v>
      </c>
      <c r="B195">
        <v>53051501</v>
      </c>
      <c r="C195" t="s">
        <v>15</v>
      </c>
      <c r="D195" s="1">
        <v>3529</v>
      </c>
      <c r="E195" s="1">
        <v>0</v>
      </c>
      <c r="F195" s="1">
        <v>3529</v>
      </c>
      <c r="J195" s="2">
        <v>45783</v>
      </c>
      <c r="K195" t="s">
        <v>971</v>
      </c>
      <c r="L195" t="s">
        <v>153</v>
      </c>
      <c r="M195" t="s">
        <v>153</v>
      </c>
      <c r="N195">
        <v>1144185697</v>
      </c>
      <c r="O195" t="s">
        <v>1057</v>
      </c>
      <c r="P195">
        <v>890903938</v>
      </c>
      <c r="Q195" t="s">
        <v>29</v>
      </c>
      <c r="V195" t="s">
        <v>59</v>
      </c>
      <c r="W195" s="10">
        <f t="shared" ref="W195:W247" si="3">+MONTH(J195)</f>
        <v>5</v>
      </c>
      <c r="X195" s="10" t="str">
        <f>+ VLOOKUP(W195,'COMISIONES ENERO-MARZO 2025 (2)'!X:Y,2,0)</f>
        <v>Mayo</v>
      </c>
    </row>
    <row r="196" spans="1:24" x14ac:dyDescent="0.35">
      <c r="A196" t="s">
        <v>14</v>
      </c>
      <c r="B196">
        <v>53051501</v>
      </c>
      <c r="C196" t="s">
        <v>15</v>
      </c>
      <c r="D196" s="1">
        <v>11004</v>
      </c>
      <c r="E196" s="1">
        <v>0</v>
      </c>
      <c r="F196" s="1">
        <v>11004</v>
      </c>
      <c r="J196" s="2">
        <v>45784</v>
      </c>
      <c r="K196" t="s">
        <v>972</v>
      </c>
      <c r="L196" t="s">
        <v>1018</v>
      </c>
      <c r="M196" t="s">
        <v>1018</v>
      </c>
      <c r="N196">
        <v>800037800</v>
      </c>
      <c r="O196" t="s">
        <v>37</v>
      </c>
      <c r="P196">
        <v>800037800</v>
      </c>
      <c r="Q196" t="s">
        <v>37</v>
      </c>
      <c r="V196" t="s">
        <v>59</v>
      </c>
      <c r="W196" s="10">
        <f t="shared" si="3"/>
        <v>5</v>
      </c>
      <c r="X196" s="10" t="str">
        <f>+ VLOOKUP(W196,'COMISIONES ENERO-MARZO 2025 (2)'!X:Y,2,0)</f>
        <v>Mayo</v>
      </c>
    </row>
    <row r="197" spans="1:24" x14ac:dyDescent="0.35">
      <c r="A197" t="s">
        <v>14</v>
      </c>
      <c r="B197">
        <v>53051501</v>
      </c>
      <c r="C197" t="s">
        <v>15</v>
      </c>
      <c r="D197" s="1">
        <v>2003350.25</v>
      </c>
      <c r="E197" s="1">
        <v>0</v>
      </c>
      <c r="F197" s="1">
        <v>2003350.25</v>
      </c>
      <c r="J197" s="2">
        <v>45784</v>
      </c>
      <c r="K197" t="s">
        <v>973</v>
      </c>
      <c r="L197" t="s">
        <v>1019</v>
      </c>
      <c r="M197" t="s">
        <v>1019</v>
      </c>
      <c r="N197">
        <v>890904478</v>
      </c>
      <c r="O197" t="s">
        <v>127</v>
      </c>
      <c r="P197">
        <v>900296536</v>
      </c>
      <c r="Q197" t="s">
        <v>172</v>
      </c>
      <c r="V197" t="s">
        <v>59</v>
      </c>
      <c r="W197" s="10">
        <f t="shared" si="3"/>
        <v>5</v>
      </c>
      <c r="X197" s="10" t="str">
        <f>+ VLOOKUP(W197,'COMISIONES ENERO-MARZO 2025 (2)'!X:Y,2,0)</f>
        <v>Mayo</v>
      </c>
    </row>
    <row r="198" spans="1:24" x14ac:dyDescent="0.35">
      <c r="A198" t="s">
        <v>14</v>
      </c>
      <c r="B198">
        <v>53051501</v>
      </c>
      <c r="C198" t="s">
        <v>15</v>
      </c>
      <c r="D198" s="1">
        <v>3235934.23</v>
      </c>
      <c r="E198" s="1">
        <v>0</v>
      </c>
      <c r="F198" s="1">
        <v>3235934.23</v>
      </c>
      <c r="J198" s="2">
        <v>45785</v>
      </c>
      <c r="K198" t="s">
        <v>974</v>
      </c>
      <c r="L198" t="s">
        <v>1020</v>
      </c>
      <c r="M198" t="s">
        <v>1020</v>
      </c>
      <c r="N198">
        <v>890805267</v>
      </c>
      <c r="O198" t="s">
        <v>1058</v>
      </c>
      <c r="P198">
        <v>860003020</v>
      </c>
      <c r="Q198" t="s">
        <v>40</v>
      </c>
      <c r="V198" t="s">
        <v>59</v>
      </c>
      <c r="W198" s="10">
        <f t="shared" si="3"/>
        <v>5</v>
      </c>
      <c r="X198" s="10" t="str">
        <f>+ VLOOKUP(W198,'COMISIONES ENERO-MARZO 2025 (2)'!X:Y,2,0)</f>
        <v>Mayo</v>
      </c>
    </row>
    <row r="199" spans="1:24" x14ac:dyDescent="0.35">
      <c r="A199" t="s">
        <v>14</v>
      </c>
      <c r="B199">
        <v>53051501</v>
      </c>
      <c r="C199" t="s">
        <v>15</v>
      </c>
      <c r="D199" s="1">
        <v>14477789</v>
      </c>
      <c r="E199" s="1">
        <v>0</v>
      </c>
      <c r="F199" s="1">
        <v>14477789</v>
      </c>
      <c r="J199" s="2">
        <v>45790</v>
      </c>
      <c r="K199" t="s">
        <v>975</v>
      </c>
      <c r="L199" t="s">
        <v>1021</v>
      </c>
      <c r="M199" t="s">
        <v>1021</v>
      </c>
      <c r="N199">
        <v>805000867</v>
      </c>
      <c r="O199" t="s">
        <v>203</v>
      </c>
      <c r="P199">
        <v>805000867</v>
      </c>
      <c r="Q199" t="s">
        <v>203</v>
      </c>
      <c r="V199" t="s">
        <v>59</v>
      </c>
      <c r="W199" s="10">
        <f t="shared" si="3"/>
        <v>5</v>
      </c>
      <c r="X199" s="10" t="str">
        <f>+ VLOOKUP(W199,'COMISIONES ENERO-MARZO 2025 (2)'!X:Y,2,0)</f>
        <v>Mayo</v>
      </c>
    </row>
    <row r="200" spans="1:24" x14ac:dyDescent="0.35">
      <c r="A200" t="s">
        <v>14</v>
      </c>
      <c r="B200">
        <v>53051501</v>
      </c>
      <c r="C200" t="s">
        <v>15</v>
      </c>
      <c r="D200" s="1">
        <v>5459528</v>
      </c>
      <c r="E200" s="1">
        <v>0</v>
      </c>
      <c r="F200" s="1">
        <v>5459528</v>
      </c>
      <c r="J200" s="2">
        <v>45790</v>
      </c>
      <c r="K200" t="s">
        <v>976</v>
      </c>
      <c r="L200" t="s">
        <v>1022</v>
      </c>
      <c r="M200" t="s">
        <v>1022</v>
      </c>
      <c r="N200">
        <v>805000867</v>
      </c>
      <c r="O200" t="s">
        <v>203</v>
      </c>
      <c r="P200">
        <v>805000867</v>
      </c>
      <c r="Q200" t="s">
        <v>203</v>
      </c>
      <c r="V200" t="s">
        <v>59</v>
      </c>
      <c r="W200" s="10">
        <f t="shared" si="3"/>
        <v>5</v>
      </c>
      <c r="X200" s="10" t="str">
        <f>+ VLOOKUP(W200,'COMISIONES ENERO-MARZO 2025 (2)'!X:Y,2,0)</f>
        <v>Mayo</v>
      </c>
    </row>
    <row r="201" spans="1:24" x14ac:dyDescent="0.35">
      <c r="A201" t="s">
        <v>14</v>
      </c>
      <c r="B201">
        <v>53051501</v>
      </c>
      <c r="C201" t="s">
        <v>15</v>
      </c>
      <c r="D201" s="1">
        <v>1980</v>
      </c>
      <c r="E201" s="1">
        <v>0</v>
      </c>
      <c r="F201" s="1">
        <v>1980</v>
      </c>
      <c r="J201" s="2">
        <v>45790</v>
      </c>
      <c r="K201" t="s">
        <v>977</v>
      </c>
      <c r="L201" t="s">
        <v>1023</v>
      </c>
      <c r="M201" t="s">
        <v>1054</v>
      </c>
      <c r="N201">
        <v>805000867</v>
      </c>
      <c r="O201" t="s">
        <v>203</v>
      </c>
      <c r="P201">
        <v>805000867</v>
      </c>
      <c r="Q201" t="s">
        <v>203</v>
      </c>
      <c r="V201" t="s">
        <v>59</v>
      </c>
      <c r="W201" s="10">
        <f t="shared" si="3"/>
        <v>5</v>
      </c>
      <c r="X201" s="10" t="str">
        <f>+ VLOOKUP(W201,'COMISIONES ENERO-MARZO 2025 (2)'!X:Y,2,0)</f>
        <v>Mayo</v>
      </c>
    </row>
    <row r="202" spans="1:24" x14ac:dyDescent="0.35">
      <c r="A202" t="s">
        <v>14</v>
      </c>
      <c r="B202">
        <v>53051501</v>
      </c>
      <c r="C202" t="s">
        <v>15</v>
      </c>
      <c r="D202" s="1">
        <v>3529</v>
      </c>
      <c r="E202" s="1">
        <v>0</v>
      </c>
      <c r="F202" s="1">
        <v>3529</v>
      </c>
      <c r="J202" s="2">
        <v>45790</v>
      </c>
      <c r="K202" t="s">
        <v>978</v>
      </c>
      <c r="L202" t="s">
        <v>155</v>
      </c>
      <c r="M202" t="s">
        <v>155</v>
      </c>
      <c r="N202">
        <v>16502466</v>
      </c>
      <c r="O202" t="s">
        <v>1056</v>
      </c>
      <c r="P202">
        <v>890903938</v>
      </c>
      <c r="Q202" t="s">
        <v>29</v>
      </c>
      <c r="V202" t="s">
        <v>59</v>
      </c>
      <c r="W202" s="10">
        <f t="shared" si="3"/>
        <v>5</v>
      </c>
      <c r="X202" s="10" t="str">
        <f>+ VLOOKUP(W202,'COMISIONES ENERO-MARZO 2025 (2)'!X:Y,2,0)</f>
        <v>Mayo</v>
      </c>
    </row>
    <row r="203" spans="1:24" x14ac:dyDescent="0.35">
      <c r="A203" t="s">
        <v>14</v>
      </c>
      <c r="B203">
        <v>53051501</v>
      </c>
      <c r="C203" t="s">
        <v>15</v>
      </c>
      <c r="D203" s="1">
        <v>324200</v>
      </c>
      <c r="E203" s="1">
        <v>0</v>
      </c>
      <c r="F203" s="1">
        <v>324200</v>
      </c>
      <c r="J203" s="2">
        <v>45792</v>
      </c>
      <c r="K203" t="s">
        <v>979</v>
      </c>
      <c r="L203" t="s">
        <v>1024</v>
      </c>
      <c r="M203" t="s">
        <v>1024</v>
      </c>
      <c r="N203">
        <v>805000867</v>
      </c>
      <c r="O203" t="s">
        <v>203</v>
      </c>
      <c r="P203">
        <v>805000867</v>
      </c>
      <c r="Q203" t="s">
        <v>203</v>
      </c>
      <c r="V203" t="s">
        <v>59</v>
      </c>
      <c r="W203" s="10">
        <f t="shared" si="3"/>
        <v>5</v>
      </c>
      <c r="X203" s="10" t="str">
        <f>+ VLOOKUP(W203,'COMISIONES ENERO-MARZO 2025 (2)'!X:Y,2,0)</f>
        <v>Mayo</v>
      </c>
    </row>
    <row r="204" spans="1:24" x14ac:dyDescent="0.35">
      <c r="A204" t="s">
        <v>14</v>
      </c>
      <c r="B204">
        <v>53051501</v>
      </c>
      <c r="C204" t="s">
        <v>15</v>
      </c>
      <c r="D204" s="1">
        <v>1490708</v>
      </c>
      <c r="E204" s="1">
        <v>0</v>
      </c>
      <c r="F204" s="1">
        <v>1490708</v>
      </c>
      <c r="J204" s="2">
        <v>45792</v>
      </c>
      <c r="K204" t="s">
        <v>980</v>
      </c>
      <c r="L204" t="s">
        <v>1025</v>
      </c>
      <c r="M204" t="s">
        <v>1025</v>
      </c>
      <c r="N204">
        <v>805000867</v>
      </c>
      <c r="O204" t="s">
        <v>203</v>
      </c>
      <c r="P204">
        <v>805000867</v>
      </c>
      <c r="Q204" t="s">
        <v>203</v>
      </c>
      <c r="V204" t="s">
        <v>59</v>
      </c>
      <c r="W204" s="10">
        <f t="shared" si="3"/>
        <v>5</v>
      </c>
      <c r="X204" s="10" t="str">
        <f>+ VLOOKUP(W204,'COMISIONES ENERO-MARZO 2025 (2)'!X:Y,2,0)</f>
        <v>Mayo</v>
      </c>
    </row>
    <row r="205" spans="1:24" x14ac:dyDescent="0.35">
      <c r="A205" t="s">
        <v>14</v>
      </c>
      <c r="B205">
        <v>53051501</v>
      </c>
      <c r="C205" t="s">
        <v>15</v>
      </c>
      <c r="D205" s="1">
        <v>3558750</v>
      </c>
      <c r="E205" s="1">
        <v>0</v>
      </c>
      <c r="F205" s="1">
        <v>3558750</v>
      </c>
      <c r="J205" s="2">
        <v>45796</v>
      </c>
      <c r="K205" t="s">
        <v>981</v>
      </c>
      <c r="L205" t="s">
        <v>1026</v>
      </c>
      <c r="M205" t="s">
        <v>1026</v>
      </c>
      <c r="N205">
        <v>800182281</v>
      </c>
      <c r="O205" t="s">
        <v>44</v>
      </c>
      <c r="P205">
        <v>800182281</v>
      </c>
      <c r="Q205" t="s">
        <v>44</v>
      </c>
      <c r="V205" t="s">
        <v>59</v>
      </c>
      <c r="W205" s="10">
        <f t="shared" si="3"/>
        <v>5</v>
      </c>
      <c r="X205" s="10" t="str">
        <f>+ VLOOKUP(W205,'COMISIONES ENERO-MARZO 2025 (2)'!X:Y,2,0)</f>
        <v>Mayo</v>
      </c>
    </row>
    <row r="206" spans="1:24" x14ac:dyDescent="0.35">
      <c r="A206" t="s">
        <v>14</v>
      </c>
      <c r="B206">
        <v>53051501</v>
      </c>
      <c r="C206" t="s">
        <v>15</v>
      </c>
      <c r="D206" s="1">
        <v>419428</v>
      </c>
      <c r="E206" s="1">
        <v>0</v>
      </c>
      <c r="F206" s="1">
        <v>419428</v>
      </c>
      <c r="J206" s="2">
        <v>45796</v>
      </c>
      <c r="K206" t="s">
        <v>982</v>
      </c>
      <c r="L206" t="s">
        <v>1027</v>
      </c>
      <c r="M206" t="s">
        <v>1027</v>
      </c>
      <c r="N206">
        <v>890903937</v>
      </c>
      <c r="O206" t="s">
        <v>167</v>
      </c>
      <c r="P206">
        <v>890903937</v>
      </c>
      <c r="Q206" t="s">
        <v>167</v>
      </c>
      <c r="V206" t="s">
        <v>59</v>
      </c>
      <c r="W206" s="10">
        <f t="shared" si="3"/>
        <v>5</v>
      </c>
      <c r="X206" s="10" t="str">
        <f>+ VLOOKUP(W206,'COMISIONES ENERO-MARZO 2025 (2)'!X:Y,2,0)</f>
        <v>Mayo</v>
      </c>
    </row>
    <row r="207" spans="1:24" x14ac:dyDescent="0.35">
      <c r="A207" t="s">
        <v>14</v>
      </c>
      <c r="B207">
        <v>53051501</v>
      </c>
      <c r="C207" t="s">
        <v>15</v>
      </c>
      <c r="D207" s="1">
        <v>3529</v>
      </c>
      <c r="E207" s="1">
        <v>0</v>
      </c>
      <c r="F207" s="1">
        <v>3529</v>
      </c>
      <c r="J207" s="2">
        <v>45796</v>
      </c>
      <c r="K207" t="s">
        <v>983</v>
      </c>
      <c r="L207" t="s">
        <v>208</v>
      </c>
      <c r="M207" t="s">
        <v>208</v>
      </c>
      <c r="N207">
        <v>16502466</v>
      </c>
      <c r="O207" t="s">
        <v>1056</v>
      </c>
      <c r="P207">
        <v>890903938</v>
      </c>
      <c r="Q207" t="s">
        <v>29</v>
      </c>
      <c r="V207" t="s">
        <v>59</v>
      </c>
      <c r="W207" s="10">
        <f t="shared" si="3"/>
        <v>5</v>
      </c>
      <c r="X207" s="10" t="str">
        <f>+ VLOOKUP(W207,'COMISIONES ENERO-MARZO 2025 (2)'!X:Y,2,0)</f>
        <v>Mayo</v>
      </c>
    </row>
    <row r="208" spans="1:24" x14ac:dyDescent="0.35">
      <c r="A208" t="s">
        <v>14</v>
      </c>
      <c r="B208">
        <v>53051501</v>
      </c>
      <c r="C208" t="s">
        <v>15</v>
      </c>
      <c r="D208" s="1">
        <v>1035340.4</v>
      </c>
      <c r="E208" s="1">
        <v>0</v>
      </c>
      <c r="F208" s="1">
        <v>1035340.4</v>
      </c>
      <c r="J208" s="2">
        <v>45799</v>
      </c>
      <c r="K208" t="s">
        <v>984</v>
      </c>
      <c r="L208" t="s">
        <v>1028</v>
      </c>
      <c r="M208" t="s">
        <v>1028</v>
      </c>
      <c r="N208">
        <v>860000261</v>
      </c>
      <c r="O208" t="s">
        <v>1059</v>
      </c>
      <c r="P208">
        <v>860034313</v>
      </c>
      <c r="Q208" t="s">
        <v>35</v>
      </c>
      <c r="V208" t="s">
        <v>59</v>
      </c>
      <c r="W208" s="10">
        <f t="shared" si="3"/>
        <v>5</v>
      </c>
      <c r="X208" s="10" t="str">
        <f>+ VLOOKUP(W208,'COMISIONES ENERO-MARZO 2025 (2)'!X:Y,2,0)</f>
        <v>Mayo</v>
      </c>
    </row>
    <row r="209" spans="1:24" x14ac:dyDescent="0.35">
      <c r="A209" t="s">
        <v>14</v>
      </c>
      <c r="B209">
        <v>53051501</v>
      </c>
      <c r="C209" t="s">
        <v>15</v>
      </c>
      <c r="D209" s="1">
        <v>10114043</v>
      </c>
      <c r="E209" s="1">
        <v>0</v>
      </c>
      <c r="F209" s="1">
        <v>10114043</v>
      </c>
      <c r="J209" s="2">
        <v>45799</v>
      </c>
      <c r="K209" t="s">
        <v>985</v>
      </c>
      <c r="L209" t="s">
        <v>1029</v>
      </c>
      <c r="M209" t="s">
        <v>1029</v>
      </c>
      <c r="N209">
        <v>860000261</v>
      </c>
      <c r="O209" t="s">
        <v>1059</v>
      </c>
      <c r="P209">
        <v>860034313</v>
      </c>
      <c r="Q209" t="s">
        <v>35</v>
      </c>
      <c r="V209" t="s">
        <v>59</v>
      </c>
      <c r="W209" s="10">
        <f t="shared" si="3"/>
        <v>5</v>
      </c>
      <c r="X209" s="10" t="str">
        <f>+ VLOOKUP(W209,'COMISIONES ENERO-MARZO 2025 (2)'!X:Y,2,0)</f>
        <v>Mayo</v>
      </c>
    </row>
    <row r="210" spans="1:24" x14ac:dyDescent="0.35">
      <c r="A210" t="s">
        <v>14</v>
      </c>
      <c r="B210">
        <v>53051501</v>
      </c>
      <c r="C210" t="s">
        <v>15</v>
      </c>
      <c r="D210" s="1">
        <v>239997.6</v>
      </c>
      <c r="E210" s="1">
        <v>0</v>
      </c>
      <c r="F210" s="1">
        <v>239997.6</v>
      </c>
      <c r="J210" s="2">
        <v>45799</v>
      </c>
      <c r="K210" t="s">
        <v>986</v>
      </c>
      <c r="L210" t="s">
        <v>1030</v>
      </c>
      <c r="M210" t="s">
        <v>1030</v>
      </c>
      <c r="N210">
        <v>890903937</v>
      </c>
      <c r="O210" t="s">
        <v>167</v>
      </c>
      <c r="P210">
        <v>890903937</v>
      </c>
      <c r="Q210" t="s">
        <v>167</v>
      </c>
      <c r="V210" t="s">
        <v>59</v>
      </c>
      <c r="W210" s="10">
        <f t="shared" si="3"/>
        <v>5</v>
      </c>
      <c r="X210" s="10" t="str">
        <f>+ VLOOKUP(W210,'COMISIONES ENERO-MARZO 2025 (2)'!X:Y,2,0)</f>
        <v>Mayo</v>
      </c>
    </row>
    <row r="211" spans="1:24" x14ac:dyDescent="0.35">
      <c r="A211" t="s">
        <v>14</v>
      </c>
      <c r="B211">
        <v>53051501</v>
      </c>
      <c r="C211" t="s">
        <v>15</v>
      </c>
      <c r="D211" s="1">
        <v>2280115.27</v>
      </c>
      <c r="E211" s="1">
        <v>0</v>
      </c>
      <c r="F211" s="1">
        <v>2280115.27</v>
      </c>
      <c r="J211" s="2">
        <v>45800</v>
      </c>
      <c r="K211" t="s">
        <v>987</v>
      </c>
      <c r="L211" t="s">
        <v>1031</v>
      </c>
      <c r="M211" t="s">
        <v>1031</v>
      </c>
      <c r="N211">
        <v>900079775</v>
      </c>
      <c r="O211" t="s">
        <v>1060</v>
      </c>
      <c r="P211">
        <v>860003020</v>
      </c>
      <c r="Q211" t="s">
        <v>40</v>
      </c>
      <c r="V211" t="s">
        <v>59</v>
      </c>
      <c r="W211" s="10">
        <f t="shared" si="3"/>
        <v>5</v>
      </c>
      <c r="X211" s="10" t="str">
        <f>+ VLOOKUP(W211,'COMISIONES ENERO-MARZO 2025 (2)'!X:Y,2,0)</f>
        <v>Mayo</v>
      </c>
    </row>
    <row r="212" spans="1:24" x14ac:dyDescent="0.35">
      <c r="A212" t="s">
        <v>14</v>
      </c>
      <c r="B212">
        <v>53051501</v>
      </c>
      <c r="C212" t="s">
        <v>15</v>
      </c>
      <c r="D212" s="1">
        <v>12781016.65</v>
      </c>
      <c r="E212" s="1">
        <v>0</v>
      </c>
      <c r="F212" s="1">
        <v>12781016.65</v>
      </c>
      <c r="J212" s="2">
        <v>45800</v>
      </c>
      <c r="K212" t="s">
        <v>988</v>
      </c>
      <c r="L212" t="s">
        <v>1032</v>
      </c>
      <c r="M212" t="s">
        <v>1032</v>
      </c>
      <c r="N212">
        <v>890805267</v>
      </c>
      <c r="O212" t="s">
        <v>1058</v>
      </c>
      <c r="P212">
        <v>860003020</v>
      </c>
      <c r="Q212" t="s">
        <v>40</v>
      </c>
      <c r="V212" t="s">
        <v>59</v>
      </c>
      <c r="W212" s="10">
        <f t="shared" si="3"/>
        <v>5</v>
      </c>
      <c r="X212" s="10" t="str">
        <f>+ VLOOKUP(W212,'COMISIONES ENERO-MARZO 2025 (2)'!X:Y,2,0)</f>
        <v>Mayo</v>
      </c>
    </row>
    <row r="213" spans="1:24" x14ac:dyDescent="0.35">
      <c r="A213" t="s">
        <v>14</v>
      </c>
      <c r="B213">
        <v>53051501</v>
      </c>
      <c r="C213" t="s">
        <v>15</v>
      </c>
      <c r="D213" s="1">
        <v>3529</v>
      </c>
      <c r="E213" s="1">
        <v>0</v>
      </c>
      <c r="F213" s="1">
        <v>3529</v>
      </c>
      <c r="J213" s="2">
        <v>45803</v>
      </c>
      <c r="K213" t="s">
        <v>989</v>
      </c>
      <c r="L213" t="s">
        <v>208</v>
      </c>
      <c r="M213" t="s">
        <v>208</v>
      </c>
      <c r="N213">
        <v>29760690</v>
      </c>
      <c r="O213" t="s">
        <v>1061</v>
      </c>
      <c r="P213">
        <v>890903938</v>
      </c>
      <c r="Q213" t="s">
        <v>29</v>
      </c>
      <c r="V213" t="s">
        <v>59</v>
      </c>
      <c r="W213" s="10">
        <f t="shared" si="3"/>
        <v>5</v>
      </c>
      <c r="X213" s="10" t="str">
        <f>+ VLOOKUP(W213,'COMISIONES ENERO-MARZO 2025 (2)'!X:Y,2,0)</f>
        <v>Mayo</v>
      </c>
    </row>
    <row r="214" spans="1:24" x14ac:dyDescent="0.35">
      <c r="A214" t="s">
        <v>14</v>
      </c>
      <c r="B214">
        <v>53051501</v>
      </c>
      <c r="C214" t="s">
        <v>15</v>
      </c>
      <c r="D214" s="1">
        <v>3529</v>
      </c>
      <c r="E214" s="1">
        <v>0</v>
      </c>
      <c r="F214" s="1">
        <v>3529</v>
      </c>
      <c r="J214" s="2">
        <v>45803</v>
      </c>
      <c r="K214" t="s">
        <v>990</v>
      </c>
      <c r="L214" t="s">
        <v>1033</v>
      </c>
      <c r="M214" t="s">
        <v>1033</v>
      </c>
      <c r="N214">
        <v>16502466</v>
      </c>
      <c r="O214" t="s">
        <v>1056</v>
      </c>
      <c r="P214">
        <v>890903938</v>
      </c>
      <c r="Q214" t="s">
        <v>29</v>
      </c>
      <c r="V214" t="s">
        <v>59</v>
      </c>
      <c r="W214" s="10">
        <f t="shared" si="3"/>
        <v>5</v>
      </c>
      <c r="X214" s="10" t="str">
        <f>+ VLOOKUP(W214,'COMISIONES ENERO-MARZO 2025 (2)'!X:Y,2,0)</f>
        <v>Mayo</v>
      </c>
    </row>
    <row r="215" spans="1:24" x14ac:dyDescent="0.35">
      <c r="A215" t="s">
        <v>14</v>
      </c>
      <c r="B215">
        <v>53051501</v>
      </c>
      <c r="C215" t="s">
        <v>15</v>
      </c>
      <c r="D215" s="1">
        <v>1413149</v>
      </c>
      <c r="E215" s="1">
        <v>0</v>
      </c>
      <c r="F215" s="1">
        <v>1413149</v>
      </c>
      <c r="J215" s="2">
        <v>45805</v>
      </c>
      <c r="K215" t="s">
        <v>991</v>
      </c>
      <c r="L215" t="s">
        <v>1034</v>
      </c>
      <c r="M215" t="s">
        <v>1034</v>
      </c>
      <c r="N215">
        <v>860002964</v>
      </c>
      <c r="O215" t="s">
        <v>19</v>
      </c>
      <c r="P215">
        <v>860002964</v>
      </c>
      <c r="Q215" t="s">
        <v>19</v>
      </c>
      <c r="V215" t="s">
        <v>20</v>
      </c>
      <c r="W215" s="10">
        <f t="shared" si="3"/>
        <v>5</v>
      </c>
      <c r="X215" s="10" t="str">
        <f>+ VLOOKUP(W215,'COMISIONES ENERO-MARZO 2025 (2)'!X:Y,2,0)</f>
        <v>Mayo</v>
      </c>
    </row>
    <row r="216" spans="1:24" x14ac:dyDescent="0.35">
      <c r="A216" t="s">
        <v>14</v>
      </c>
      <c r="B216">
        <v>53051501</v>
      </c>
      <c r="C216" t="s">
        <v>15</v>
      </c>
      <c r="D216" s="1">
        <v>3954889.76</v>
      </c>
      <c r="E216" s="1">
        <v>0</v>
      </c>
      <c r="F216" s="1">
        <v>3954889.76</v>
      </c>
      <c r="J216" s="2">
        <v>45805</v>
      </c>
      <c r="K216" t="s">
        <v>992</v>
      </c>
      <c r="L216" t="s">
        <v>1034</v>
      </c>
      <c r="M216" t="s">
        <v>1034</v>
      </c>
      <c r="N216">
        <v>890903938</v>
      </c>
      <c r="O216" t="s">
        <v>29</v>
      </c>
      <c r="P216">
        <v>890903938</v>
      </c>
      <c r="Q216" t="s">
        <v>29</v>
      </c>
      <c r="V216" t="s">
        <v>20</v>
      </c>
      <c r="W216" s="10">
        <f t="shared" si="3"/>
        <v>5</v>
      </c>
      <c r="X216" s="10" t="str">
        <f>+ VLOOKUP(W216,'COMISIONES ENERO-MARZO 2025 (2)'!X:Y,2,0)</f>
        <v>Mayo</v>
      </c>
    </row>
    <row r="217" spans="1:24" x14ac:dyDescent="0.35">
      <c r="A217" t="s">
        <v>14</v>
      </c>
      <c r="B217">
        <v>53051501</v>
      </c>
      <c r="C217" t="s">
        <v>15</v>
      </c>
      <c r="D217" s="1">
        <v>10939491.65</v>
      </c>
      <c r="E217" s="1">
        <v>0</v>
      </c>
      <c r="F217" s="1">
        <v>10939491.65</v>
      </c>
      <c r="J217" s="2">
        <v>45805</v>
      </c>
      <c r="K217" t="s">
        <v>993</v>
      </c>
      <c r="L217" t="s">
        <v>1034</v>
      </c>
      <c r="M217" t="s">
        <v>1034</v>
      </c>
      <c r="N217">
        <v>860034313</v>
      </c>
      <c r="O217" t="s">
        <v>35</v>
      </c>
      <c r="P217">
        <v>860034313</v>
      </c>
      <c r="Q217" t="s">
        <v>35</v>
      </c>
      <c r="V217" t="s">
        <v>20</v>
      </c>
      <c r="W217" s="10">
        <f t="shared" si="3"/>
        <v>5</v>
      </c>
      <c r="X217" s="10" t="str">
        <f>+ VLOOKUP(W217,'COMISIONES ENERO-MARZO 2025 (2)'!X:Y,2,0)</f>
        <v>Mayo</v>
      </c>
    </row>
    <row r="218" spans="1:24" x14ac:dyDescent="0.35">
      <c r="A218" t="s">
        <v>14</v>
      </c>
      <c r="B218">
        <v>53051501</v>
      </c>
      <c r="C218" t="s">
        <v>15</v>
      </c>
      <c r="D218" s="1">
        <v>13140</v>
      </c>
      <c r="E218" s="1">
        <v>0</v>
      </c>
      <c r="F218" s="1">
        <v>13140</v>
      </c>
      <c r="J218" s="2">
        <v>45805</v>
      </c>
      <c r="K218" t="s">
        <v>994</v>
      </c>
      <c r="L218" t="s">
        <v>1034</v>
      </c>
      <c r="M218" t="s">
        <v>1034</v>
      </c>
      <c r="N218">
        <v>800037800</v>
      </c>
      <c r="O218" t="s">
        <v>37</v>
      </c>
      <c r="P218">
        <v>800037800</v>
      </c>
      <c r="Q218" t="s">
        <v>37</v>
      </c>
      <c r="V218" t="s">
        <v>20</v>
      </c>
      <c r="W218" s="10">
        <f t="shared" si="3"/>
        <v>5</v>
      </c>
      <c r="X218" s="10" t="str">
        <f>+ VLOOKUP(W218,'COMISIONES ENERO-MARZO 2025 (2)'!X:Y,2,0)</f>
        <v>Mayo</v>
      </c>
    </row>
    <row r="219" spans="1:24" x14ac:dyDescent="0.35">
      <c r="A219" t="s">
        <v>14</v>
      </c>
      <c r="B219">
        <v>53051501</v>
      </c>
      <c r="C219" t="s">
        <v>15</v>
      </c>
      <c r="D219" s="1">
        <v>3650</v>
      </c>
      <c r="E219" s="1">
        <v>0</v>
      </c>
      <c r="F219" s="1">
        <v>3650</v>
      </c>
      <c r="J219" s="2">
        <v>45805</v>
      </c>
      <c r="K219" t="s">
        <v>995</v>
      </c>
      <c r="L219" t="s">
        <v>1035</v>
      </c>
      <c r="M219" t="s">
        <v>1035</v>
      </c>
      <c r="N219">
        <v>860007738</v>
      </c>
      <c r="O219" t="s">
        <v>25</v>
      </c>
      <c r="P219">
        <v>860007738</v>
      </c>
      <c r="Q219" t="s">
        <v>25</v>
      </c>
      <c r="V219" t="s">
        <v>20</v>
      </c>
      <c r="W219" s="10">
        <f t="shared" si="3"/>
        <v>5</v>
      </c>
      <c r="X219" s="10" t="str">
        <f>+ VLOOKUP(W219,'COMISIONES ENERO-MARZO 2025 (2)'!X:Y,2,0)</f>
        <v>Mayo</v>
      </c>
    </row>
    <row r="220" spans="1:24" x14ac:dyDescent="0.35">
      <c r="A220" t="s">
        <v>14</v>
      </c>
      <c r="B220">
        <v>53051501</v>
      </c>
      <c r="C220" t="s">
        <v>15</v>
      </c>
      <c r="D220" s="1">
        <v>67603541.569999993</v>
      </c>
      <c r="E220" s="1">
        <v>0</v>
      </c>
      <c r="F220" s="1">
        <v>67603541.569999993</v>
      </c>
      <c r="J220" s="2">
        <v>45805</v>
      </c>
      <c r="K220" t="s">
        <v>996</v>
      </c>
      <c r="L220" t="s">
        <v>1034</v>
      </c>
      <c r="M220" t="s">
        <v>1034</v>
      </c>
      <c r="N220">
        <v>860003020</v>
      </c>
      <c r="O220" t="s">
        <v>40</v>
      </c>
      <c r="P220">
        <v>860003020</v>
      </c>
      <c r="Q220" t="s">
        <v>40</v>
      </c>
      <c r="V220" t="s">
        <v>20</v>
      </c>
      <c r="W220" s="10">
        <f t="shared" si="3"/>
        <v>5</v>
      </c>
      <c r="X220" s="10" t="str">
        <f>+ VLOOKUP(W220,'COMISIONES ENERO-MARZO 2025 (2)'!X:Y,2,0)</f>
        <v>Mayo</v>
      </c>
    </row>
    <row r="221" spans="1:24" x14ac:dyDescent="0.35">
      <c r="A221" t="s">
        <v>14</v>
      </c>
      <c r="B221">
        <v>53051501</v>
      </c>
      <c r="C221" t="s">
        <v>15</v>
      </c>
      <c r="D221" s="1">
        <v>3558750</v>
      </c>
      <c r="E221" s="1">
        <v>0</v>
      </c>
      <c r="F221" s="1">
        <v>3558750</v>
      </c>
      <c r="J221" s="2">
        <v>45805</v>
      </c>
      <c r="K221" t="s">
        <v>997</v>
      </c>
      <c r="L221" t="s">
        <v>1034</v>
      </c>
      <c r="M221" t="s">
        <v>1034</v>
      </c>
      <c r="N221">
        <v>800182281</v>
      </c>
      <c r="O221" t="s">
        <v>44</v>
      </c>
      <c r="P221">
        <v>800182281</v>
      </c>
      <c r="Q221" t="s">
        <v>44</v>
      </c>
      <c r="V221" t="s">
        <v>20</v>
      </c>
      <c r="W221" s="10">
        <f t="shared" si="3"/>
        <v>5</v>
      </c>
      <c r="X221" s="10" t="str">
        <f>+ VLOOKUP(W221,'COMISIONES ENERO-MARZO 2025 (2)'!X:Y,2,0)</f>
        <v>Mayo</v>
      </c>
    </row>
    <row r="222" spans="1:24" x14ac:dyDescent="0.35">
      <c r="A222" t="s">
        <v>14</v>
      </c>
      <c r="B222">
        <v>53051501</v>
      </c>
      <c r="C222" t="s">
        <v>15</v>
      </c>
      <c r="D222" s="1">
        <v>269103.01</v>
      </c>
      <c r="E222" s="1">
        <v>0</v>
      </c>
      <c r="F222" s="1">
        <v>269103.01</v>
      </c>
      <c r="J222" s="2">
        <v>45805</v>
      </c>
      <c r="K222" t="s">
        <v>998</v>
      </c>
      <c r="L222" t="s">
        <v>1034</v>
      </c>
      <c r="M222" t="s">
        <v>1034</v>
      </c>
      <c r="N222" t="s">
        <v>1072</v>
      </c>
      <c r="O222" t="s">
        <v>46</v>
      </c>
      <c r="P222" t="s">
        <v>1072</v>
      </c>
      <c r="Q222" t="s">
        <v>46</v>
      </c>
      <c r="V222" t="s">
        <v>20</v>
      </c>
      <c r="W222" s="10">
        <f t="shared" si="3"/>
        <v>5</v>
      </c>
      <c r="X222" s="10" t="str">
        <f>+ VLOOKUP(W222,'COMISIONES ENERO-MARZO 2025 (2)'!X:Y,2,0)</f>
        <v>Mayo</v>
      </c>
    </row>
    <row r="223" spans="1:24" x14ac:dyDescent="0.35">
      <c r="A223" t="s">
        <v>14</v>
      </c>
      <c r="B223">
        <v>53051501</v>
      </c>
      <c r="C223" t="s">
        <v>15</v>
      </c>
      <c r="D223" s="1">
        <v>0</v>
      </c>
      <c r="E223" s="1">
        <v>13140</v>
      </c>
      <c r="F223" s="1">
        <v>-13140</v>
      </c>
      <c r="J223" s="2">
        <v>45805</v>
      </c>
      <c r="K223" t="s">
        <v>999</v>
      </c>
      <c r="L223" t="s">
        <v>1036</v>
      </c>
      <c r="M223" t="s">
        <v>1036</v>
      </c>
      <c r="N223">
        <v>891900196</v>
      </c>
      <c r="O223" t="s">
        <v>676</v>
      </c>
      <c r="P223">
        <v>800037800</v>
      </c>
      <c r="Q223" t="s">
        <v>37</v>
      </c>
      <c r="V223" t="s">
        <v>59</v>
      </c>
      <c r="W223" s="10">
        <f t="shared" si="3"/>
        <v>5</v>
      </c>
      <c r="X223" s="10" t="str">
        <f>+ VLOOKUP(W223,'COMISIONES ENERO-MARZO 2025 (2)'!X:Y,2,0)</f>
        <v>Mayo</v>
      </c>
    </row>
    <row r="224" spans="1:24" x14ac:dyDescent="0.35">
      <c r="A224" t="s">
        <v>14</v>
      </c>
      <c r="B224">
        <v>53051501</v>
      </c>
      <c r="C224" t="s">
        <v>15</v>
      </c>
      <c r="D224" s="1">
        <v>0</v>
      </c>
      <c r="E224" s="1">
        <v>3558750</v>
      </c>
      <c r="F224" s="1">
        <v>-3558750</v>
      </c>
      <c r="J224" s="2">
        <v>45805</v>
      </c>
      <c r="K224" t="s">
        <v>999</v>
      </c>
      <c r="L224" t="s">
        <v>1036</v>
      </c>
      <c r="M224" t="s">
        <v>1036</v>
      </c>
      <c r="N224">
        <v>891900196</v>
      </c>
      <c r="O224" t="s">
        <v>676</v>
      </c>
      <c r="P224">
        <v>800182281</v>
      </c>
      <c r="Q224" t="s">
        <v>44</v>
      </c>
      <c r="V224" t="s">
        <v>59</v>
      </c>
      <c r="W224" s="10">
        <f t="shared" si="3"/>
        <v>5</v>
      </c>
      <c r="X224" s="10" t="str">
        <f>+ VLOOKUP(W224,'COMISIONES ENERO-MARZO 2025 (2)'!X:Y,2,0)</f>
        <v>Mayo</v>
      </c>
    </row>
    <row r="225" spans="1:24" x14ac:dyDescent="0.35">
      <c r="A225" t="s">
        <v>14</v>
      </c>
      <c r="B225">
        <v>53051501</v>
      </c>
      <c r="C225" t="s">
        <v>15</v>
      </c>
      <c r="D225" s="1">
        <v>0</v>
      </c>
      <c r="E225" s="1">
        <v>1413149</v>
      </c>
      <c r="F225" s="1">
        <v>-1413149</v>
      </c>
      <c r="J225" s="2">
        <v>45805</v>
      </c>
      <c r="K225" t="s">
        <v>999</v>
      </c>
      <c r="L225" t="s">
        <v>1036</v>
      </c>
      <c r="M225" t="s">
        <v>1036</v>
      </c>
      <c r="N225">
        <v>891900196</v>
      </c>
      <c r="O225" t="s">
        <v>676</v>
      </c>
      <c r="P225">
        <v>860002964</v>
      </c>
      <c r="Q225" t="s">
        <v>19</v>
      </c>
      <c r="V225" t="s">
        <v>59</v>
      </c>
      <c r="W225" s="10">
        <f t="shared" si="3"/>
        <v>5</v>
      </c>
      <c r="X225" s="10" t="str">
        <f>+ VLOOKUP(W225,'COMISIONES ENERO-MARZO 2025 (2)'!X:Y,2,0)</f>
        <v>Mayo</v>
      </c>
    </row>
    <row r="226" spans="1:24" x14ac:dyDescent="0.35">
      <c r="A226" t="s">
        <v>14</v>
      </c>
      <c r="B226">
        <v>53051501</v>
      </c>
      <c r="C226" t="s">
        <v>15</v>
      </c>
      <c r="D226" s="1">
        <v>0</v>
      </c>
      <c r="E226" s="1">
        <v>67603541.569999993</v>
      </c>
      <c r="F226" s="1">
        <v>-67603541.569999993</v>
      </c>
      <c r="J226" s="2">
        <v>45805</v>
      </c>
      <c r="K226" t="s">
        <v>999</v>
      </c>
      <c r="L226" t="s">
        <v>1036</v>
      </c>
      <c r="M226" t="s">
        <v>1036</v>
      </c>
      <c r="N226">
        <v>891900196</v>
      </c>
      <c r="O226" t="s">
        <v>676</v>
      </c>
      <c r="P226">
        <v>860003020</v>
      </c>
      <c r="Q226" t="s">
        <v>40</v>
      </c>
      <c r="V226" t="s">
        <v>59</v>
      </c>
      <c r="W226" s="10">
        <f t="shared" si="3"/>
        <v>5</v>
      </c>
      <c r="X226" s="10" t="str">
        <f>+ VLOOKUP(W226,'COMISIONES ENERO-MARZO 2025 (2)'!X:Y,2,0)</f>
        <v>Mayo</v>
      </c>
    </row>
    <row r="227" spans="1:24" x14ac:dyDescent="0.35">
      <c r="A227" t="s">
        <v>14</v>
      </c>
      <c r="B227">
        <v>53051501</v>
      </c>
      <c r="C227" t="s">
        <v>15</v>
      </c>
      <c r="D227" s="1">
        <v>0</v>
      </c>
      <c r="E227" s="1">
        <v>3650</v>
      </c>
      <c r="F227" s="1">
        <v>-3650</v>
      </c>
      <c r="J227" s="2">
        <v>45805</v>
      </c>
      <c r="K227" t="s">
        <v>999</v>
      </c>
      <c r="L227" t="s">
        <v>1036</v>
      </c>
      <c r="M227" t="s">
        <v>1036</v>
      </c>
      <c r="N227">
        <v>891900196</v>
      </c>
      <c r="O227" t="s">
        <v>676</v>
      </c>
      <c r="P227">
        <v>860007738</v>
      </c>
      <c r="Q227" t="s">
        <v>25</v>
      </c>
      <c r="V227" t="s">
        <v>59</v>
      </c>
      <c r="W227" s="10">
        <f t="shared" si="3"/>
        <v>5</v>
      </c>
      <c r="X227" s="10" t="str">
        <f>+ VLOOKUP(W227,'COMISIONES ENERO-MARZO 2025 (2)'!X:Y,2,0)</f>
        <v>Mayo</v>
      </c>
    </row>
    <row r="228" spans="1:24" x14ac:dyDescent="0.35">
      <c r="A228" t="s">
        <v>14</v>
      </c>
      <c r="B228">
        <v>53051501</v>
      </c>
      <c r="C228" t="s">
        <v>15</v>
      </c>
      <c r="D228" s="1">
        <v>0</v>
      </c>
      <c r="E228" s="1">
        <v>10939491.65</v>
      </c>
      <c r="F228" s="1">
        <v>-10939491.65</v>
      </c>
      <c r="J228" s="2">
        <v>45805</v>
      </c>
      <c r="K228" t="s">
        <v>999</v>
      </c>
      <c r="L228" t="s">
        <v>1036</v>
      </c>
      <c r="M228" t="s">
        <v>1036</v>
      </c>
      <c r="N228">
        <v>891900196</v>
      </c>
      <c r="O228" t="s">
        <v>676</v>
      </c>
      <c r="P228">
        <v>860034313</v>
      </c>
      <c r="Q228" t="s">
        <v>35</v>
      </c>
      <c r="V228" t="s">
        <v>59</v>
      </c>
      <c r="W228" s="10">
        <f t="shared" si="3"/>
        <v>5</v>
      </c>
      <c r="X228" s="10" t="str">
        <f>+ VLOOKUP(W228,'COMISIONES ENERO-MARZO 2025 (2)'!X:Y,2,0)</f>
        <v>Mayo</v>
      </c>
    </row>
    <row r="229" spans="1:24" x14ac:dyDescent="0.35">
      <c r="A229" t="s">
        <v>14</v>
      </c>
      <c r="B229">
        <v>53051501</v>
      </c>
      <c r="C229" t="s">
        <v>15</v>
      </c>
      <c r="D229" s="1">
        <v>0</v>
      </c>
      <c r="E229" s="1">
        <v>3954889.76</v>
      </c>
      <c r="F229" s="1">
        <v>-3954889.76</v>
      </c>
      <c r="J229" s="2">
        <v>45805</v>
      </c>
      <c r="K229" t="s">
        <v>999</v>
      </c>
      <c r="L229" t="s">
        <v>1036</v>
      </c>
      <c r="M229" t="s">
        <v>1036</v>
      </c>
      <c r="N229">
        <v>891900196</v>
      </c>
      <c r="O229" t="s">
        <v>676</v>
      </c>
      <c r="P229">
        <v>890903938</v>
      </c>
      <c r="Q229" t="s">
        <v>29</v>
      </c>
      <c r="V229" t="s">
        <v>59</v>
      </c>
      <c r="W229" s="10">
        <f t="shared" si="3"/>
        <v>5</v>
      </c>
      <c r="X229" s="10" t="str">
        <f>+ VLOOKUP(W229,'COMISIONES ENERO-MARZO 2025 (2)'!X:Y,2,0)</f>
        <v>Mayo</v>
      </c>
    </row>
    <row r="230" spans="1:24" x14ac:dyDescent="0.35">
      <c r="A230" t="s">
        <v>14</v>
      </c>
      <c r="B230">
        <v>53051501</v>
      </c>
      <c r="C230" t="s">
        <v>15</v>
      </c>
      <c r="D230" s="1">
        <v>0</v>
      </c>
      <c r="E230" s="1">
        <v>269103.01</v>
      </c>
      <c r="F230" s="1">
        <v>-269103.01</v>
      </c>
      <c r="J230" s="2">
        <v>45805</v>
      </c>
      <c r="K230" t="s">
        <v>999</v>
      </c>
      <c r="L230" t="s">
        <v>1036</v>
      </c>
      <c r="M230" t="s">
        <v>1036</v>
      </c>
      <c r="N230">
        <v>891900196</v>
      </c>
      <c r="O230" t="s">
        <v>676</v>
      </c>
      <c r="P230" t="s">
        <v>1072</v>
      </c>
      <c r="Q230" t="s">
        <v>46</v>
      </c>
      <c r="V230" t="s">
        <v>59</v>
      </c>
      <c r="W230" s="10">
        <f t="shared" si="3"/>
        <v>5</v>
      </c>
      <c r="X230" s="10" t="str">
        <f>+ VLOOKUP(W230,'COMISIONES ENERO-MARZO 2025 (2)'!X:Y,2,0)</f>
        <v>Mayo</v>
      </c>
    </row>
    <row r="231" spans="1:24" x14ac:dyDescent="0.35">
      <c r="A231" t="s">
        <v>14</v>
      </c>
      <c r="B231">
        <v>53051501</v>
      </c>
      <c r="C231" t="s">
        <v>15</v>
      </c>
      <c r="D231" s="1">
        <v>0</v>
      </c>
      <c r="E231" s="1">
        <v>83641</v>
      </c>
      <c r="F231" s="1">
        <v>-83641</v>
      </c>
      <c r="J231" s="2">
        <v>45807</v>
      </c>
      <c r="K231" t="s">
        <v>1000</v>
      </c>
      <c r="L231" t="s">
        <v>1037</v>
      </c>
      <c r="M231" t="s">
        <v>1037</v>
      </c>
      <c r="N231">
        <v>805000867</v>
      </c>
      <c r="O231" t="s">
        <v>203</v>
      </c>
      <c r="P231">
        <v>805000867</v>
      </c>
      <c r="Q231" t="s">
        <v>203</v>
      </c>
      <c r="V231" t="s">
        <v>59</v>
      </c>
      <c r="W231" s="10">
        <f t="shared" si="3"/>
        <v>5</v>
      </c>
      <c r="X231" s="10" t="str">
        <f>+ VLOOKUP(W231,'COMISIONES ENERO-MARZO 2025 (2)'!X:Y,2,0)</f>
        <v>Mayo</v>
      </c>
    </row>
    <row r="232" spans="1:24" x14ac:dyDescent="0.35">
      <c r="A232" t="s">
        <v>14</v>
      </c>
      <c r="B232">
        <v>53051501</v>
      </c>
      <c r="C232" t="s">
        <v>15</v>
      </c>
      <c r="D232" s="1">
        <v>857500</v>
      </c>
      <c r="E232" s="1">
        <v>0</v>
      </c>
      <c r="F232" s="1">
        <v>857500</v>
      </c>
      <c r="J232" s="2">
        <v>45807</v>
      </c>
      <c r="K232" t="s">
        <v>1001</v>
      </c>
      <c r="L232" t="s">
        <v>1038</v>
      </c>
      <c r="M232" t="s">
        <v>1038</v>
      </c>
      <c r="N232">
        <v>890904478</v>
      </c>
      <c r="O232" t="s">
        <v>127</v>
      </c>
      <c r="P232">
        <v>900296536</v>
      </c>
      <c r="Q232" t="s">
        <v>172</v>
      </c>
      <c r="V232" t="s">
        <v>59</v>
      </c>
      <c r="W232" s="10">
        <f t="shared" si="3"/>
        <v>5</v>
      </c>
      <c r="X232" s="10" t="str">
        <f>+ VLOOKUP(W232,'COMISIONES ENERO-MARZO 2025 (2)'!X:Y,2,0)</f>
        <v>Mayo</v>
      </c>
    </row>
    <row r="233" spans="1:24" x14ac:dyDescent="0.35">
      <c r="A233" t="s">
        <v>14</v>
      </c>
      <c r="B233">
        <v>53051501</v>
      </c>
      <c r="C233" t="s">
        <v>15</v>
      </c>
      <c r="D233" s="1">
        <v>1754226.75</v>
      </c>
      <c r="E233" s="1">
        <v>0</v>
      </c>
      <c r="F233" s="1">
        <v>1754226.75</v>
      </c>
      <c r="J233" s="2">
        <v>45807</v>
      </c>
      <c r="K233" t="s">
        <v>1002</v>
      </c>
      <c r="L233" t="s">
        <v>1039</v>
      </c>
      <c r="M233" t="s">
        <v>1039</v>
      </c>
      <c r="N233">
        <v>800012375</v>
      </c>
      <c r="O233" t="s">
        <v>1062</v>
      </c>
      <c r="P233">
        <v>900296536</v>
      </c>
      <c r="Q233" t="s">
        <v>172</v>
      </c>
      <c r="V233" t="s">
        <v>59</v>
      </c>
      <c r="W233" s="10">
        <f t="shared" si="3"/>
        <v>5</v>
      </c>
      <c r="X233" s="10" t="str">
        <f>+ VLOOKUP(W233,'COMISIONES ENERO-MARZO 2025 (2)'!X:Y,2,0)</f>
        <v>Mayo</v>
      </c>
    </row>
    <row r="234" spans="1:24" x14ac:dyDescent="0.35">
      <c r="A234" t="s">
        <v>14</v>
      </c>
      <c r="B234">
        <v>53051501</v>
      </c>
      <c r="C234" t="s">
        <v>15</v>
      </c>
      <c r="D234" s="1">
        <v>12233000</v>
      </c>
      <c r="E234" s="1">
        <v>0</v>
      </c>
      <c r="F234" s="1">
        <v>12233000</v>
      </c>
      <c r="J234" s="2">
        <v>45807</v>
      </c>
      <c r="K234" t="s">
        <v>1003</v>
      </c>
      <c r="L234" t="s">
        <v>1040</v>
      </c>
      <c r="M234" t="s">
        <v>1040</v>
      </c>
      <c r="N234">
        <v>805000867</v>
      </c>
      <c r="O234" t="s">
        <v>203</v>
      </c>
      <c r="P234">
        <v>805000867</v>
      </c>
      <c r="Q234" t="s">
        <v>203</v>
      </c>
      <c r="V234" t="s">
        <v>59</v>
      </c>
      <c r="W234" s="10">
        <f t="shared" si="3"/>
        <v>5</v>
      </c>
      <c r="X234" s="10" t="str">
        <f>+ VLOOKUP(W234,'COMISIONES ENERO-MARZO 2025 (2)'!X:Y,2,0)</f>
        <v>Mayo</v>
      </c>
    </row>
    <row r="235" spans="1:24" x14ac:dyDescent="0.35">
      <c r="A235" t="s">
        <v>14</v>
      </c>
      <c r="B235">
        <v>53051501</v>
      </c>
      <c r="C235" t="s">
        <v>15</v>
      </c>
      <c r="D235" s="1">
        <v>5563434</v>
      </c>
      <c r="E235" s="1">
        <v>0</v>
      </c>
      <c r="F235" s="1">
        <v>5563434</v>
      </c>
      <c r="J235" s="2">
        <v>45807</v>
      </c>
      <c r="K235" t="s">
        <v>1004</v>
      </c>
      <c r="L235" t="s">
        <v>1041</v>
      </c>
      <c r="M235" t="s">
        <v>1041</v>
      </c>
      <c r="N235">
        <v>805000867</v>
      </c>
      <c r="O235" t="s">
        <v>203</v>
      </c>
      <c r="P235">
        <v>805000867</v>
      </c>
      <c r="Q235" t="s">
        <v>203</v>
      </c>
      <c r="V235" t="s">
        <v>59</v>
      </c>
      <c r="W235" s="10">
        <f t="shared" si="3"/>
        <v>5</v>
      </c>
      <c r="X235" s="10" t="str">
        <f>+ VLOOKUP(W235,'COMISIONES ENERO-MARZO 2025 (2)'!X:Y,2,0)</f>
        <v>Mayo</v>
      </c>
    </row>
    <row r="236" spans="1:24" x14ac:dyDescent="0.35">
      <c r="A236" t="s">
        <v>14</v>
      </c>
      <c r="B236">
        <v>53051501</v>
      </c>
      <c r="C236" t="s">
        <v>15</v>
      </c>
      <c r="D236" s="1">
        <v>32387</v>
      </c>
      <c r="E236" s="1">
        <v>0</v>
      </c>
      <c r="F236" s="1">
        <v>32387</v>
      </c>
      <c r="J236" s="2">
        <v>45807</v>
      </c>
      <c r="K236" t="s">
        <v>1005</v>
      </c>
      <c r="L236" t="s">
        <v>1042</v>
      </c>
      <c r="M236" t="s">
        <v>1042</v>
      </c>
      <c r="N236">
        <v>805000867</v>
      </c>
      <c r="O236" t="s">
        <v>203</v>
      </c>
      <c r="P236">
        <v>805000867</v>
      </c>
      <c r="Q236" t="s">
        <v>203</v>
      </c>
      <c r="V236" t="s">
        <v>59</v>
      </c>
      <c r="W236" s="10">
        <f t="shared" si="3"/>
        <v>5</v>
      </c>
      <c r="X236" s="10" t="str">
        <f>+ VLOOKUP(W236,'COMISIONES ENERO-MARZO 2025 (2)'!X:Y,2,0)</f>
        <v>Mayo</v>
      </c>
    </row>
    <row r="237" spans="1:24" x14ac:dyDescent="0.35">
      <c r="A237" t="s">
        <v>14</v>
      </c>
      <c r="B237">
        <v>53051501</v>
      </c>
      <c r="C237" t="s">
        <v>15</v>
      </c>
      <c r="D237" s="1">
        <v>3558750</v>
      </c>
      <c r="E237" s="1">
        <v>0</v>
      </c>
      <c r="F237" s="1">
        <v>3558750</v>
      </c>
      <c r="J237" s="2">
        <v>45808</v>
      </c>
      <c r="K237" t="s">
        <v>1006</v>
      </c>
      <c r="L237" t="s">
        <v>1043</v>
      </c>
      <c r="M237" t="s">
        <v>1043</v>
      </c>
      <c r="N237">
        <v>800141235</v>
      </c>
      <c r="O237" t="s">
        <v>42</v>
      </c>
      <c r="P237">
        <v>800141235</v>
      </c>
      <c r="Q237" t="s">
        <v>42</v>
      </c>
      <c r="V237" t="s">
        <v>59</v>
      </c>
      <c r="W237" s="10">
        <f t="shared" si="3"/>
        <v>5</v>
      </c>
      <c r="X237" s="10" t="str">
        <f>+ VLOOKUP(W237,'COMISIONES ENERO-MARZO 2025 (2)'!X:Y,2,0)</f>
        <v>Mayo</v>
      </c>
    </row>
    <row r="238" spans="1:24" x14ac:dyDescent="0.35">
      <c r="A238" t="s">
        <v>14</v>
      </c>
      <c r="B238">
        <v>53051501</v>
      </c>
      <c r="C238" t="s">
        <v>15</v>
      </c>
      <c r="D238" s="1">
        <v>3558750</v>
      </c>
      <c r="E238" s="1">
        <v>0</v>
      </c>
      <c r="F238" s="1">
        <v>3558750</v>
      </c>
      <c r="J238" s="2">
        <v>45808</v>
      </c>
      <c r="K238" t="s">
        <v>1007</v>
      </c>
      <c r="L238" t="s">
        <v>1044</v>
      </c>
      <c r="M238" t="s">
        <v>1044</v>
      </c>
      <c r="N238">
        <v>800141235</v>
      </c>
      <c r="O238" t="s">
        <v>42</v>
      </c>
      <c r="P238">
        <v>800141235</v>
      </c>
      <c r="Q238" t="s">
        <v>42</v>
      </c>
      <c r="V238" t="s">
        <v>59</v>
      </c>
      <c r="W238" s="10">
        <f t="shared" si="3"/>
        <v>5</v>
      </c>
      <c r="X238" s="10" t="str">
        <f>+ VLOOKUP(W238,'COMISIONES ENERO-MARZO 2025 (2)'!X:Y,2,0)</f>
        <v>Mayo</v>
      </c>
    </row>
    <row r="239" spans="1:24" x14ac:dyDescent="0.35">
      <c r="A239" t="s">
        <v>14</v>
      </c>
      <c r="B239">
        <v>53051501</v>
      </c>
      <c r="C239" t="s">
        <v>15</v>
      </c>
      <c r="D239" s="1">
        <v>245438.28</v>
      </c>
      <c r="E239" s="1">
        <v>0</v>
      </c>
      <c r="F239" s="1">
        <v>245438.28</v>
      </c>
      <c r="J239" s="2">
        <v>45808</v>
      </c>
      <c r="K239" t="s">
        <v>1008</v>
      </c>
      <c r="L239" t="s">
        <v>1045</v>
      </c>
      <c r="M239" t="s">
        <v>1045</v>
      </c>
      <c r="N239" t="s">
        <v>1072</v>
      </c>
      <c r="O239" t="s">
        <v>46</v>
      </c>
      <c r="P239" t="s">
        <v>1072</v>
      </c>
      <c r="Q239" t="s">
        <v>46</v>
      </c>
      <c r="V239" t="s">
        <v>59</v>
      </c>
      <c r="W239" s="10">
        <f t="shared" si="3"/>
        <v>5</v>
      </c>
      <c r="X239" s="10" t="str">
        <f>+ VLOOKUP(W239,'COMISIONES ENERO-MARZO 2025 (2)'!X:Y,2,0)</f>
        <v>Mayo</v>
      </c>
    </row>
    <row r="240" spans="1:24" x14ac:dyDescent="0.35">
      <c r="A240" t="s">
        <v>14</v>
      </c>
      <c r="B240">
        <v>53051501</v>
      </c>
      <c r="C240" t="s">
        <v>15</v>
      </c>
      <c r="D240" s="1">
        <v>1348334</v>
      </c>
      <c r="E240" s="1">
        <v>0</v>
      </c>
      <c r="F240" s="1">
        <v>1348334</v>
      </c>
      <c r="J240" s="2">
        <v>45808</v>
      </c>
      <c r="K240" t="s">
        <v>1009</v>
      </c>
      <c r="L240" t="s">
        <v>1046</v>
      </c>
      <c r="M240" t="s">
        <v>1046</v>
      </c>
      <c r="N240">
        <v>890903937</v>
      </c>
      <c r="O240" t="s">
        <v>167</v>
      </c>
      <c r="P240">
        <v>890903937</v>
      </c>
      <c r="Q240" t="s">
        <v>167</v>
      </c>
      <c r="V240" t="s">
        <v>59</v>
      </c>
      <c r="W240" s="10">
        <f t="shared" si="3"/>
        <v>5</v>
      </c>
      <c r="X240" s="10" t="str">
        <f>+ VLOOKUP(W240,'COMISIONES ENERO-MARZO 2025 (2)'!X:Y,2,0)</f>
        <v>Mayo</v>
      </c>
    </row>
    <row r="241" spans="1:24" x14ac:dyDescent="0.35">
      <c r="A241" t="s">
        <v>14</v>
      </c>
      <c r="B241">
        <v>53051501</v>
      </c>
      <c r="C241" t="s">
        <v>15</v>
      </c>
      <c r="D241" s="1">
        <v>962213.76</v>
      </c>
      <c r="E241" s="1">
        <v>0</v>
      </c>
      <c r="F241" s="1">
        <v>962213.76</v>
      </c>
      <c r="J241" s="2">
        <v>45808</v>
      </c>
      <c r="K241" t="s">
        <v>1010</v>
      </c>
      <c r="L241" t="s">
        <v>1047</v>
      </c>
      <c r="M241" t="s">
        <v>1047</v>
      </c>
      <c r="N241">
        <v>890903938</v>
      </c>
      <c r="O241" t="s">
        <v>29</v>
      </c>
      <c r="P241">
        <v>890903938</v>
      </c>
      <c r="Q241" t="s">
        <v>29</v>
      </c>
      <c r="V241" t="s">
        <v>59</v>
      </c>
      <c r="W241" s="10">
        <f t="shared" si="3"/>
        <v>5</v>
      </c>
      <c r="X241" s="10" t="str">
        <f>+ VLOOKUP(W241,'COMISIONES ENERO-MARZO 2025 (2)'!X:Y,2,0)</f>
        <v>Mayo</v>
      </c>
    </row>
    <row r="242" spans="1:24" x14ac:dyDescent="0.35">
      <c r="A242" t="s">
        <v>14</v>
      </c>
      <c r="B242">
        <v>53051501</v>
      </c>
      <c r="C242" t="s">
        <v>15</v>
      </c>
      <c r="D242" s="1">
        <v>2617723.42</v>
      </c>
      <c r="E242" s="1">
        <v>0</v>
      </c>
      <c r="F242" s="1">
        <v>2617723.42</v>
      </c>
      <c r="J242" s="2">
        <v>45808</v>
      </c>
      <c r="K242" t="s">
        <v>1011</v>
      </c>
      <c r="L242" t="s">
        <v>1048</v>
      </c>
      <c r="M242" t="s">
        <v>1048</v>
      </c>
      <c r="N242">
        <v>890903938</v>
      </c>
      <c r="O242" t="s">
        <v>29</v>
      </c>
      <c r="P242">
        <v>890903938</v>
      </c>
      <c r="Q242" t="s">
        <v>29</v>
      </c>
      <c r="V242" t="s">
        <v>59</v>
      </c>
      <c r="W242" s="10">
        <f t="shared" si="3"/>
        <v>5</v>
      </c>
      <c r="X242" s="10" t="str">
        <f>+ VLOOKUP(W242,'COMISIONES ENERO-MARZO 2025 (2)'!X:Y,2,0)</f>
        <v>Mayo</v>
      </c>
    </row>
    <row r="243" spans="1:24" x14ac:dyDescent="0.35">
      <c r="A243" t="s">
        <v>14</v>
      </c>
      <c r="B243">
        <v>53051501</v>
      </c>
      <c r="C243" t="s">
        <v>15</v>
      </c>
      <c r="D243" s="1">
        <v>80124</v>
      </c>
      <c r="E243" s="1">
        <v>0</v>
      </c>
      <c r="F243" s="1">
        <v>80124</v>
      </c>
      <c r="J243" s="2">
        <v>45808</v>
      </c>
      <c r="K243" t="s">
        <v>1012</v>
      </c>
      <c r="L243" t="s">
        <v>1049</v>
      </c>
      <c r="M243" t="s">
        <v>1049</v>
      </c>
      <c r="N243">
        <v>860002964</v>
      </c>
      <c r="O243" t="s">
        <v>19</v>
      </c>
      <c r="P243">
        <v>860002964</v>
      </c>
      <c r="Q243" t="s">
        <v>19</v>
      </c>
      <c r="V243" t="s">
        <v>59</v>
      </c>
      <c r="W243" s="10">
        <f t="shared" si="3"/>
        <v>5</v>
      </c>
      <c r="X243" s="10" t="str">
        <f>+ VLOOKUP(W243,'COMISIONES ENERO-MARZO 2025 (2)'!X:Y,2,0)</f>
        <v>Mayo</v>
      </c>
    </row>
    <row r="244" spans="1:24" x14ac:dyDescent="0.35">
      <c r="A244" t="s">
        <v>14</v>
      </c>
      <c r="B244">
        <v>53051501</v>
      </c>
      <c r="C244" t="s">
        <v>15</v>
      </c>
      <c r="D244" s="1">
        <v>1621301</v>
      </c>
      <c r="E244" s="1">
        <v>0</v>
      </c>
      <c r="F244" s="1">
        <v>1621301</v>
      </c>
      <c r="J244" s="2">
        <v>45808</v>
      </c>
      <c r="K244" t="s">
        <v>1013</v>
      </c>
      <c r="L244" t="s">
        <v>1050</v>
      </c>
      <c r="M244" t="s">
        <v>1050</v>
      </c>
      <c r="N244">
        <v>860002964</v>
      </c>
      <c r="O244" t="s">
        <v>19</v>
      </c>
      <c r="P244">
        <v>860002964</v>
      </c>
      <c r="Q244" t="s">
        <v>19</v>
      </c>
      <c r="V244" t="s">
        <v>59</v>
      </c>
      <c r="W244" s="10">
        <f t="shared" si="3"/>
        <v>5</v>
      </c>
      <c r="X244" s="10" t="str">
        <f>+ VLOOKUP(W244,'COMISIONES ENERO-MARZO 2025 (2)'!X:Y,2,0)</f>
        <v>Mayo</v>
      </c>
    </row>
    <row r="245" spans="1:24" x14ac:dyDescent="0.35">
      <c r="A245" t="s">
        <v>14</v>
      </c>
      <c r="B245">
        <v>53051501</v>
      </c>
      <c r="C245" t="s">
        <v>15</v>
      </c>
      <c r="D245" s="1">
        <v>719992.8</v>
      </c>
      <c r="E245" s="1">
        <v>0</v>
      </c>
      <c r="F245" s="1">
        <v>719992.8</v>
      </c>
      <c r="J245" s="2">
        <v>45808</v>
      </c>
      <c r="K245" t="s">
        <v>1014</v>
      </c>
      <c r="L245" t="s">
        <v>1051</v>
      </c>
      <c r="M245" t="s">
        <v>1051</v>
      </c>
      <c r="N245">
        <v>890903937</v>
      </c>
      <c r="O245" t="s">
        <v>167</v>
      </c>
      <c r="P245">
        <v>890903937</v>
      </c>
      <c r="Q245" t="s">
        <v>167</v>
      </c>
      <c r="V245" t="s">
        <v>59</v>
      </c>
      <c r="W245" s="10">
        <f t="shared" si="3"/>
        <v>5</v>
      </c>
      <c r="X245" s="10" t="str">
        <f>+ VLOOKUP(W245,'COMISIONES ENERO-MARZO 2025 (2)'!X:Y,2,0)</f>
        <v>Mayo</v>
      </c>
    </row>
    <row r="246" spans="1:24" x14ac:dyDescent="0.35">
      <c r="A246" t="s">
        <v>14</v>
      </c>
      <c r="B246">
        <v>53051501</v>
      </c>
      <c r="C246" t="s">
        <v>15</v>
      </c>
      <c r="D246" s="1">
        <v>24284</v>
      </c>
      <c r="E246" s="1">
        <v>0</v>
      </c>
      <c r="F246" s="1">
        <v>24284</v>
      </c>
      <c r="J246" s="2">
        <v>45808</v>
      </c>
      <c r="K246" t="s">
        <v>1015</v>
      </c>
      <c r="L246" t="s">
        <v>1052</v>
      </c>
      <c r="M246" t="s">
        <v>1052</v>
      </c>
      <c r="N246">
        <v>890903938</v>
      </c>
      <c r="O246" t="s">
        <v>29</v>
      </c>
      <c r="P246">
        <v>890903938</v>
      </c>
      <c r="Q246" t="s">
        <v>29</v>
      </c>
      <c r="V246" t="s">
        <v>59</v>
      </c>
      <c r="W246" s="10">
        <f t="shared" si="3"/>
        <v>5</v>
      </c>
      <c r="X246" s="10" t="str">
        <f>+ VLOOKUP(W246,'COMISIONES ENERO-MARZO 2025 (2)'!X:Y,2,0)</f>
        <v>Mayo</v>
      </c>
    </row>
    <row r="247" spans="1:24" x14ac:dyDescent="0.35">
      <c r="A247" t="s">
        <v>14</v>
      </c>
      <c r="B247">
        <v>53051501</v>
      </c>
      <c r="C247" t="s">
        <v>15</v>
      </c>
      <c r="D247" s="1">
        <v>7221723</v>
      </c>
      <c r="E247" s="1">
        <v>0</v>
      </c>
      <c r="F247" s="1">
        <v>7221723</v>
      </c>
      <c r="J247" s="2">
        <v>45808</v>
      </c>
      <c r="K247" t="s">
        <v>1016</v>
      </c>
      <c r="L247" t="s">
        <v>1053</v>
      </c>
      <c r="M247" t="s">
        <v>1053</v>
      </c>
      <c r="N247">
        <v>860034313</v>
      </c>
      <c r="O247" t="s">
        <v>35</v>
      </c>
      <c r="P247">
        <v>860034313</v>
      </c>
      <c r="Q247" t="s">
        <v>35</v>
      </c>
      <c r="V247" t="s">
        <v>59</v>
      </c>
      <c r="W247" s="10">
        <f t="shared" si="3"/>
        <v>5</v>
      </c>
      <c r="X247" s="10" t="str">
        <f>+ VLOOKUP(W247,'COMISIONES ENERO-MARZO 2025 (2)'!X:Y,2,0)</f>
        <v>Mayo</v>
      </c>
    </row>
    <row r="248" spans="1:24" s="21" customFormat="1" x14ac:dyDescent="0.35">
      <c r="A248" s="21" t="s">
        <v>14</v>
      </c>
      <c r="B248" s="21">
        <v>53051501</v>
      </c>
      <c r="C248" s="21" t="s">
        <v>15</v>
      </c>
      <c r="D248" s="22">
        <v>14116</v>
      </c>
      <c r="E248" s="22">
        <v>0</v>
      </c>
      <c r="F248" s="22">
        <v>14116</v>
      </c>
      <c r="J248" s="23">
        <v>45812</v>
      </c>
      <c r="K248" s="21" t="s">
        <v>1115</v>
      </c>
      <c r="L248" s="21" t="s">
        <v>155</v>
      </c>
      <c r="M248" s="21" t="s">
        <v>155</v>
      </c>
      <c r="N248" s="21">
        <v>891900196</v>
      </c>
      <c r="O248" s="21" t="s">
        <v>676</v>
      </c>
      <c r="P248" s="21">
        <v>890903938</v>
      </c>
      <c r="Q248" s="21" t="s">
        <v>29</v>
      </c>
      <c r="V248" s="27"/>
      <c r="W248" s="27">
        <f t="shared" ref="W248:W283" si="4">+MONTH(J248)</f>
        <v>6</v>
      </c>
      <c r="X248" s="27" t="str">
        <f>+ VLOOKUP(W248,'COMISIONES ENERO-MARZO 2025 (2)'!X:Y,2,0)</f>
        <v>Junio</v>
      </c>
    </row>
    <row r="249" spans="1:24" x14ac:dyDescent="0.35">
      <c r="A249" t="s">
        <v>14</v>
      </c>
      <c r="B249">
        <v>53051501</v>
      </c>
      <c r="C249" t="s">
        <v>15</v>
      </c>
      <c r="D249" s="1">
        <v>3036689.66</v>
      </c>
      <c r="E249" s="1">
        <v>0</v>
      </c>
      <c r="F249" s="1">
        <v>3036689.66</v>
      </c>
      <c r="J249" s="2">
        <v>45813</v>
      </c>
      <c r="K249" t="s">
        <v>1137</v>
      </c>
      <c r="L249" t="s">
        <v>1138</v>
      </c>
      <c r="M249" t="s">
        <v>1138</v>
      </c>
      <c r="N249">
        <v>890904478</v>
      </c>
      <c r="O249" t="s">
        <v>127</v>
      </c>
      <c r="P249">
        <v>900296536</v>
      </c>
      <c r="Q249" t="s">
        <v>172</v>
      </c>
      <c r="V249" s="10"/>
      <c r="W249" s="10">
        <f t="shared" si="4"/>
        <v>6</v>
      </c>
      <c r="X249" s="10" t="str">
        <f>+ VLOOKUP(W249,'COMISIONES ENERO-MARZO 2025 (2)'!X:Y,2,0)</f>
        <v>Junio</v>
      </c>
    </row>
    <row r="250" spans="1:24" x14ac:dyDescent="0.35">
      <c r="A250" t="s">
        <v>14</v>
      </c>
      <c r="B250">
        <v>53051501</v>
      </c>
      <c r="C250" t="s">
        <v>15</v>
      </c>
      <c r="D250" s="1">
        <v>13264360.640000001</v>
      </c>
      <c r="E250" s="1">
        <v>0</v>
      </c>
      <c r="F250" s="1">
        <v>13264360.640000001</v>
      </c>
      <c r="J250" s="2">
        <v>45813</v>
      </c>
      <c r="K250" t="s">
        <v>1139</v>
      </c>
      <c r="L250" t="s">
        <v>1140</v>
      </c>
      <c r="M250" t="s">
        <v>1140</v>
      </c>
      <c r="N250">
        <v>900296536</v>
      </c>
      <c r="O250" t="s">
        <v>172</v>
      </c>
      <c r="P250">
        <v>900296536</v>
      </c>
      <c r="Q250" t="s">
        <v>172</v>
      </c>
      <c r="V250" s="10"/>
      <c r="W250" s="10">
        <f t="shared" si="4"/>
        <v>6</v>
      </c>
      <c r="X250" s="10" t="str">
        <f>+ VLOOKUP(W250,'COMISIONES ENERO-MARZO 2025 (2)'!X:Y,2,0)</f>
        <v>Junio</v>
      </c>
    </row>
    <row r="251" spans="1:24" x14ac:dyDescent="0.35">
      <c r="A251" t="s">
        <v>14</v>
      </c>
      <c r="B251">
        <v>53051501</v>
      </c>
      <c r="C251" t="s">
        <v>15</v>
      </c>
      <c r="D251" s="1">
        <v>3529</v>
      </c>
      <c r="E251" s="1">
        <v>0</v>
      </c>
      <c r="F251" s="1">
        <v>3529</v>
      </c>
      <c r="J251" s="2">
        <v>45813</v>
      </c>
      <c r="K251" t="s">
        <v>1116</v>
      </c>
      <c r="L251" t="s">
        <v>1117</v>
      </c>
      <c r="M251" t="s">
        <v>1117</v>
      </c>
      <c r="N251">
        <v>16502466</v>
      </c>
      <c r="O251" t="s">
        <v>1056</v>
      </c>
      <c r="P251">
        <v>890903938</v>
      </c>
      <c r="Q251" t="s">
        <v>29</v>
      </c>
      <c r="V251" s="10"/>
      <c r="W251" s="10">
        <f t="shared" si="4"/>
        <v>6</v>
      </c>
      <c r="X251" s="10" t="str">
        <f>+ VLOOKUP(W251,'COMISIONES ENERO-MARZO 2025 (2)'!X:Y,2,0)</f>
        <v>Junio</v>
      </c>
    </row>
    <row r="252" spans="1:24" x14ac:dyDescent="0.35">
      <c r="A252" t="s">
        <v>14</v>
      </c>
      <c r="B252">
        <v>53051501</v>
      </c>
      <c r="C252" t="s">
        <v>15</v>
      </c>
      <c r="D252" s="1">
        <v>11004</v>
      </c>
      <c r="E252" s="1">
        <v>0</v>
      </c>
      <c r="F252" s="1">
        <v>11004</v>
      </c>
      <c r="J252" s="2">
        <v>45814</v>
      </c>
      <c r="K252" t="s">
        <v>1135</v>
      </c>
      <c r="L252" t="s">
        <v>1136</v>
      </c>
      <c r="M252" t="s">
        <v>1136</v>
      </c>
      <c r="N252">
        <v>800037800</v>
      </c>
      <c r="O252" t="s">
        <v>37</v>
      </c>
      <c r="P252">
        <v>800037800</v>
      </c>
      <c r="Q252" t="s">
        <v>37</v>
      </c>
      <c r="V252" s="10"/>
      <c r="W252" s="10">
        <f t="shared" si="4"/>
        <v>6</v>
      </c>
      <c r="X252" s="10" t="str">
        <f>+ VLOOKUP(W252,'COMISIONES ENERO-MARZO 2025 (2)'!X:Y,2,0)</f>
        <v>Junio</v>
      </c>
    </row>
    <row r="253" spans="1:24" x14ac:dyDescent="0.35">
      <c r="A253" t="s">
        <v>14</v>
      </c>
      <c r="B253">
        <v>53051501</v>
      </c>
      <c r="C253" t="s">
        <v>15</v>
      </c>
      <c r="D253" s="1">
        <v>3529</v>
      </c>
      <c r="E253" s="1">
        <v>0</v>
      </c>
      <c r="F253" s="1">
        <v>3529</v>
      </c>
      <c r="J253" s="2">
        <v>45818</v>
      </c>
      <c r="K253" t="s">
        <v>1118</v>
      </c>
      <c r="L253" t="s">
        <v>216</v>
      </c>
      <c r="M253" t="s">
        <v>216</v>
      </c>
      <c r="N253">
        <v>16502466</v>
      </c>
      <c r="O253" t="s">
        <v>1056</v>
      </c>
      <c r="P253">
        <v>890903938</v>
      </c>
      <c r="Q253" t="s">
        <v>29</v>
      </c>
      <c r="V253" s="10"/>
      <c r="W253" s="10">
        <f t="shared" si="4"/>
        <v>6</v>
      </c>
      <c r="X253" s="10" t="str">
        <f>+ VLOOKUP(W253,'COMISIONES ENERO-MARZO 2025 (2)'!X:Y,2,0)</f>
        <v>Junio</v>
      </c>
    </row>
    <row r="254" spans="1:24" x14ac:dyDescent="0.35">
      <c r="A254" t="s">
        <v>14</v>
      </c>
      <c r="B254">
        <v>53051501</v>
      </c>
      <c r="C254" t="s">
        <v>15</v>
      </c>
      <c r="D254" s="1">
        <v>3947317.23</v>
      </c>
      <c r="E254" s="1">
        <v>0</v>
      </c>
      <c r="F254" s="1">
        <v>3947317.23</v>
      </c>
      <c r="J254" s="2">
        <v>45819</v>
      </c>
      <c r="K254" t="s">
        <v>1141</v>
      </c>
      <c r="L254" t="s">
        <v>1142</v>
      </c>
      <c r="M254" t="s">
        <v>1142</v>
      </c>
      <c r="N254">
        <v>800012375</v>
      </c>
      <c r="O254" t="s">
        <v>1062</v>
      </c>
      <c r="P254">
        <v>900296536</v>
      </c>
      <c r="Q254" t="s">
        <v>172</v>
      </c>
      <c r="V254" s="10"/>
      <c r="W254" s="10">
        <f t="shared" si="4"/>
        <v>6</v>
      </c>
      <c r="X254" s="10" t="str">
        <f>+ VLOOKUP(W254,'COMISIONES ENERO-MARZO 2025 (2)'!X:Y,2,0)</f>
        <v>Junio</v>
      </c>
    </row>
    <row r="255" spans="1:24" x14ac:dyDescent="0.35">
      <c r="A255" t="s">
        <v>14</v>
      </c>
      <c r="B255">
        <v>53051501</v>
      </c>
      <c r="C255" t="s">
        <v>15</v>
      </c>
      <c r="D255" s="1">
        <v>5644630.7800000003</v>
      </c>
      <c r="E255" s="1">
        <v>0</v>
      </c>
      <c r="F255" s="1">
        <v>5644630.7800000003</v>
      </c>
      <c r="J255" s="2">
        <v>45819</v>
      </c>
      <c r="K255" t="s">
        <v>1143</v>
      </c>
      <c r="L255" t="s">
        <v>1144</v>
      </c>
      <c r="M255" t="s">
        <v>1144</v>
      </c>
      <c r="N255">
        <v>890805267</v>
      </c>
      <c r="O255" t="s">
        <v>1058</v>
      </c>
      <c r="P255">
        <v>860003020</v>
      </c>
      <c r="Q255" t="s">
        <v>40</v>
      </c>
      <c r="V255" s="10"/>
      <c r="W255" s="10">
        <f t="shared" si="4"/>
        <v>6</v>
      </c>
      <c r="X255" s="10" t="str">
        <f>+ VLOOKUP(W255,'COMISIONES ENERO-MARZO 2025 (2)'!X:Y,2,0)</f>
        <v>Junio</v>
      </c>
    </row>
    <row r="256" spans="1:24" x14ac:dyDescent="0.35">
      <c r="A256" t="s">
        <v>14</v>
      </c>
      <c r="B256">
        <v>53051501</v>
      </c>
      <c r="C256" t="s">
        <v>15</v>
      </c>
      <c r="D256" s="1">
        <v>3529</v>
      </c>
      <c r="E256" s="1">
        <v>0</v>
      </c>
      <c r="F256" s="1">
        <v>3529</v>
      </c>
      <c r="J256" s="2">
        <v>45820</v>
      </c>
      <c r="K256" t="s">
        <v>1119</v>
      </c>
      <c r="L256" t="s">
        <v>1120</v>
      </c>
      <c r="M256" t="s">
        <v>1120</v>
      </c>
      <c r="N256">
        <v>29760690</v>
      </c>
      <c r="O256" t="s">
        <v>1061</v>
      </c>
      <c r="P256">
        <v>890903938</v>
      </c>
      <c r="Q256" t="s">
        <v>29</v>
      </c>
      <c r="V256" s="10"/>
      <c r="W256" s="10">
        <f t="shared" si="4"/>
        <v>6</v>
      </c>
      <c r="X256" s="10" t="str">
        <f>+ VLOOKUP(W256,'COMISIONES ENERO-MARZO 2025 (2)'!X:Y,2,0)</f>
        <v>Junio</v>
      </c>
    </row>
    <row r="257" spans="1:24" x14ac:dyDescent="0.35">
      <c r="A257" t="s">
        <v>14</v>
      </c>
      <c r="B257">
        <v>53051501</v>
      </c>
      <c r="C257" t="s">
        <v>15</v>
      </c>
      <c r="D257" s="1">
        <v>3529</v>
      </c>
      <c r="E257" s="1">
        <v>0</v>
      </c>
      <c r="F257" s="1">
        <v>3529</v>
      </c>
      <c r="J257" s="2">
        <v>45824</v>
      </c>
      <c r="K257" t="s">
        <v>1121</v>
      </c>
      <c r="L257" t="s">
        <v>208</v>
      </c>
      <c r="M257" t="s">
        <v>208</v>
      </c>
      <c r="N257">
        <v>16502466</v>
      </c>
      <c r="O257" t="s">
        <v>1056</v>
      </c>
      <c r="P257">
        <v>890903938</v>
      </c>
      <c r="Q257" t="s">
        <v>29</v>
      </c>
      <c r="V257" s="10"/>
      <c r="W257" s="10">
        <f t="shared" si="4"/>
        <v>6</v>
      </c>
      <c r="X257" s="10" t="str">
        <f>+ VLOOKUP(W257,'COMISIONES ENERO-MARZO 2025 (2)'!X:Y,2,0)</f>
        <v>Junio</v>
      </c>
    </row>
    <row r="258" spans="1:24" x14ac:dyDescent="0.35">
      <c r="A258" t="s">
        <v>14</v>
      </c>
      <c r="B258">
        <v>53051501</v>
      </c>
      <c r="C258" t="s">
        <v>15</v>
      </c>
      <c r="D258" s="1">
        <v>153000</v>
      </c>
      <c r="E258" s="1">
        <v>0</v>
      </c>
      <c r="F258" s="1">
        <v>153000</v>
      </c>
      <c r="J258" s="2">
        <v>45828</v>
      </c>
      <c r="K258" t="s">
        <v>1090</v>
      </c>
      <c r="L258" t="s">
        <v>1145</v>
      </c>
      <c r="M258" t="s">
        <v>1092</v>
      </c>
      <c r="N258">
        <v>891900196</v>
      </c>
      <c r="O258" t="s">
        <v>676</v>
      </c>
      <c r="P258">
        <v>890300279</v>
      </c>
      <c r="Q258" t="s">
        <v>534</v>
      </c>
      <c r="V258" s="10"/>
      <c r="W258" s="10">
        <f t="shared" si="4"/>
        <v>6</v>
      </c>
      <c r="X258" s="10" t="str">
        <f>+ VLOOKUP(W258,'COMISIONES ENERO-MARZO 2025 (2)'!X:Y,2,0)</f>
        <v>Junio</v>
      </c>
    </row>
    <row r="259" spans="1:24" x14ac:dyDescent="0.35">
      <c r="A259" t="s">
        <v>14</v>
      </c>
      <c r="B259">
        <v>53051501</v>
      </c>
      <c r="C259" t="s">
        <v>15</v>
      </c>
      <c r="D259" s="1">
        <v>3558225.52</v>
      </c>
      <c r="E259" s="1">
        <v>0</v>
      </c>
      <c r="F259" s="1">
        <v>3558225.52</v>
      </c>
      <c r="J259" s="2">
        <v>45828</v>
      </c>
      <c r="K259" t="s">
        <v>1090</v>
      </c>
      <c r="L259" t="s">
        <v>1146</v>
      </c>
      <c r="M259" t="s">
        <v>1092</v>
      </c>
      <c r="N259">
        <v>891900196</v>
      </c>
      <c r="O259" t="s">
        <v>676</v>
      </c>
      <c r="P259">
        <v>800141235</v>
      </c>
      <c r="Q259" t="s">
        <v>42</v>
      </c>
      <c r="V259" s="10"/>
      <c r="W259" s="10">
        <f t="shared" si="4"/>
        <v>6</v>
      </c>
      <c r="X259" s="10" t="str">
        <f>+ VLOOKUP(W259,'COMISIONES ENERO-MARZO 2025 (2)'!X:Y,2,0)</f>
        <v>Junio</v>
      </c>
    </row>
    <row r="260" spans="1:24" x14ac:dyDescent="0.35">
      <c r="A260" t="s">
        <v>14</v>
      </c>
      <c r="B260">
        <v>53051501</v>
      </c>
      <c r="C260" t="s">
        <v>15</v>
      </c>
      <c r="D260" s="1">
        <v>5470090.8600000003</v>
      </c>
      <c r="E260" s="1">
        <v>0</v>
      </c>
      <c r="F260" s="1">
        <v>5470090.8600000003</v>
      </c>
      <c r="J260" s="2">
        <v>45828</v>
      </c>
      <c r="K260" t="s">
        <v>1149</v>
      </c>
      <c r="L260" t="s">
        <v>1150</v>
      </c>
      <c r="M260" t="s">
        <v>1150</v>
      </c>
      <c r="N260">
        <v>890805267</v>
      </c>
      <c r="O260" t="s">
        <v>1058</v>
      </c>
      <c r="P260">
        <v>860003020</v>
      </c>
      <c r="Q260" t="s">
        <v>40</v>
      </c>
      <c r="V260" s="10"/>
      <c r="W260" s="10">
        <f t="shared" si="4"/>
        <v>6</v>
      </c>
      <c r="X260" s="10" t="str">
        <f>+ VLOOKUP(W260,'COMISIONES ENERO-MARZO 2025 (2)'!X:Y,2,0)</f>
        <v>Junio</v>
      </c>
    </row>
    <row r="261" spans="1:24" x14ac:dyDescent="0.35">
      <c r="A261" t="s">
        <v>14</v>
      </c>
      <c r="B261">
        <v>53051501</v>
      </c>
      <c r="C261" t="s">
        <v>15</v>
      </c>
      <c r="D261" s="1">
        <v>8639349</v>
      </c>
      <c r="E261" s="1">
        <v>0</v>
      </c>
      <c r="F261" s="1">
        <v>8639349</v>
      </c>
      <c r="J261" s="2">
        <v>45828</v>
      </c>
      <c r="K261" t="s">
        <v>1151</v>
      </c>
      <c r="L261" t="s">
        <v>1152</v>
      </c>
      <c r="M261" t="s">
        <v>1152</v>
      </c>
      <c r="N261">
        <v>860000261</v>
      </c>
      <c r="O261" t="s">
        <v>1059</v>
      </c>
      <c r="P261">
        <v>860034313</v>
      </c>
      <c r="Q261" t="s">
        <v>35</v>
      </c>
      <c r="V261" s="10"/>
      <c r="W261" s="10">
        <f t="shared" si="4"/>
        <v>6</v>
      </c>
      <c r="X261" s="10" t="str">
        <f>+ VLOOKUP(W261,'COMISIONES ENERO-MARZO 2025 (2)'!X:Y,2,0)</f>
        <v>Junio</v>
      </c>
    </row>
    <row r="262" spans="1:24" x14ac:dyDescent="0.35">
      <c r="A262" t="s">
        <v>14</v>
      </c>
      <c r="B262">
        <v>53051501</v>
      </c>
      <c r="C262" t="s">
        <v>15</v>
      </c>
      <c r="D262" s="1">
        <v>1423500</v>
      </c>
      <c r="E262" s="1">
        <v>0</v>
      </c>
      <c r="F262" s="1">
        <v>1423500</v>
      </c>
      <c r="J262" s="2">
        <v>45832</v>
      </c>
      <c r="K262" t="s">
        <v>1129</v>
      </c>
      <c r="L262" t="s">
        <v>1130</v>
      </c>
      <c r="M262" t="s">
        <v>1130</v>
      </c>
      <c r="N262">
        <v>860531315</v>
      </c>
      <c r="O262" t="s">
        <v>75</v>
      </c>
      <c r="P262">
        <v>860531315</v>
      </c>
      <c r="Q262" t="s">
        <v>75</v>
      </c>
      <c r="V262" s="10"/>
      <c r="W262" s="10">
        <f t="shared" si="4"/>
        <v>6</v>
      </c>
      <c r="X262" s="10" t="str">
        <f>+ VLOOKUP(W262,'COMISIONES ENERO-MARZO 2025 (2)'!X:Y,2,0)</f>
        <v>Junio</v>
      </c>
    </row>
    <row r="263" spans="1:24" x14ac:dyDescent="0.35">
      <c r="A263" t="s">
        <v>14</v>
      </c>
      <c r="B263">
        <v>53051501</v>
      </c>
      <c r="C263" t="s">
        <v>15</v>
      </c>
      <c r="D263" s="1">
        <v>3558750</v>
      </c>
      <c r="E263" s="1">
        <v>0</v>
      </c>
      <c r="F263" s="1">
        <v>3558750</v>
      </c>
      <c r="J263" s="2">
        <v>45832</v>
      </c>
      <c r="K263" t="s">
        <v>1131</v>
      </c>
      <c r="L263" t="s">
        <v>1132</v>
      </c>
      <c r="M263" t="s">
        <v>1132</v>
      </c>
      <c r="N263">
        <v>800141235</v>
      </c>
      <c r="O263" t="s">
        <v>42</v>
      </c>
      <c r="P263">
        <v>800141235</v>
      </c>
      <c r="Q263" t="s">
        <v>42</v>
      </c>
      <c r="V263" s="10"/>
      <c r="W263" s="10">
        <f t="shared" si="4"/>
        <v>6</v>
      </c>
      <c r="X263" s="10" t="str">
        <f>+ VLOOKUP(W263,'COMISIONES ENERO-MARZO 2025 (2)'!X:Y,2,0)</f>
        <v>Junio</v>
      </c>
    </row>
    <row r="264" spans="1:24" x14ac:dyDescent="0.35">
      <c r="A264" t="s">
        <v>14</v>
      </c>
      <c r="B264">
        <v>53051501</v>
      </c>
      <c r="C264" t="s">
        <v>15</v>
      </c>
      <c r="D264" s="1">
        <v>3558750</v>
      </c>
      <c r="E264" s="1">
        <v>0</v>
      </c>
      <c r="F264" s="1">
        <v>3558750</v>
      </c>
      <c r="J264" s="2">
        <v>45832</v>
      </c>
      <c r="K264" t="s">
        <v>1133</v>
      </c>
      <c r="L264" t="s">
        <v>1134</v>
      </c>
      <c r="M264" t="s">
        <v>1134</v>
      </c>
      <c r="N264">
        <v>800182281</v>
      </c>
      <c r="O264" t="s">
        <v>44</v>
      </c>
      <c r="P264">
        <v>800182281</v>
      </c>
      <c r="Q264" t="s">
        <v>44</v>
      </c>
      <c r="V264" s="10"/>
      <c r="W264" s="10">
        <f t="shared" si="4"/>
        <v>6</v>
      </c>
      <c r="X264" s="10" t="str">
        <f>+ VLOOKUP(W264,'COMISIONES ENERO-MARZO 2025 (2)'!X:Y,2,0)</f>
        <v>Junio</v>
      </c>
    </row>
    <row r="265" spans="1:24" x14ac:dyDescent="0.35">
      <c r="A265" t="s">
        <v>14</v>
      </c>
      <c r="B265">
        <v>53051501</v>
      </c>
      <c r="C265" t="s">
        <v>15</v>
      </c>
      <c r="D265" s="1">
        <v>4191294.29</v>
      </c>
      <c r="E265" s="1">
        <v>0</v>
      </c>
      <c r="F265" s="1">
        <v>4191294.29</v>
      </c>
      <c r="J265" s="2">
        <v>45832</v>
      </c>
      <c r="K265" t="s">
        <v>1147</v>
      </c>
      <c r="L265" t="s">
        <v>1148</v>
      </c>
      <c r="M265" t="s">
        <v>1148</v>
      </c>
      <c r="N265">
        <v>900079775</v>
      </c>
      <c r="O265" t="s">
        <v>1060</v>
      </c>
      <c r="P265">
        <v>860003020</v>
      </c>
      <c r="Q265" t="s">
        <v>40</v>
      </c>
      <c r="V265" s="10"/>
      <c r="W265" s="10">
        <f t="shared" si="4"/>
        <v>6</v>
      </c>
      <c r="X265" s="10" t="str">
        <f>+ VLOOKUP(W265,'COMISIONES ENERO-MARZO 2025 (2)'!X:Y,2,0)</f>
        <v>Junio</v>
      </c>
    </row>
    <row r="266" spans="1:24" x14ac:dyDescent="0.35">
      <c r="A266" t="s">
        <v>14</v>
      </c>
      <c r="B266">
        <v>53051501</v>
      </c>
      <c r="C266" t="s">
        <v>15</v>
      </c>
      <c r="D266" s="1">
        <v>3529</v>
      </c>
      <c r="E266" s="1">
        <v>0</v>
      </c>
      <c r="F266" s="1">
        <v>3529</v>
      </c>
      <c r="J266" s="2">
        <v>45832</v>
      </c>
      <c r="K266" t="s">
        <v>1122</v>
      </c>
      <c r="L266" t="s">
        <v>1123</v>
      </c>
      <c r="M266" t="s">
        <v>1123</v>
      </c>
      <c r="N266">
        <v>29760690</v>
      </c>
      <c r="O266" t="s">
        <v>1061</v>
      </c>
      <c r="P266">
        <v>890903938</v>
      </c>
      <c r="Q266" t="s">
        <v>29</v>
      </c>
      <c r="V266" s="10"/>
      <c r="W266" s="10">
        <f t="shared" si="4"/>
        <v>6</v>
      </c>
      <c r="X266" s="10" t="str">
        <f>+ VLOOKUP(W266,'COMISIONES ENERO-MARZO 2025 (2)'!X:Y,2,0)</f>
        <v>Junio</v>
      </c>
    </row>
    <row r="267" spans="1:24" x14ac:dyDescent="0.35">
      <c r="A267" t="s">
        <v>14</v>
      </c>
      <c r="B267">
        <v>53051501</v>
      </c>
      <c r="C267" t="s">
        <v>15</v>
      </c>
      <c r="D267" s="1">
        <v>3529</v>
      </c>
      <c r="E267" s="1">
        <v>0</v>
      </c>
      <c r="F267" s="1">
        <v>3529</v>
      </c>
      <c r="J267" s="2">
        <v>45832</v>
      </c>
      <c r="K267" t="s">
        <v>1124</v>
      </c>
      <c r="L267" t="s">
        <v>1125</v>
      </c>
      <c r="M267" t="s">
        <v>1125</v>
      </c>
      <c r="N267">
        <v>16502466</v>
      </c>
      <c r="O267" t="s">
        <v>1056</v>
      </c>
      <c r="P267">
        <v>890903938</v>
      </c>
      <c r="Q267" t="s">
        <v>29</v>
      </c>
      <c r="V267" s="10"/>
      <c r="W267" s="10">
        <f t="shared" si="4"/>
        <v>6</v>
      </c>
      <c r="X267" s="10" t="str">
        <f>+ VLOOKUP(W267,'COMISIONES ENERO-MARZO 2025 (2)'!X:Y,2,0)</f>
        <v>Junio</v>
      </c>
    </row>
    <row r="268" spans="1:24" x14ac:dyDescent="0.35">
      <c r="A268" t="s">
        <v>14</v>
      </c>
      <c r="B268">
        <v>53051501</v>
      </c>
      <c r="C268" t="s">
        <v>15</v>
      </c>
      <c r="D268" s="1">
        <v>7825648</v>
      </c>
      <c r="E268" s="1">
        <v>0</v>
      </c>
      <c r="F268" s="1">
        <v>7825648</v>
      </c>
      <c r="J268" s="2">
        <v>45834</v>
      </c>
      <c r="K268" t="s">
        <v>1153</v>
      </c>
      <c r="L268" t="s">
        <v>1154</v>
      </c>
      <c r="M268" t="s">
        <v>1154</v>
      </c>
      <c r="N268">
        <v>900079775</v>
      </c>
      <c r="O268" t="s">
        <v>1060</v>
      </c>
      <c r="P268">
        <v>860003020</v>
      </c>
      <c r="Q268" t="s">
        <v>40</v>
      </c>
      <c r="V268" s="10"/>
      <c r="W268" s="10">
        <f t="shared" si="4"/>
        <v>6</v>
      </c>
      <c r="X268" s="10" t="str">
        <f>+ VLOOKUP(W268,'COMISIONES ENERO-MARZO 2025 (2)'!X:Y,2,0)</f>
        <v>Junio</v>
      </c>
    </row>
    <row r="269" spans="1:24" x14ac:dyDescent="0.35">
      <c r="A269" t="s">
        <v>14</v>
      </c>
      <c r="B269">
        <v>53051501</v>
      </c>
      <c r="C269" t="s">
        <v>15</v>
      </c>
      <c r="D269" s="1">
        <v>10389977.4</v>
      </c>
      <c r="E269" s="1">
        <v>0</v>
      </c>
      <c r="F269" s="1">
        <v>10389977.4</v>
      </c>
      <c r="J269" s="2">
        <v>45835</v>
      </c>
      <c r="K269" t="s">
        <v>1155</v>
      </c>
      <c r="L269" t="s">
        <v>1156</v>
      </c>
      <c r="M269" t="s">
        <v>1156</v>
      </c>
      <c r="N269">
        <v>890805267</v>
      </c>
      <c r="O269" t="s">
        <v>1058</v>
      </c>
      <c r="P269">
        <v>860003020</v>
      </c>
      <c r="Q269" t="s">
        <v>40</v>
      </c>
      <c r="V269" s="10"/>
      <c r="W269" s="10">
        <f t="shared" si="4"/>
        <v>6</v>
      </c>
      <c r="X269" s="10" t="str">
        <f>+ VLOOKUP(W269,'COMISIONES ENERO-MARZO 2025 (2)'!X:Y,2,0)</f>
        <v>Junio</v>
      </c>
    </row>
    <row r="270" spans="1:24" x14ac:dyDescent="0.35">
      <c r="A270" t="s">
        <v>14</v>
      </c>
      <c r="B270">
        <v>53051501</v>
      </c>
      <c r="C270" t="s">
        <v>15</v>
      </c>
      <c r="D270" s="1">
        <v>1537079</v>
      </c>
      <c r="E270" s="1">
        <v>0</v>
      </c>
      <c r="F270" s="1">
        <v>1537079</v>
      </c>
      <c r="J270" s="2">
        <v>45835</v>
      </c>
      <c r="K270" t="s">
        <v>1157</v>
      </c>
      <c r="L270" t="s">
        <v>1158</v>
      </c>
      <c r="M270" t="s">
        <v>1158</v>
      </c>
      <c r="N270">
        <v>860000261</v>
      </c>
      <c r="O270" t="s">
        <v>1059</v>
      </c>
      <c r="P270">
        <v>860034313</v>
      </c>
      <c r="Q270" t="s">
        <v>35</v>
      </c>
      <c r="V270" s="10"/>
      <c r="W270" s="10">
        <f t="shared" si="4"/>
        <v>6</v>
      </c>
      <c r="X270" s="10" t="str">
        <f>+ VLOOKUP(W270,'COMISIONES ENERO-MARZO 2025 (2)'!X:Y,2,0)</f>
        <v>Junio</v>
      </c>
    </row>
    <row r="271" spans="1:24" x14ac:dyDescent="0.35">
      <c r="A271" t="s">
        <v>14</v>
      </c>
      <c r="B271">
        <v>53051501</v>
      </c>
      <c r="C271" t="s">
        <v>15</v>
      </c>
      <c r="D271" s="1">
        <v>14536875</v>
      </c>
      <c r="E271" s="1">
        <v>0</v>
      </c>
      <c r="F271" s="1">
        <v>14536875</v>
      </c>
      <c r="J271" s="2">
        <v>45835</v>
      </c>
      <c r="K271" t="s">
        <v>1169</v>
      </c>
      <c r="L271" t="s">
        <v>1170</v>
      </c>
      <c r="M271" t="s">
        <v>1171</v>
      </c>
      <c r="N271">
        <v>802017459</v>
      </c>
      <c r="O271" t="s">
        <v>1172</v>
      </c>
      <c r="P271">
        <v>802017459</v>
      </c>
      <c r="Q271" t="s">
        <v>1172</v>
      </c>
      <c r="V271" s="10"/>
      <c r="W271" s="10">
        <f t="shared" si="4"/>
        <v>6</v>
      </c>
      <c r="X271" s="10" t="str">
        <f>+ VLOOKUP(W271,'COMISIONES ENERO-MARZO 2025 (2)'!X:Y,2,0)</f>
        <v>Junio</v>
      </c>
    </row>
    <row r="272" spans="1:24" x14ac:dyDescent="0.35">
      <c r="A272" t="s">
        <v>14</v>
      </c>
      <c r="B272">
        <v>53051501</v>
      </c>
      <c r="C272" t="s">
        <v>15</v>
      </c>
      <c r="D272" s="1">
        <v>912318.64</v>
      </c>
      <c r="E272" s="1">
        <v>0</v>
      </c>
      <c r="F272" s="1">
        <v>912318.64</v>
      </c>
      <c r="J272" s="2">
        <v>45838</v>
      </c>
      <c r="K272" t="s">
        <v>1095</v>
      </c>
      <c r="L272" t="s">
        <v>1096</v>
      </c>
      <c r="M272" t="s">
        <v>1096</v>
      </c>
      <c r="N272">
        <v>890903938</v>
      </c>
      <c r="O272" t="s">
        <v>29</v>
      </c>
      <c r="P272">
        <v>890903938</v>
      </c>
      <c r="Q272" t="s">
        <v>29</v>
      </c>
      <c r="V272" s="10"/>
      <c r="W272" s="10">
        <f t="shared" si="4"/>
        <v>6</v>
      </c>
      <c r="X272" s="10" t="str">
        <f>+ VLOOKUP(W272,'COMISIONES ENERO-MARZO 2025 (2)'!X:Y,2,0)</f>
        <v>Junio</v>
      </c>
    </row>
    <row r="273" spans="1:24" x14ac:dyDescent="0.35">
      <c r="A273" t="s">
        <v>14</v>
      </c>
      <c r="B273">
        <v>53051501</v>
      </c>
      <c r="C273" t="s">
        <v>15</v>
      </c>
      <c r="D273" s="1">
        <v>150166.67000000001</v>
      </c>
      <c r="E273" s="1">
        <v>0</v>
      </c>
      <c r="F273" s="1">
        <v>150166.67000000001</v>
      </c>
      <c r="J273" s="2">
        <v>45838</v>
      </c>
      <c r="K273" t="s">
        <v>1097</v>
      </c>
      <c r="L273" t="s">
        <v>1098</v>
      </c>
      <c r="M273" t="s">
        <v>1098</v>
      </c>
      <c r="N273">
        <v>890300279</v>
      </c>
      <c r="O273" t="s">
        <v>534</v>
      </c>
      <c r="P273">
        <v>890300279</v>
      </c>
      <c r="Q273" t="s">
        <v>534</v>
      </c>
      <c r="V273" s="10"/>
      <c r="W273" s="10">
        <f t="shared" si="4"/>
        <v>6</v>
      </c>
      <c r="X273" s="10" t="str">
        <f>+ VLOOKUP(W273,'COMISIONES ENERO-MARZO 2025 (2)'!X:Y,2,0)</f>
        <v>Junio</v>
      </c>
    </row>
    <row r="274" spans="1:24" x14ac:dyDescent="0.35">
      <c r="A274" t="s">
        <v>14</v>
      </c>
      <c r="B274">
        <v>53051501</v>
      </c>
      <c r="C274" t="s">
        <v>15</v>
      </c>
      <c r="D274" s="1">
        <v>341079.03999999998</v>
      </c>
      <c r="E274" s="1">
        <v>0</v>
      </c>
      <c r="F274" s="1">
        <v>341079.03999999998</v>
      </c>
      <c r="J274" s="2">
        <v>45838</v>
      </c>
      <c r="K274" t="s">
        <v>1159</v>
      </c>
      <c r="L274" t="s">
        <v>1160</v>
      </c>
      <c r="M274" t="s">
        <v>1160</v>
      </c>
      <c r="N274" t="s">
        <v>1072</v>
      </c>
      <c r="O274" t="s">
        <v>46</v>
      </c>
      <c r="P274" t="s">
        <v>1072</v>
      </c>
      <c r="Q274" t="s">
        <v>46</v>
      </c>
      <c r="V274" s="10"/>
      <c r="W274" s="10">
        <f t="shared" si="4"/>
        <v>6</v>
      </c>
      <c r="X274" s="10" t="str">
        <f>+ VLOOKUP(W274,'COMISIONES ENERO-MARZO 2025 (2)'!X:Y,2,0)</f>
        <v>Junio</v>
      </c>
    </row>
    <row r="275" spans="1:24" x14ac:dyDescent="0.35">
      <c r="A275" t="s">
        <v>14</v>
      </c>
      <c r="B275">
        <v>53051501</v>
      </c>
      <c r="C275" t="s">
        <v>15</v>
      </c>
      <c r="D275" s="1">
        <v>712192.25</v>
      </c>
      <c r="E275" s="1">
        <v>0</v>
      </c>
      <c r="F275" s="1">
        <v>712192.25</v>
      </c>
      <c r="J275" s="2">
        <v>45838</v>
      </c>
      <c r="K275" t="s">
        <v>1161</v>
      </c>
      <c r="L275" t="s">
        <v>1162</v>
      </c>
      <c r="M275" t="s">
        <v>1162</v>
      </c>
      <c r="N275">
        <v>890903937</v>
      </c>
      <c r="O275" t="s">
        <v>167</v>
      </c>
      <c r="P275">
        <v>890903937</v>
      </c>
      <c r="Q275" t="s">
        <v>167</v>
      </c>
      <c r="V275" s="10"/>
      <c r="W275" s="10">
        <f t="shared" si="4"/>
        <v>6</v>
      </c>
      <c r="X275" s="10" t="str">
        <f>+ VLOOKUP(W275,'COMISIONES ENERO-MARZO 2025 (2)'!X:Y,2,0)</f>
        <v>Junio</v>
      </c>
    </row>
    <row r="276" spans="1:24" x14ac:dyDescent="0.35">
      <c r="A276" t="s">
        <v>14</v>
      </c>
      <c r="B276">
        <v>53051501</v>
      </c>
      <c r="C276" t="s">
        <v>15</v>
      </c>
      <c r="D276" s="1">
        <v>1298609</v>
      </c>
      <c r="E276" s="1">
        <v>0</v>
      </c>
      <c r="F276" s="1">
        <v>1298609</v>
      </c>
      <c r="J276" s="2">
        <v>45838</v>
      </c>
      <c r="K276" t="s">
        <v>1101</v>
      </c>
      <c r="L276" t="s">
        <v>1102</v>
      </c>
      <c r="M276" t="s">
        <v>1102</v>
      </c>
      <c r="N276">
        <v>860002964</v>
      </c>
      <c r="O276" t="s">
        <v>19</v>
      </c>
      <c r="P276">
        <v>860002964</v>
      </c>
      <c r="Q276" t="s">
        <v>19</v>
      </c>
      <c r="V276" s="10"/>
      <c r="W276" s="10">
        <f t="shared" si="4"/>
        <v>6</v>
      </c>
      <c r="X276" s="10" t="str">
        <f>+ VLOOKUP(W276,'COMISIONES ENERO-MARZO 2025 (2)'!X:Y,2,0)</f>
        <v>Junio</v>
      </c>
    </row>
    <row r="277" spans="1:24" x14ac:dyDescent="0.35">
      <c r="A277" t="s">
        <v>14</v>
      </c>
      <c r="B277">
        <v>53051501</v>
      </c>
      <c r="C277" t="s">
        <v>15</v>
      </c>
      <c r="D277" s="1">
        <v>22756</v>
      </c>
      <c r="E277" s="1">
        <v>0</v>
      </c>
      <c r="F277" s="1">
        <v>22756</v>
      </c>
      <c r="J277" s="2">
        <v>45838</v>
      </c>
      <c r="K277" t="s">
        <v>1103</v>
      </c>
      <c r="L277" t="s">
        <v>1104</v>
      </c>
      <c r="M277" t="s">
        <v>1104</v>
      </c>
      <c r="N277">
        <v>860002964</v>
      </c>
      <c r="O277" t="s">
        <v>19</v>
      </c>
      <c r="P277">
        <v>860002964</v>
      </c>
      <c r="Q277" t="s">
        <v>19</v>
      </c>
      <c r="V277" s="10"/>
      <c r="W277" s="10">
        <f t="shared" si="4"/>
        <v>6</v>
      </c>
      <c r="X277" s="10" t="str">
        <f>+ VLOOKUP(W277,'COMISIONES ENERO-MARZO 2025 (2)'!X:Y,2,0)</f>
        <v>Junio</v>
      </c>
    </row>
    <row r="278" spans="1:24" x14ac:dyDescent="0.35">
      <c r="A278" t="s">
        <v>14</v>
      </c>
      <c r="B278">
        <v>53051501</v>
      </c>
      <c r="C278" t="s">
        <v>15</v>
      </c>
      <c r="D278" s="1">
        <v>3601313.7</v>
      </c>
      <c r="E278" s="1">
        <v>0</v>
      </c>
      <c r="F278" s="1">
        <v>3601313.7</v>
      </c>
      <c r="J278" s="2">
        <v>45838</v>
      </c>
      <c r="K278" t="s">
        <v>1107</v>
      </c>
      <c r="L278" t="s">
        <v>1108</v>
      </c>
      <c r="M278" t="s">
        <v>1108</v>
      </c>
      <c r="N278">
        <v>890903938</v>
      </c>
      <c r="O278" t="s">
        <v>29</v>
      </c>
      <c r="P278">
        <v>890903938</v>
      </c>
      <c r="Q278" t="s">
        <v>29</v>
      </c>
      <c r="V278" s="10"/>
      <c r="W278" s="10">
        <f t="shared" si="4"/>
        <v>6</v>
      </c>
      <c r="X278" s="10" t="str">
        <f>+ VLOOKUP(W278,'COMISIONES ENERO-MARZO 2025 (2)'!X:Y,2,0)</f>
        <v>Junio</v>
      </c>
    </row>
    <row r="279" spans="1:24" x14ac:dyDescent="0.35">
      <c r="A279" t="s">
        <v>14</v>
      </c>
      <c r="B279">
        <v>53051501</v>
      </c>
      <c r="C279" t="s">
        <v>15</v>
      </c>
      <c r="D279" s="1">
        <v>3913055</v>
      </c>
      <c r="E279" s="1">
        <v>0</v>
      </c>
      <c r="F279" s="1">
        <v>3913055</v>
      </c>
      <c r="J279" s="2">
        <v>45838</v>
      </c>
      <c r="K279" t="s">
        <v>1111</v>
      </c>
      <c r="L279" t="s">
        <v>1112</v>
      </c>
      <c r="M279" t="s">
        <v>1112</v>
      </c>
      <c r="N279">
        <v>860034313</v>
      </c>
      <c r="O279" t="s">
        <v>35</v>
      </c>
      <c r="P279">
        <v>860034313</v>
      </c>
      <c r="Q279" t="s">
        <v>35</v>
      </c>
      <c r="V279" s="10"/>
      <c r="W279" s="10">
        <f t="shared" si="4"/>
        <v>6</v>
      </c>
      <c r="X279" s="10" t="str">
        <f>+ VLOOKUP(W279,'COMISIONES ENERO-MARZO 2025 (2)'!X:Y,2,0)</f>
        <v>Junio</v>
      </c>
    </row>
    <row r="280" spans="1:24" x14ac:dyDescent="0.35">
      <c r="A280" t="s">
        <v>14</v>
      </c>
      <c r="B280">
        <v>53051501</v>
      </c>
      <c r="C280" t="s">
        <v>15</v>
      </c>
      <c r="D280" s="1">
        <v>54140</v>
      </c>
      <c r="E280" s="1">
        <v>0</v>
      </c>
      <c r="F280" s="1">
        <v>54140</v>
      </c>
      <c r="J280" s="2">
        <v>45838</v>
      </c>
      <c r="K280" t="s">
        <v>1173</v>
      </c>
      <c r="L280" t="s">
        <v>1174</v>
      </c>
      <c r="M280" t="s">
        <v>1175</v>
      </c>
      <c r="N280">
        <v>860002964</v>
      </c>
      <c r="O280" t="s">
        <v>19</v>
      </c>
      <c r="P280">
        <v>860002964</v>
      </c>
      <c r="Q280" t="s">
        <v>19</v>
      </c>
      <c r="V280" s="10"/>
      <c r="W280" s="10">
        <f t="shared" si="4"/>
        <v>6</v>
      </c>
      <c r="X280" s="10" t="str">
        <f>+ VLOOKUP(W280,'COMISIONES ENERO-MARZO 2025 (2)'!X:Y,2,0)</f>
        <v>Junio</v>
      </c>
    </row>
    <row r="281" spans="1:24" x14ac:dyDescent="0.35">
      <c r="A281" t="s">
        <v>14</v>
      </c>
      <c r="B281">
        <v>53051501</v>
      </c>
      <c r="C281" t="s">
        <v>15</v>
      </c>
      <c r="D281" s="1">
        <v>54140</v>
      </c>
      <c r="E281" s="1">
        <v>0</v>
      </c>
      <c r="F281" s="1">
        <v>54140</v>
      </c>
      <c r="J281" s="2">
        <v>45838</v>
      </c>
      <c r="K281" t="s">
        <v>1173</v>
      </c>
      <c r="L281" t="s">
        <v>1176</v>
      </c>
      <c r="M281" t="s">
        <v>1175</v>
      </c>
      <c r="N281">
        <v>860002964</v>
      </c>
      <c r="O281" t="s">
        <v>19</v>
      </c>
      <c r="P281">
        <v>860002964</v>
      </c>
      <c r="Q281" t="s">
        <v>19</v>
      </c>
      <c r="V281" s="10"/>
      <c r="W281" s="10">
        <f t="shared" si="4"/>
        <v>6</v>
      </c>
      <c r="X281" s="10" t="str">
        <f>+ VLOOKUP(W281,'COMISIONES ENERO-MARZO 2025 (2)'!X:Y,2,0)</f>
        <v>Junio</v>
      </c>
    </row>
    <row r="282" spans="1:24" x14ac:dyDescent="0.35">
      <c r="A282" t="s">
        <v>14</v>
      </c>
      <c r="B282">
        <v>53051501</v>
      </c>
      <c r="C282" t="s">
        <v>15</v>
      </c>
      <c r="D282" s="1">
        <v>0</v>
      </c>
      <c r="E282" s="1">
        <v>306924</v>
      </c>
      <c r="F282" s="1">
        <v>-306924</v>
      </c>
      <c r="J282" s="2">
        <v>45838</v>
      </c>
      <c r="K282" t="s">
        <v>1163</v>
      </c>
      <c r="L282" t="s">
        <v>1164</v>
      </c>
      <c r="M282" t="s">
        <v>1164</v>
      </c>
      <c r="N282">
        <v>805000867</v>
      </c>
      <c r="O282" t="s">
        <v>203</v>
      </c>
      <c r="P282">
        <v>805000867</v>
      </c>
      <c r="Q282" t="s">
        <v>203</v>
      </c>
      <c r="V282" s="10"/>
      <c r="W282" s="10">
        <f t="shared" si="4"/>
        <v>6</v>
      </c>
      <c r="X282" s="10" t="str">
        <f>+ VLOOKUP(W282,'COMISIONES ENERO-MARZO 2025 (2)'!X:Y,2,0)</f>
        <v>Junio</v>
      </c>
    </row>
    <row r="283" spans="1:24" x14ac:dyDescent="0.35">
      <c r="A283" t="s">
        <v>14</v>
      </c>
      <c r="B283">
        <v>53051501</v>
      </c>
      <c r="C283" t="s">
        <v>15</v>
      </c>
      <c r="D283" s="1">
        <v>631610</v>
      </c>
      <c r="E283" s="1">
        <v>0</v>
      </c>
      <c r="F283" s="1">
        <v>631610</v>
      </c>
      <c r="J283" s="2">
        <v>45838</v>
      </c>
      <c r="K283" t="s">
        <v>1165</v>
      </c>
      <c r="L283" t="s">
        <v>1166</v>
      </c>
      <c r="M283" t="s">
        <v>1166</v>
      </c>
      <c r="N283">
        <v>805000867</v>
      </c>
      <c r="O283" t="s">
        <v>203</v>
      </c>
      <c r="P283">
        <v>805000867</v>
      </c>
      <c r="Q283" t="s">
        <v>203</v>
      </c>
      <c r="V283" s="10"/>
      <c r="W283" s="10">
        <f t="shared" si="4"/>
        <v>6</v>
      </c>
      <c r="X283" s="10" t="str">
        <f>+ VLOOKUP(W283,'COMISIONES ENERO-MARZO 2025 (2)'!X:Y,2,0)</f>
        <v>Junio</v>
      </c>
    </row>
    <row r="284" spans="1:24" x14ac:dyDescent="0.35">
      <c r="A284" t="s">
        <v>14</v>
      </c>
      <c r="B284">
        <v>53051501</v>
      </c>
      <c r="C284" t="s">
        <v>15</v>
      </c>
      <c r="D284" s="1">
        <v>657086</v>
      </c>
      <c r="E284" s="1">
        <v>0</v>
      </c>
      <c r="F284" s="1">
        <v>657086</v>
      </c>
      <c r="J284" s="2">
        <v>45838</v>
      </c>
      <c r="K284" t="s">
        <v>1167</v>
      </c>
      <c r="L284" t="s">
        <v>1168</v>
      </c>
      <c r="M284" t="s">
        <v>1168</v>
      </c>
      <c r="N284">
        <v>805000867</v>
      </c>
      <c r="O284" t="s">
        <v>203</v>
      </c>
      <c r="P284">
        <v>805000867</v>
      </c>
      <c r="Q284" t="s">
        <v>203</v>
      </c>
      <c r="V284" s="10"/>
      <c r="W284" s="10">
        <f t="shared" ref="W284" si="5">+MONTH(J284)</f>
        <v>6</v>
      </c>
      <c r="X284" s="10" t="str">
        <f>+ VLOOKUP(W284,'COMISIONES ENERO-MARZO 2025 (2)'!X:Y,2,0)</f>
        <v>Junio</v>
      </c>
    </row>
    <row r="285" spans="1:24" x14ac:dyDescent="0.35">
      <c r="V285" s="10"/>
      <c r="X285"/>
    </row>
    <row r="286" spans="1:24" x14ac:dyDescent="0.35">
      <c r="V286" s="10"/>
      <c r="X286"/>
    </row>
  </sheetData>
  <autoFilter ref="A1:X248" xr:uid="{BE251EDE-7B86-461A-B611-E2BFDE1A2C1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8721-0139-49A0-96EA-D1CD7E87F27E}">
  <dimension ref="A1:Q570"/>
  <sheetViews>
    <sheetView tabSelected="1" topLeftCell="B1" zoomScale="80" zoomScaleNormal="80" workbookViewId="0">
      <pane ySplit="1" topLeftCell="A516" activePane="bottomLeft" state="frozen"/>
      <selection pane="bottomLeft" activeCell="F530" sqref="F530"/>
    </sheetView>
  </sheetViews>
  <sheetFormatPr baseColWidth="10" defaultRowHeight="14.5" x14ac:dyDescent="0.35"/>
  <cols>
    <col min="1" max="1" width="9.7265625" bestFit="1" customWidth="1"/>
    <col min="2" max="2" width="12.81640625" bestFit="1" customWidth="1"/>
    <col min="3" max="3" width="28.7265625" bestFit="1" customWidth="1"/>
    <col min="4" max="4" width="10.54296875" bestFit="1" customWidth="1"/>
    <col min="5" max="5" width="18.26953125" bestFit="1" customWidth="1"/>
    <col min="6" max="6" width="17.54296875" style="26" bestFit="1" customWidth="1"/>
    <col min="7" max="7" width="13.7265625" bestFit="1" customWidth="1"/>
    <col min="8" max="8" width="11.453125" bestFit="1" customWidth="1"/>
    <col min="9" max="9" width="85.81640625" customWidth="1"/>
    <col min="10" max="10" width="75.54296875" customWidth="1"/>
    <col min="11" max="11" width="58.54296875" customWidth="1"/>
    <col min="12" max="12" width="8.7265625" bestFit="1" customWidth="1"/>
    <col min="13" max="13" width="16.54296875" bestFit="1" customWidth="1"/>
    <col min="14" max="14" width="15.453125" bestFit="1" customWidth="1"/>
    <col min="15" max="16" width="11.453125" style="10"/>
  </cols>
  <sheetData>
    <row r="1" spans="1:17" s="19" customFormat="1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5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20" t="s">
        <v>224</v>
      </c>
      <c r="P1" s="20" t="s">
        <v>967</v>
      </c>
      <c r="Q1" s="19" t="s">
        <v>238</v>
      </c>
    </row>
    <row r="2" spans="1:17" x14ac:dyDescent="0.35">
      <c r="C2" t="s">
        <v>326</v>
      </c>
      <c r="D2">
        <v>53059501</v>
      </c>
      <c r="E2" t="s">
        <v>327</v>
      </c>
      <c r="F2" s="26">
        <f>-1679385527.54*0</f>
        <v>0</v>
      </c>
      <c r="G2" t="s">
        <v>328</v>
      </c>
      <c r="H2" s="2">
        <v>45657</v>
      </c>
      <c r="I2" t="s">
        <v>329</v>
      </c>
      <c r="J2" t="s">
        <v>329</v>
      </c>
      <c r="K2" t="s">
        <v>330</v>
      </c>
      <c r="M2" t="s">
        <v>59</v>
      </c>
      <c r="O2" s="10">
        <f>+MONTH(H2)</f>
        <v>12</v>
      </c>
      <c r="P2" s="10">
        <f>+YEAR(H2)</f>
        <v>2024</v>
      </c>
      <c r="Q2" t="str">
        <f>+VLOOKUP(O2,'COMISIONES ENERO-MARZO 2025 (2)'!$X:$Y,2,0)</f>
        <v>Diciembre</v>
      </c>
    </row>
    <row r="3" spans="1:17" x14ac:dyDescent="0.35">
      <c r="C3" t="s">
        <v>326</v>
      </c>
      <c r="D3">
        <v>53059501</v>
      </c>
      <c r="E3" t="s">
        <v>327</v>
      </c>
      <c r="F3" s="26">
        <v>260</v>
      </c>
      <c r="G3" t="s">
        <v>331</v>
      </c>
      <c r="H3" s="2">
        <v>45322</v>
      </c>
      <c r="I3" t="s">
        <v>332</v>
      </c>
      <c r="J3" t="s">
        <v>332</v>
      </c>
      <c r="K3" t="s">
        <v>19</v>
      </c>
      <c r="M3" t="s">
        <v>59</v>
      </c>
      <c r="O3" s="10">
        <f t="shared" ref="O3:O66" si="0">+MONTH(H3)</f>
        <v>1</v>
      </c>
      <c r="P3" s="10">
        <f t="shared" ref="P3:P66" si="1">+YEAR(H3)</f>
        <v>2024</v>
      </c>
      <c r="Q3" t="str">
        <f>+VLOOKUP(O3,'COMISIONES ENERO-MARZO 2025 (2)'!$X:$Y,2,0)</f>
        <v>Enero</v>
      </c>
    </row>
    <row r="4" spans="1:17" x14ac:dyDescent="0.35">
      <c r="C4" t="s">
        <v>326</v>
      </c>
      <c r="D4">
        <v>53059501</v>
      </c>
      <c r="E4" t="s">
        <v>327</v>
      </c>
      <c r="F4" s="26">
        <v>36467595</v>
      </c>
      <c r="G4" t="s">
        <v>333</v>
      </c>
      <c r="H4" s="2">
        <v>45322</v>
      </c>
      <c r="I4" t="s">
        <v>334</v>
      </c>
      <c r="J4" t="s">
        <v>334</v>
      </c>
      <c r="K4" t="s">
        <v>19</v>
      </c>
      <c r="M4" t="s">
        <v>59</v>
      </c>
      <c r="O4" s="10">
        <f t="shared" si="0"/>
        <v>1</v>
      </c>
      <c r="P4" s="10">
        <f t="shared" si="1"/>
        <v>2024</v>
      </c>
      <c r="Q4" t="str">
        <f>+VLOOKUP(O4,'COMISIONES ENERO-MARZO 2025 (2)'!$X:$Y,2,0)</f>
        <v>Enero</v>
      </c>
    </row>
    <row r="5" spans="1:17" x14ac:dyDescent="0.35">
      <c r="C5" t="s">
        <v>326</v>
      </c>
      <c r="D5">
        <v>53059501</v>
      </c>
      <c r="E5" t="s">
        <v>327</v>
      </c>
      <c r="F5" s="26">
        <v>40513274.329999998</v>
      </c>
      <c r="G5" t="s">
        <v>335</v>
      </c>
      <c r="H5" s="2">
        <v>45322</v>
      </c>
      <c r="I5" t="s">
        <v>336</v>
      </c>
      <c r="J5" t="s">
        <v>336</v>
      </c>
      <c r="K5" t="s">
        <v>29</v>
      </c>
      <c r="M5" t="s">
        <v>59</v>
      </c>
      <c r="O5" s="10">
        <f t="shared" si="0"/>
        <v>1</v>
      </c>
      <c r="P5" s="10">
        <f t="shared" si="1"/>
        <v>2024</v>
      </c>
      <c r="Q5" t="str">
        <f>+VLOOKUP(O5,'COMISIONES ENERO-MARZO 2025 (2)'!$X:$Y,2,0)</f>
        <v>Enero</v>
      </c>
    </row>
    <row r="6" spans="1:17" x14ac:dyDescent="0.35">
      <c r="C6" t="s">
        <v>326</v>
      </c>
      <c r="D6">
        <v>53059501</v>
      </c>
      <c r="E6" t="s">
        <v>327</v>
      </c>
      <c r="F6" s="26">
        <v>63537747.920000002</v>
      </c>
      <c r="G6" t="s">
        <v>337</v>
      </c>
      <c r="H6" s="2">
        <v>45351</v>
      </c>
      <c r="I6" t="s">
        <v>338</v>
      </c>
      <c r="J6" t="s">
        <v>338</v>
      </c>
      <c r="K6" t="s">
        <v>29</v>
      </c>
      <c r="M6" t="s">
        <v>59</v>
      </c>
      <c r="O6" s="10">
        <f t="shared" si="0"/>
        <v>2</v>
      </c>
      <c r="P6" s="10">
        <f t="shared" si="1"/>
        <v>2024</v>
      </c>
      <c r="Q6" t="str">
        <f>+VLOOKUP(O6,'COMISIONES ENERO-MARZO 2025 (2)'!$X:$Y,2,0)</f>
        <v>Febrero</v>
      </c>
    </row>
    <row r="7" spans="1:17" x14ac:dyDescent="0.35">
      <c r="C7" t="s">
        <v>326</v>
      </c>
      <c r="D7">
        <v>53059501</v>
      </c>
      <c r="E7" t="s">
        <v>327</v>
      </c>
      <c r="F7" s="26">
        <v>306</v>
      </c>
      <c r="G7" t="s">
        <v>339</v>
      </c>
      <c r="H7" s="2">
        <v>45351</v>
      </c>
      <c r="I7" t="s">
        <v>340</v>
      </c>
      <c r="J7" t="s">
        <v>340</v>
      </c>
      <c r="K7" t="s">
        <v>19</v>
      </c>
      <c r="M7" t="s">
        <v>59</v>
      </c>
      <c r="O7" s="10">
        <f t="shared" si="0"/>
        <v>2</v>
      </c>
      <c r="P7" s="10">
        <f t="shared" si="1"/>
        <v>2024</v>
      </c>
      <c r="Q7" t="str">
        <f>+VLOOKUP(O7,'COMISIONES ENERO-MARZO 2025 (2)'!$X:$Y,2,0)</f>
        <v>Febrero</v>
      </c>
    </row>
    <row r="8" spans="1:17" x14ac:dyDescent="0.35">
      <c r="C8" t="s">
        <v>326</v>
      </c>
      <c r="D8">
        <v>53059501</v>
      </c>
      <c r="E8" t="s">
        <v>327</v>
      </c>
      <c r="F8" s="26">
        <v>32900855</v>
      </c>
      <c r="G8" t="s">
        <v>341</v>
      </c>
      <c r="H8" s="2">
        <v>45351</v>
      </c>
      <c r="I8" t="s">
        <v>342</v>
      </c>
      <c r="J8" t="s">
        <v>342</v>
      </c>
      <c r="K8" t="s">
        <v>19</v>
      </c>
      <c r="M8" t="s">
        <v>59</v>
      </c>
      <c r="O8" s="10">
        <f t="shared" si="0"/>
        <v>2</v>
      </c>
      <c r="P8" s="10">
        <f t="shared" si="1"/>
        <v>2024</v>
      </c>
      <c r="Q8" t="str">
        <f>+VLOOKUP(O8,'COMISIONES ENERO-MARZO 2025 (2)'!$X:$Y,2,0)</f>
        <v>Febrero</v>
      </c>
    </row>
    <row r="9" spans="1:17" x14ac:dyDescent="0.35">
      <c r="C9" t="s">
        <v>326</v>
      </c>
      <c r="D9">
        <v>53059501</v>
      </c>
      <c r="E9" t="s">
        <v>327</v>
      </c>
      <c r="F9" s="26">
        <v>36889003.729999997</v>
      </c>
      <c r="G9" t="s">
        <v>343</v>
      </c>
      <c r="H9" s="2">
        <v>45382</v>
      </c>
      <c r="I9" t="s">
        <v>344</v>
      </c>
      <c r="J9" t="s">
        <v>344</v>
      </c>
      <c r="K9" t="s">
        <v>29</v>
      </c>
      <c r="M9" t="s">
        <v>59</v>
      </c>
      <c r="O9" s="10">
        <f t="shared" si="0"/>
        <v>3</v>
      </c>
      <c r="P9" s="10">
        <f t="shared" si="1"/>
        <v>2024</v>
      </c>
      <c r="Q9" t="str">
        <f>+VLOOKUP(O9,'COMISIONES ENERO-MARZO 2025 (2)'!$X:$Y,2,0)</f>
        <v>Marzo</v>
      </c>
    </row>
    <row r="10" spans="1:17" x14ac:dyDescent="0.35">
      <c r="C10" t="s">
        <v>326</v>
      </c>
      <c r="D10">
        <v>53059501</v>
      </c>
      <c r="E10" t="s">
        <v>327</v>
      </c>
      <c r="F10" s="26">
        <v>10258</v>
      </c>
      <c r="G10" t="s">
        <v>345</v>
      </c>
      <c r="H10" s="2">
        <v>45382</v>
      </c>
      <c r="I10" t="s">
        <v>346</v>
      </c>
      <c r="J10" t="s">
        <v>346</v>
      </c>
      <c r="K10" t="s">
        <v>19</v>
      </c>
      <c r="M10" t="s">
        <v>59</v>
      </c>
      <c r="O10" s="10">
        <f t="shared" si="0"/>
        <v>3</v>
      </c>
      <c r="P10" s="10">
        <f t="shared" si="1"/>
        <v>2024</v>
      </c>
      <c r="Q10" t="str">
        <f>+VLOOKUP(O10,'COMISIONES ENERO-MARZO 2025 (2)'!$X:$Y,2,0)</f>
        <v>Marzo</v>
      </c>
    </row>
    <row r="11" spans="1:17" x14ac:dyDescent="0.35">
      <c r="C11" t="s">
        <v>326</v>
      </c>
      <c r="D11">
        <v>53059501</v>
      </c>
      <c r="E11" t="s">
        <v>327</v>
      </c>
      <c r="F11" s="26">
        <v>34084348</v>
      </c>
      <c r="G11" t="s">
        <v>347</v>
      </c>
      <c r="H11" s="2">
        <v>45382</v>
      </c>
      <c r="I11" t="s">
        <v>348</v>
      </c>
      <c r="J11" t="s">
        <v>348</v>
      </c>
      <c r="K11" t="s">
        <v>19</v>
      </c>
      <c r="M11" t="s">
        <v>59</v>
      </c>
      <c r="O11" s="10">
        <f t="shared" si="0"/>
        <v>3</v>
      </c>
      <c r="P11" s="10">
        <f t="shared" si="1"/>
        <v>2024</v>
      </c>
      <c r="Q11" t="str">
        <f>+VLOOKUP(O11,'COMISIONES ENERO-MARZO 2025 (2)'!$X:$Y,2,0)</f>
        <v>Marzo</v>
      </c>
    </row>
    <row r="12" spans="1:17" x14ac:dyDescent="0.35">
      <c r="C12" t="s">
        <v>326</v>
      </c>
      <c r="D12">
        <v>53059501</v>
      </c>
      <c r="E12" t="s">
        <v>327</v>
      </c>
      <c r="F12" s="26">
        <v>44302453.240000002</v>
      </c>
      <c r="G12" t="s">
        <v>349</v>
      </c>
      <c r="H12" s="2">
        <v>45412</v>
      </c>
      <c r="I12" t="s">
        <v>350</v>
      </c>
      <c r="J12" t="s">
        <v>350</v>
      </c>
      <c r="K12" t="s">
        <v>29</v>
      </c>
      <c r="M12" t="s">
        <v>59</v>
      </c>
      <c r="O12" s="10">
        <f t="shared" si="0"/>
        <v>4</v>
      </c>
      <c r="P12" s="10">
        <f t="shared" si="1"/>
        <v>2024</v>
      </c>
      <c r="Q12" t="str">
        <f>+VLOOKUP(O12,'COMISIONES ENERO-MARZO 2025 (2)'!$X:$Y,2,0)</f>
        <v>Abril</v>
      </c>
    </row>
    <row r="13" spans="1:17" x14ac:dyDescent="0.35">
      <c r="C13" t="s">
        <v>326</v>
      </c>
      <c r="D13">
        <v>53059501</v>
      </c>
      <c r="E13" t="s">
        <v>327</v>
      </c>
      <c r="F13" s="26">
        <v>306</v>
      </c>
      <c r="G13" t="s">
        <v>351</v>
      </c>
      <c r="H13" s="2">
        <v>45412</v>
      </c>
      <c r="I13" t="s">
        <v>352</v>
      </c>
      <c r="J13" t="s">
        <v>352</v>
      </c>
      <c r="K13" t="s">
        <v>19</v>
      </c>
      <c r="M13" t="s">
        <v>59</v>
      </c>
      <c r="O13" s="10">
        <f t="shared" si="0"/>
        <v>4</v>
      </c>
      <c r="P13" s="10">
        <f t="shared" si="1"/>
        <v>2024</v>
      </c>
      <c r="Q13" t="str">
        <f>+VLOOKUP(O13,'COMISIONES ENERO-MARZO 2025 (2)'!$X:$Y,2,0)</f>
        <v>Abril</v>
      </c>
    </row>
    <row r="14" spans="1:17" x14ac:dyDescent="0.35">
      <c r="C14" t="s">
        <v>326</v>
      </c>
      <c r="D14">
        <v>53059501</v>
      </c>
      <c r="E14" t="s">
        <v>327</v>
      </c>
      <c r="F14" s="26">
        <v>32381690</v>
      </c>
      <c r="G14" t="s">
        <v>353</v>
      </c>
      <c r="H14" s="2">
        <v>45412</v>
      </c>
      <c r="I14" t="s">
        <v>354</v>
      </c>
      <c r="J14" t="s">
        <v>354</v>
      </c>
      <c r="K14" t="s">
        <v>19</v>
      </c>
      <c r="M14" t="s">
        <v>59</v>
      </c>
      <c r="O14" s="10">
        <f t="shared" si="0"/>
        <v>4</v>
      </c>
      <c r="P14" s="10">
        <f t="shared" si="1"/>
        <v>2024</v>
      </c>
      <c r="Q14" t="str">
        <f>+VLOOKUP(O14,'COMISIONES ENERO-MARZO 2025 (2)'!$X:$Y,2,0)</f>
        <v>Abril</v>
      </c>
    </row>
    <row r="15" spans="1:17" x14ac:dyDescent="0.35">
      <c r="C15" t="s">
        <v>326</v>
      </c>
      <c r="D15">
        <v>53059501</v>
      </c>
      <c r="E15" t="s">
        <v>327</v>
      </c>
      <c r="F15" s="26">
        <v>12789</v>
      </c>
      <c r="G15" t="s">
        <v>355</v>
      </c>
      <c r="H15" s="2">
        <v>45443</v>
      </c>
      <c r="I15" t="s">
        <v>356</v>
      </c>
      <c r="J15" t="s">
        <v>356</v>
      </c>
      <c r="K15" t="s">
        <v>19</v>
      </c>
      <c r="M15" t="s">
        <v>59</v>
      </c>
      <c r="O15" s="10">
        <f t="shared" si="0"/>
        <v>5</v>
      </c>
      <c r="P15" s="10">
        <f t="shared" si="1"/>
        <v>2024</v>
      </c>
      <c r="Q15" t="str">
        <f>+VLOOKUP(O15,'COMISIONES ENERO-MARZO 2025 (2)'!$X:$Y,2,0)</f>
        <v>Mayo</v>
      </c>
    </row>
    <row r="16" spans="1:17" x14ac:dyDescent="0.35">
      <c r="C16" t="s">
        <v>326</v>
      </c>
      <c r="D16">
        <v>53059501</v>
      </c>
      <c r="E16" t="s">
        <v>327</v>
      </c>
      <c r="F16" s="26">
        <v>47571386</v>
      </c>
      <c r="G16" t="s">
        <v>357</v>
      </c>
      <c r="H16" s="2">
        <v>45443</v>
      </c>
      <c r="I16" t="s">
        <v>358</v>
      </c>
      <c r="J16" t="s">
        <v>358</v>
      </c>
      <c r="K16" t="s">
        <v>19</v>
      </c>
      <c r="M16" t="s">
        <v>59</v>
      </c>
      <c r="O16" s="10">
        <f t="shared" si="0"/>
        <v>5</v>
      </c>
      <c r="P16" s="10">
        <f t="shared" si="1"/>
        <v>2024</v>
      </c>
      <c r="Q16" t="str">
        <f>+VLOOKUP(O16,'COMISIONES ENERO-MARZO 2025 (2)'!$X:$Y,2,0)</f>
        <v>Mayo</v>
      </c>
    </row>
    <row r="17" spans="3:17" x14ac:dyDescent="0.35">
      <c r="C17" t="s">
        <v>326</v>
      </c>
      <c r="D17">
        <v>53059501</v>
      </c>
      <c r="E17" t="s">
        <v>327</v>
      </c>
      <c r="F17" s="26">
        <v>34161563.299999997</v>
      </c>
      <c r="G17" t="s">
        <v>359</v>
      </c>
      <c r="H17" s="2">
        <v>45443</v>
      </c>
      <c r="I17" t="s">
        <v>360</v>
      </c>
      <c r="J17" t="s">
        <v>360</v>
      </c>
      <c r="K17" t="s">
        <v>29</v>
      </c>
      <c r="M17" t="s">
        <v>59</v>
      </c>
      <c r="O17" s="10">
        <f t="shared" si="0"/>
        <v>5</v>
      </c>
      <c r="P17" s="10">
        <f t="shared" si="1"/>
        <v>2024</v>
      </c>
      <c r="Q17" t="str">
        <f>+VLOOKUP(O17,'COMISIONES ENERO-MARZO 2025 (2)'!$X:$Y,2,0)</f>
        <v>Mayo</v>
      </c>
    </row>
    <row r="18" spans="3:17" x14ac:dyDescent="0.35">
      <c r="C18" t="s">
        <v>326</v>
      </c>
      <c r="D18">
        <v>53059501</v>
      </c>
      <c r="E18" t="s">
        <v>327</v>
      </c>
      <c r="F18" s="26">
        <v>44655637.869999997</v>
      </c>
      <c r="G18" t="s">
        <v>361</v>
      </c>
      <c r="H18" s="2">
        <v>45473</v>
      </c>
      <c r="I18" t="s">
        <v>362</v>
      </c>
      <c r="J18" t="s">
        <v>362</v>
      </c>
      <c r="K18" t="s">
        <v>29</v>
      </c>
      <c r="M18" t="s">
        <v>59</v>
      </c>
      <c r="O18" s="10">
        <f t="shared" si="0"/>
        <v>6</v>
      </c>
      <c r="P18" s="10">
        <f t="shared" si="1"/>
        <v>2024</v>
      </c>
      <c r="Q18" t="str">
        <f>+VLOOKUP(O18,'COMISIONES ENERO-MARZO 2025 (2)'!$X:$Y,2,0)</f>
        <v>Junio</v>
      </c>
    </row>
    <row r="19" spans="3:17" x14ac:dyDescent="0.35">
      <c r="C19" t="s">
        <v>326</v>
      </c>
      <c r="D19">
        <v>53059501</v>
      </c>
      <c r="E19" t="s">
        <v>327</v>
      </c>
      <c r="F19" s="26">
        <v>35276283.560000002</v>
      </c>
      <c r="G19" t="s">
        <v>363</v>
      </c>
      <c r="H19" s="2">
        <v>45504</v>
      </c>
      <c r="I19" t="s">
        <v>364</v>
      </c>
      <c r="J19" t="s">
        <v>364</v>
      </c>
      <c r="K19" t="s">
        <v>29</v>
      </c>
      <c r="M19" t="s">
        <v>59</v>
      </c>
      <c r="O19" s="10">
        <f t="shared" si="0"/>
        <v>7</v>
      </c>
      <c r="P19" s="10">
        <f t="shared" si="1"/>
        <v>2024</v>
      </c>
      <c r="Q19" t="str">
        <f>+VLOOKUP(O19,'COMISIONES ENERO-MARZO 2025 (2)'!$X:$Y,2,0)</f>
        <v>Julio</v>
      </c>
    </row>
    <row r="20" spans="3:17" x14ac:dyDescent="0.35">
      <c r="C20" t="s">
        <v>326</v>
      </c>
      <c r="D20">
        <v>53059501</v>
      </c>
      <c r="E20" t="s">
        <v>327</v>
      </c>
      <c r="F20" s="26">
        <v>61252159.920000002</v>
      </c>
      <c r="G20" t="s">
        <v>365</v>
      </c>
      <c r="H20" s="2">
        <v>45535</v>
      </c>
      <c r="I20" t="s">
        <v>366</v>
      </c>
      <c r="J20" t="s">
        <v>366</v>
      </c>
      <c r="K20" t="s">
        <v>29</v>
      </c>
      <c r="M20" t="s">
        <v>59</v>
      </c>
      <c r="O20" s="10">
        <f t="shared" si="0"/>
        <v>8</v>
      </c>
      <c r="P20" s="10">
        <f t="shared" si="1"/>
        <v>2024</v>
      </c>
      <c r="Q20" t="str">
        <f>+VLOOKUP(O20,'COMISIONES ENERO-MARZO 2025 (2)'!$X:$Y,2,0)</f>
        <v>Agosto</v>
      </c>
    </row>
    <row r="21" spans="3:17" x14ac:dyDescent="0.35">
      <c r="C21" t="s">
        <v>326</v>
      </c>
      <c r="D21">
        <v>53059501</v>
      </c>
      <c r="E21" t="s">
        <v>327</v>
      </c>
      <c r="F21" s="26">
        <v>52705656.659999996</v>
      </c>
      <c r="G21" t="s">
        <v>367</v>
      </c>
      <c r="H21" s="2">
        <v>45565</v>
      </c>
      <c r="I21" t="s">
        <v>368</v>
      </c>
      <c r="J21" t="s">
        <v>368</v>
      </c>
      <c r="K21" t="s">
        <v>29</v>
      </c>
      <c r="M21" t="s">
        <v>59</v>
      </c>
      <c r="O21" s="10">
        <f t="shared" si="0"/>
        <v>9</v>
      </c>
      <c r="P21" s="10">
        <f t="shared" si="1"/>
        <v>2024</v>
      </c>
      <c r="Q21" t="str">
        <f>+VLOOKUP(O21,'COMISIONES ENERO-MARZO 2025 (2)'!$X:$Y,2,0)</f>
        <v>Septiembre</v>
      </c>
    </row>
    <row r="22" spans="3:17" x14ac:dyDescent="0.35">
      <c r="C22" t="s">
        <v>326</v>
      </c>
      <c r="D22">
        <v>53059501</v>
      </c>
      <c r="E22" t="s">
        <v>327</v>
      </c>
      <c r="F22" s="26">
        <v>59984615.289999999</v>
      </c>
      <c r="G22" t="s">
        <v>369</v>
      </c>
      <c r="H22" s="2">
        <v>45596</v>
      </c>
      <c r="I22" t="s">
        <v>370</v>
      </c>
      <c r="J22" t="s">
        <v>370</v>
      </c>
      <c r="K22" t="s">
        <v>29</v>
      </c>
      <c r="M22" t="s">
        <v>59</v>
      </c>
      <c r="O22" s="10">
        <f t="shared" si="0"/>
        <v>10</v>
      </c>
      <c r="P22" s="10">
        <f t="shared" si="1"/>
        <v>2024</v>
      </c>
      <c r="Q22" t="str">
        <f>+VLOOKUP(O22,'COMISIONES ENERO-MARZO 2025 (2)'!$X:$Y,2,0)</f>
        <v>Octubre</v>
      </c>
    </row>
    <row r="23" spans="3:17" x14ac:dyDescent="0.35">
      <c r="C23" t="s">
        <v>326</v>
      </c>
      <c r="D23">
        <v>53059501</v>
      </c>
      <c r="E23" t="s">
        <v>327</v>
      </c>
      <c r="F23" s="26">
        <v>65559889.32</v>
      </c>
      <c r="G23" t="s">
        <v>371</v>
      </c>
      <c r="H23" s="2">
        <v>45626</v>
      </c>
      <c r="I23" t="s">
        <v>372</v>
      </c>
      <c r="J23" t="s">
        <v>372</v>
      </c>
      <c r="K23" t="s">
        <v>29</v>
      </c>
      <c r="M23" t="s">
        <v>59</v>
      </c>
      <c r="O23" s="10">
        <f t="shared" si="0"/>
        <v>11</v>
      </c>
      <c r="P23" s="10">
        <f t="shared" si="1"/>
        <v>2024</v>
      </c>
      <c r="Q23" t="str">
        <f>+VLOOKUP(O23,'COMISIONES ENERO-MARZO 2025 (2)'!$X:$Y,2,0)</f>
        <v>Noviembre</v>
      </c>
    </row>
    <row r="24" spans="3:17" x14ac:dyDescent="0.35">
      <c r="C24" t="s">
        <v>326</v>
      </c>
      <c r="D24">
        <v>53059501</v>
      </c>
      <c r="E24" t="s">
        <v>327</v>
      </c>
      <c r="F24" s="26">
        <v>14391</v>
      </c>
      <c r="G24" t="s">
        <v>373</v>
      </c>
      <c r="H24" s="2">
        <v>45307</v>
      </c>
      <c r="I24" t="s">
        <v>374</v>
      </c>
      <c r="J24" t="s">
        <v>374</v>
      </c>
      <c r="K24" t="s">
        <v>35</v>
      </c>
      <c r="M24" t="s">
        <v>59</v>
      </c>
      <c r="O24" s="10">
        <f t="shared" si="0"/>
        <v>1</v>
      </c>
      <c r="P24" s="10">
        <f t="shared" si="1"/>
        <v>2024</v>
      </c>
      <c r="Q24" t="str">
        <f>+VLOOKUP(O24,'COMISIONES ENERO-MARZO 2025 (2)'!$X:$Y,2,0)</f>
        <v>Enero</v>
      </c>
    </row>
    <row r="25" spans="3:17" x14ac:dyDescent="0.35">
      <c r="C25" t="s">
        <v>326</v>
      </c>
      <c r="D25">
        <v>53059501</v>
      </c>
      <c r="E25" t="s">
        <v>327</v>
      </c>
      <c r="F25" s="26">
        <v>8809</v>
      </c>
      <c r="G25" t="s">
        <v>375</v>
      </c>
      <c r="H25" s="2">
        <v>45316</v>
      </c>
      <c r="I25" t="s">
        <v>376</v>
      </c>
      <c r="J25" t="s">
        <v>376</v>
      </c>
      <c r="K25" t="s">
        <v>19</v>
      </c>
      <c r="M25" t="s">
        <v>59</v>
      </c>
      <c r="O25" s="10">
        <f t="shared" si="0"/>
        <v>1</v>
      </c>
      <c r="P25" s="10">
        <f t="shared" si="1"/>
        <v>2024</v>
      </c>
      <c r="Q25" t="str">
        <f>+VLOOKUP(O25,'COMISIONES ENERO-MARZO 2025 (2)'!$X:$Y,2,0)</f>
        <v>Enero</v>
      </c>
    </row>
    <row r="26" spans="3:17" x14ac:dyDescent="0.35">
      <c r="C26" t="s">
        <v>326</v>
      </c>
      <c r="D26">
        <v>53059501</v>
      </c>
      <c r="E26" t="s">
        <v>327</v>
      </c>
      <c r="F26" s="26">
        <v>7273</v>
      </c>
      <c r="G26" t="s">
        <v>377</v>
      </c>
      <c r="H26" s="2">
        <v>45322</v>
      </c>
      <c r="I26" t="s">
        <v>378</v>
      </c>
      <c r="J26" t="s">
        <v>378</v>
      </c>
      <c r="K26" t="s">
        <v>19</v>
      </c>
      <c r="M26" t="s">
        <v>59</v>
      </c>
      <c r="O26" s="10">
        <f t="shared" si="0"/>
        <v>1</v>
      </c>
      <c r="P26" s="10">
        <f t="shared" si="1"/>
        <v>2024</v>
      </c>
      <c r="Q26" t="str">
        <f>+VLOOKUP(O26,'COMISIONES ENERO-MARZO 2025 (2)'!$X:$Y,2,0)</f>
        <v>Enero</v>
      </c>
    </row>
    <row r="27" spans="3:17" x14ac:dyDescent="0.35">
      <c r="C27" t="s">
        <v>326</v>
      </c>
      <c r="D27">
        <v>53059501</v>
      </c>
      <c r="E27" t="s">
        <v>327</v>
      </c>
      <c r="F27" s="26">
        <v>9902.07</v>
      </c>
      <c r="G27" t="s">
        <v>379</v>
      </c>
      <c r="H27" s="2">
        <v>45322</v>
      </c>
      <c r="I27" t="s">
        <v>380</v>
      </c>
      <c r="J27" t="s">
        <v>380</v>
      </c>
      <c r="K27" t="s">
        <v>29</v>
      </c>
      <c r="M27" t="s">
        <v>59</v>
      </c>
      <c r="O27" s="10">
        <f t="shared" si="0"/>
        <v>1</v>
      </c>
      <c r="P27" s="10">
        <f t="shared" si="1"/>
        <v>2024</v>
      </c>
      <c r="Q27" t="str">
        <f>+VLOOKUP(O27,'COMISIONES ENERO-MARZO 2025 (2)'!$X:$Y,2,0)</f>
        <v>Enero</v>
      </c>
    </row>
    <row r="28" spans="3:17" x14ac:dyDescent="0.35">
      <c r="C28" t="s">
        <v>326</v>
      </c>
      <c r="D28">
        <v>53059501</v>
      </c>
      <c r="E28" t="s">
        <v>327</v>
      </c>
      <c r="F28" s="26">
        <v>15649200.32</v>
      </c>
      <c r="G28" t="s">
        <v>381</v>
      </c>
      <c r="H28" s="2">
        <v>45322</v>
      </c>
      <c r="I28" t="s">
        <v>382</v>
      </c>
      <c r="J28" t="s">
        <v>382</v>
      </c>
      <c r="K28" t="s">
        <v>35</v>
      </c>
      <c r="M28" t="s">
        <v>59</v>
      </c>
      <c r="O28" s="10">
        <f t="shared" si="0"/>
        <v>1</v>
      </c>
      <c r="P28" s="10">
        <f t="shared" si="1"/>
        <v>2024</v>
      </c>
      <c r="Q28" t="str">
        <f>+VLOOKUP(O28,'COMISIONES ENERO-MARZO 2025 (2)'!$X:$Y,2,0)</f>
        <v>Enero</v>
      </c>
    </row>
    <row r="29" spans="3:17" x14ac:dyDescent="0.35">
      <c r="C29" t="s">
        <v>326</v>
      </c>
      <c r="D29">
        <v>53059501</v>
      </c>
      <c r="E29" t="s">
        <v>327</v>
      </c>
      <c r="F29" s="26">
        <v>389750.57</v>
      </c>
      <c r="G29" t="s">
        <v>383</v>
      </c>
      <c r="H29" s="2">
        <v>45322</v>
      </c>
      <c r="I29" t="s">
        <v>384</v>
      </c>
      <c r="J29" t="s">
        <v>384</v>
      </c>
      <c r="K29" t="s">
        <v>385</v>
      </c>
      <c r="M29" t="s">
        <v>59</v>
      </c>
      <c r="O29" s="10">
        <f t="shared" si="0"/>
        <v>1</v>
      </c>
      <c r="P29" s="10">
        <f t="shared" si="1"/>
        <v>2024</v>
      </c>
      <c r="Q29" t="str">
        <f>+VLOOKUP(O29,'COMISIONES ENERO-MARZO 2025 (2)'!$X:$Y,2,0)</f>
        <v>Enero</v>
      </c>
    </row>
    <row r="30" spans="3:17" x14ac:dyDescent="0.35">
      <c r="C30" t="s">
        <v>326</v>
      </c>
      <c r="D30">
        <v>53059501</v>
      </c>
      <c r="E30" t="s">
        <v>327</v>
      </c>
      <c r="F30" s="26">
        <v>6273515.8300000001</v>
      </c>
      <c r="G30" t="s">
        <v>386</v>
      </c>
      <c r="H30" s="2">
        <v>45322</v>
      </c>
      <c r="I30" t="s">
        <v>387</v>
      </c>
      <c r="J30" t="s">
        <v>387</v>
      </c>
      <c r="K30" t="s">
        <v>25</v>
      </c>
      <c r="M30" t="s">
        <v>59</v>
      </c>
      <c r="O30" s="10">
        <f t="shared" si="0"/>
        <v>1</v>
      </c>
      <c r="P30" s="10">
        <f t="shared" si="1"/>
        <v>2024</v>
      </c>
      <c r="Q30" t="str">
        <f>+VLOOKUP(O30,'COMISIONES ENERO-MARZO 2025 (2)'!$X:$Y,2,0)</f>
        <v>Enero</v>
      </c>
    </row>
    <row r="31" spans="3:17" x14ac:dyDescent="0.35">
      <c r="C31" t="s">
        <v>326</v>
      </c>
      <c r="D31">
        <v>53059501</v>
      </c>
      <c r="E31" t="s">
        <v>327</v>
      </c>
      <c r="F31" s="26">
        <v>3106782.85</v>
      </c>
      <c r="G31" t="s">
        <v>388</v>
      </c>
      <c r="H31" s="2">
        <v>45322</v>
      </c>
      <c r="I31" t="s">
        <v>389</v>
      </c>
      <c r="J31" t="s">
        <v>389</v>
      </c>
      <c r="K31" t="s">
        <v>25</v>
      </c>
      <c r="M31" t="s">
        <v>59</v>
      </c>
      <c r="O31" s="10">
        <f t="shared" si="0"/>
        <v>1</v>
      </c>
      <c r="P31" s="10">
        <f t="shared" si="1"/>
        <v>2024</v>
      </c>
      <c r="Q31" t="str">
        <f>+VLOOKUP(O31,'COMISIONES ENERO-MARZO 2025 (2)'!$X:$Y,2,0)</f>
        <v>Enero</v>
      </c>
    </row>
    <row r="32" spans="3:17" x14ac:dyDescent="0.35">
      <c r="C32" t="s">
        <v>326</v>
      </c>
      <c r="D32">
        <v>53059501</v>
      </c>
      <c r="E32" t="s">
        <v>327</v>
      </c>
      <c r="F32" s="26">
        <v>13810.56</v>
      </c>
      <c r="G32" t="s">
        <v>390</v>
      </c>
      <c r="H32" s="2">
        <v>45322</v>
      </c>
      <c r="I32" t="s">
        <v>391</v>
      </c>
      <c r="J32" t="s">
        <v>391</v>
      </c>
      <c r="K32" t="s">
        <v>44</v>
      </c>
      <c r="M32" t="s">
        <v>59</v>
      </c>
      <c r="O32" s="10">
        <f t="shared" si="0"/>
        <v>1</v>
      </c>
      <c r="P32" s="10">
        <f t="shared" si="1"/>
        <v>2024</v>
      </c>
      <c r="Q32" t="str">
        <f>+VLOOKUP(O32,'COMISIONES ENERO-MARZO 2025 (2)'!$X:$Y,2,0)</f>
        <v>Enero</v>
      </c>
    </row>
    <row r="33" spans="3:17" x14ac:dyDescent="0.35">
      <c r="C33" t="s">
        <v>326</v>
      </c>
      <c r="D33">
        <v>53059501</v>
      </c>
      <c r="E33" t="s">
        <v>327</v>
      </c>
      <c r="F33" s="26">
        <v>1306</v>
      </c>
      <c r="G33" t="s">
        <v>392</v>
      </c>
      <c r="H33" s="2">
        <v>45351</v>
      </c>
      <c r="I33" t="s">
        <v>393</v>
      </c>
      <c r="J33" t="s">
        <v>393</v>
      </c>
      <c r="K33" t="s">
        <v>19</v>
      </c>
      <c r="M33" t="s">
        <v>59</v>
      </c>
      <c r="O33" s="10">
        <f t="shared" si="0"/>
        <v>2</v>
      </c>
      <c r="P33" s="10">
        <f t="shared" si="1"/>
        <v>2024</v>
      </c>
      <c r="Q33" t="str">
        <f>+VLOOKUP(O33,'COMISIONES ENERO-MARZO 2025 (2)'!$X:$Y,2,0)</f>
        <v>Febrero</v>
      </c>
    </row>
    <row r="34" spans="3:17" x14ac:dyDescent="0.35">
      <c r="C34" t="s">
        <v>326</v>
      </c>
      <c r="D34">
        <v>53059501</v>
      </c>
      <c r="E34" t="s">
        <v>327</v>
      </c>
      <c r="F34" s="26">
        <v>29103229.829999998</v>
      </c>
      <c r="G34" t="s">
        <v>394</v>
      </c>
      <c r="H34" s="2">
        <v>45351</v>
      </c>
      <c r="I34" t="s">
        <v>395</v>
      </c>
      <c r="J34" t="s">
        <v>395</v>
      </c>
      <c r="K34" t="s">
        <v>35</v>
      </c>
      <c r="M34" t="s">
        <v>59</v>
      </c>
      <c r="O34" s="10">
        <f t="shared" si="0"/>
        <v>2</v>
      </c>
      <c r="P34" s="10">
        <f t="shared" si="1"/>
        <v>2024</v>
      </c>
      <c r="Q34" t="str">
        <f>+VLOOKUP(O34,'COMISIONES ENERO-MARZO 2025 (2)'!$X:$Y,2,0)</f>
        <v>Febrero</v>
      </c>
    </row>
    <row r="35" spans="3:17" x14ac:dyDescent="0.35">
      <c r="C35" t="s">
        <v>326</v>
      </c>
      <c r="D35">
        <v>53059501</v>
      </c>
      <c r="E35" t="s">
        <v>327</v>
      </c>
      <c r="F35" s="26">
        <v>4216137.5</v>
      </c>
      <c r="G35" t="s">
        <v>396</v>
      </c>
      <c r="H35" s="2">
        <v>45351</v>
      </c>
      <c r="I35" t="s">
        <v>397</v>
      </c>
      <c r="J35" t="s">
        <v>397</v>
      </c>
      <c r="K35" t="s">
        <v>25</v>
      </c>
      <c r="M35" t="s">
        <v>59</v>
      </c>
      <c r="O35" s="10">
        <f t="shared" si="0"/>
        <v>2</v>
      </c>
      <c r="P35" s="10">
        <f t="shared" si="1"/>
        <v>2024</v>
      </c>
      <c r="Q35" t="str">
        <f>+VLOOKUP(O35,'COMISIONES ENERO-MARZO 2025 (2)'!$X:$Y,2,0)</f>
        <v>Febrero</v>
      </c>
    </row>
    <row r="36" spans="3:17" x14ac:dyDescent="0.35">
      <c r="C36" t="s">
        <v>326</v>
      </c>
      <c r="D36">
        <v>53059501</v>
      </c>
      <c r="E36" t="s">
        <v>327</v>
      </c>
      <c r="F36" s="26">
        <v>539495.59</v>
      </c>
      <c r="G36" t="s">
        <v>398</v>
      </c>
      <c r="H36" s="2">
        <v>45351</v>
      </c>
      <c r="I36" t="s">
        <v>399</v>
      </c>
      <c r="J36" t="s">
        <v>399</v>
      </c>
      <c r="K36" t="s">
        <v>25</v>
      </c>
      <c r="M36" t="s">
        <v>59</v>
      </c>
      <c r="O36" s="10">
        <f t="shared" si="0"/>
        <v>2</v>
      </c>
      <c r="P36" s="10">
        <f t="shared" si="1"/>
        <v>2024</v>
      </c>
      <c r="Q36" t="str">
        <f>+VLOOKUP(O36,'COMISIONES ENERO-MARZO 2025 (2)'!$X:$Y,2,0)</f>
        <v>Febrero</v>
      </c>
    </row>
    <row r="37" spans="3:17" x14ac:dyDescent="0.35">
      <c r="C37" t="s">
        <v>326</v>
      </c>
      <c r="D37">
        <v>53059501</v>
      </c>
      <c r="E37" t="s">
        <v>327</v>
      </c>
      <c r="F37" s="26">
        <v>3981.34</v>
      </c>
      <c r="G37" t="s">
        <v>400</v>
      </c>
      <c r="H37" s="2">
        <v>45351</v>
      </c>
      <c r="I37" t="s">
        <v>401</v>
      </c>
      <c r="J37" t="s">
        <v>401</v>
      </c>
      <c r="K37" t="s">
        <v>29</v>
      </c>
      <c r="M37" t="s">
        <v>59</v>
      </c>
      <c r="O37" s="10">
        <f t="shared" si="0"/>
        <v>2</v>
      </c>
      <c r="P37" s="10">
        <f t="shared" si="1"/>
        <v>2024</v>
      </c>
      <c r="Q37" t="str">
        <f>+VLOOKUP(O37,'COMISIONES ENERO-MARZO 2025 (2)'!$X:$Y,2,0)</f>
        <v>Febrero</v>
      </c>
    </row>
    <row r="38" spans="3:17" x14ac:dyDescent="0.35">
      <c r="C38" t="s">
        <v>326</v>
      </c>
      <c r="D38">
        <v>53059501</v>
      </c>
      <c r="E38" t="s">
        <v>327</v>
      </c>
      <c r="F38" s="26">
        <v>6396020.1500000004</v>
      </c>
      <c r="G38" t="s">
        <v>402</v>
      </c>
      <c r="H38" s="2">
        <v>45351</v>
      </c>
      <c r="I38" t="s">
        <v>403</v>
      </c>
      <c r="J38" t="s">
        <v>403</v>
      </c>
      <c r="K38" t="s">
        <v>385</v>
      </c>
      <c r="M38" t="s">
        <v>59</v>
      </c>
      <c r="O38" s="10">
        <f t="shared" si="0"/>
        <v>2</v>
      </c>
      <c r="P38" s="10">
        <f t="shared" si="1"/>
        <v>2024</v>
      </c>
      <c r="Q38" t="str">
        <f>+VLOOKUP(O38,'COMISIONES ENERO-MARZO 2025 (2)'!$X:$Y,2,0)</f>
        <v>Febrero</v>
      </c>
    </row>
    <row r="39" spans="3:17" x14ac:dyDescent="0.35">
      <c r="C39" t="s">
        <v>326</v>
      </c>
      <c r="D39">
        <v>53059501</v>
      </c>
      <c r="E39" t="s">
        <v>327</v>
      </c>
      <c r="F39" s="26">
        <v>37733.71</v>
      </c>
      <c r="G39" t="s">
        <v>404</v>
      </c>
      <c r="H39" s="2">
        <v>45382</v>
      </c>
      <c r="I39" t="s">
        <v>405</v>
      </c>
      <c r="J39" t="s">
        <v>405</v>
      </c>
      <c r="K39" t="s">
        <v>29</v>
      </c>
      <c r="M39" t="s">
        <v>59</v>
      </c>
      <c r="O39" s="10">
        <f t="shared" si="0"/>
        <v>3</v>
      </c>
      <c r="P39" s="10">
        <f t="shared" si="1"/>
        <v>2024</v>
      </c>
      <c r="Q39" t="str">
        <f>+VLOOKUP(O39,'COMISIONES ENERO-MARZO 2025 (2)'!$X:$Y,2,0)</f>
        <v>Marzo</v>
      </c>
    </row>
    <row r="40" spans="3:17" x14ac:dyDescent="0.35">
      <c r="C40" t="s">
        <v>326</v>
      </c>
      <c r="D40">
        <v>53059501</v>
      </c>
      <c r="E40" t="s">
        <v>327</v>
      </c>
      <c r="F40" s="26">
        <v>41333071.850000001</v>
      </c>
      <c r="G40" t="s">
        <v>406</v>
      </c>
      <c r="H40" s="2">
        <v>45382</v>
      </c>
      <c r="I40" t="s">
        <v>407</v>
      </c>
      <c r="J40" t="s">
        <v>407</v>
      </c>
      <c r="K40" t="s">
        <v>35</v>
      </c>
      <c r="M40" t="s">
        <v>59</v>
      </c>
      <c r="O40" s="10">
        <f t="shared" si="0"/>
        <v>3</v>
      </c>
      <c r="P40" s="10">
        <f t="shared" si="1"/>
        <v>2024</v>
      </c>
      <c r="Q40" t="str">
        <f>+VLOOKUP(O40,'COMISIONES ENERO-MARZO 2025 (2)'!$X:$Y,2,0)</f>
        <v>Marzo</v>
      </c>
    </row>
    <row r="41" spans="3:17" x14ac:dyDescent="0.35">
      <c r="C41" t="s">
        <v>326</v>
      </c>
      <c r="D41">
        <v>53059501</v>
      </c>
      <c r="E41" t="s">
        <v>327</v>
      </c>
      <c r="F41" s="26">
        <v>3893970.88</v>
      </c>
      <c r="G41" t="s">
        <v>408</v>
      </c>
      <c r="H41" s="2">
        <v>45382</v>
      </c>
      <c r="I41" t="s">
        <v>409</v>
      </c>
      <c r="J41" t="s">
        <v>409</v>
      </c>
      <c r="K41" t="s">
        <v>44</v>
      </c>
      <c r="M41" t="s">
        <v>59</v>
      </c>
      <c r="O41" s="10">
        <f t="shared" si="0"/>
        <v>3</v>
      </c>
      <c r="P41" s="10">
        <f t="shared" si="1"/>
        <v>2024</v>
      </c>
      <c r="Q41" t="str">
        <f>+VLOOKUP(O41,'COMISIONES ENERO-MARZO 2025 (2)'!$X:$Y,2,0)</f>
        <v>Marzo</v>
      </c>
    </row>
    <row r="42" spans="3:17" x14ac:dyDescent="0.35">
      <c r="C42" t="s">
        <v>326</v>
      </c>
      <c r="D42">
        <v>53059501</v>
      </c>
      <c r="E42" t="s">
        <v>327</v>
      </c>
      <c r="F42" s="26">
        <v>7230662.5499999998</v>
      </c>
      <c r="G42" t="s">
        <v>410</v>
      </c>
      <c r="H42" s="2">
        <v>45382</v>
      </c>
      <c r="I42" t="s">
        <v>344</v>
      </c>
      <c r="J42" t="s">
        <v>344</v>
      </c>
      <c r="K42" t="s">
        <v>25</v>
      </c>
      <c r="M42" t="s">
        <v>59</v>
      </c>
      <c r="O42" s="10">
        <f t="shared" si="0"/>
        <v>3</v>
      </c>
      <c r="P42" s="10">
        <f t="shared" si="1"/>
        <v>2024</v>
      </c>
      <c r="Q42" t="str">
        <f>+VLOOKUP(O42,'COMISIONES ENERO-MARZO 2025 (2)'!$X:$Y,2,0)</f>
        <v>Marzo</v>
      </c>
    </row>
    <row r="43" spans="3:17" x14ac:dyDescent="0.35">
      <c r="C43" t="s">
        <v>326</v>
      </c>
      <c r="D43">
        <v>53059501</v>
      </c>
      <c r="E43" t="s">
        <v>327</v>
      </c>
      <c r="F43" s="26">
        <v>743492.58</v>
      </c>
      <c r="G43" t="s">
        <v>411</v>
      </c>
      <c r="H43" s="2">
        <v>45382</v>
      </c>
      <c r="I43" t="s">
        <v>412</v>
      </c>
      <c r="J43" t="s">
        <v>412</v>
      </c>
      <c r="K43" t="s">
        <v>25</v>
      </c>
      <c r="M43" t="s">
        <v>59</v>
      </c>
      <c r="O43" s="10">
        <f t="shared" si="0"/>
        <v>3</v>
      </c>
      <c r="P43" s="10">
        <f t="shared" si="1"/>
        <v>2024</v>
      </c>
      <c r="Q43" t="str">
        <f>+VLOOKUP(O43,'COMISIONES ENERO-MARZO 2025 (2)'!$X:$Y,2,0)</f>
        <v>Marzo</v>
      </c>
    </row>
    <row r="44" spans="3:17" x14ac:dyDescent="0.35">
      <c r="C44" t="s">
        <v>326</v>
      </c>
      <c r="D44">
        <v>53059501</v>
      </c>
      <c r="E44" t="s">
        <v>327</v>
      </c>
      <c r="F44" s="26">
        <v>5373962.46</v>
      </c>
      <c r="G44" t="s">
        <v>413</v>
      </c>
      <c r="H44" s="2">
        <v>45382</v>
      </c>
      <c r="I44" t="s">
        <v>414</v>
      </c>
      <c r="J44" t="s">
        <v>414</v>
      </c>
      <c r="K44" t="s">
        <v>385</v>
      </c>
      <c r="M44" t="s">
        <v>59</v>
      </c>
      <c r="O44" s="10">
        <f t="shared" si="0"/>
        <v>3</v>
      </c>
      <c r="P44" s="10">
        <f t="shared" si="1"/>
        <v>2024</v>
      </c>
      <c r="Q44" t="str">
        <f>+VLOOKUP(O44,'COMISIONES ENERO-MARZO 2025 (2)'!$X:$Y,2,0)</f>
        <v>Marzo</v>
      </c>
    </row>
    <row r="45" spans="3:17" x14ac:dyDescent="0.35">
      <c r="C45" t="s">
        <v>326</v>
      </c>
      <c r="D45">
        <v>53059501</v>
      </c>
      <c r="E45" t="s">
        <v>327</v>
      </c>
      <c r="F45" s="26">
        <v>2098.86</v>
      </c>
      <c r="G45" t="s">
        <v>415</v>
      </c>
      <c r="H45" s="2">
        <v>45412</v>
      </c>
      <c r="I45" t="s">
        <v>416</v>
      </c>
      <c r="J45" t="s">
        <v>416</v>
      </c>
      <c r="K45" t="s">
        <v>29</v>
      </c>
      <c r="M45" t="s">
        <v>59</v>
      </c>
      <c r="O45" s="10">
        <f t="shared" si="0"/>
        <v>4</v>
      </c>
      <c r="P45" s="10">
        <f t="shared" si="1"/>
        <v>2024</v>
      </c>
      <c r="Q45" t="str">
        <f>+VLOOKUP(O45,'COMISIONES ENERO-MARZO 2025 (2)'!$X:$Y,2,0)</f>
        <v>Abril</v>
      </c>
    </row>
    <row r="46" spans="3:17" x14ac:dyDescent="0.35">
      <c r="C46" t="s">
        <v>326</v>
      </c>
      <c r="D46">
        <v>53059501</v>
      </c>
      <c r="E46" t="s">
        <v>327</v>
      </c>
      <c r="F46" s="26">
        <v>18243065.280000001</v>
      </c>
      <c r="G46" t="s">
        <v>417</v>
      </c>
      <c r="H46" s="2">
        <v>45412</v>
      </c>
      <c r="I46" t="s">
        <v>418</v>
      </c>
      <c r="J46" t="s">
        <v>418</v>
      </c>
      <c r="K46" t="s">
        <v>385</v>
      </c>
      <c r="M46" t="s">
        <v>59</v>
      </c>
      <c r="O46" s="10">
        <f t="shared" si="0"/>
        <v>4</v>
      </c>
      <c r="P46" s="10">
        <f t="shared" si="1"/>
        <v>2024</v>
      </c>
      <c r="Q46" t="str">
        <f>+VLOOKUP(O46,'COMISIONES ENERO-MARZO 2025 (2)'!$X:$Y,2,0)</f>
        <v>Abril</v>
      </c>
    </row>
    <row r="47" spans="3:17" x14ac:dyDescent="0.35">
      <c r="C47" t="s">
        <v>326</v>
      </c>
      <c r="D47">
        <v>53059501</v>
      </c>
      <c r="E47" t="s">
        <v>327</v>
      </c>
      <c r="F47" s="26">
        <v>1879543.05</v>
      </c>
      <c r="G47" t="s">
        <v>419</v>
      </c>
      <c r="H47" s="2">
        <v>45412</v>
      </c>
      <c r="I47" t="s">
        <v>420</v>
      </c>
      <c r="J47" t="s">
        <v>420</v>
      </c>
      <c r="K47" t="s">
        <v>25</v>
      </c>
      <c r="M47" t="s">
        <v>59</v>
      </c>
      <c r="O47" s="10">
        <f t="shared" si="0"/>
        <v>4</v>
      </c>
      <c r="P47" s="10">
        <f t="shared" si="1"/>
        <v>2024</v>
      </c>
      <c r="Q47" t="str">
        <f>+VLOOKUP(O47,'COMISIONES ENERO-MARZO 2025 (2)'!$X:$Y,2,0)</f>
        <v>Abril</v>
      </c>
    </row>
    <row r="48" spans="3:17" x14ac:dyDescent="0.35">
      <c r="C48" t="s">
        <v>326</v>
      </c>
      <c r="D48">
        <v>53059501</v>
      </c>
      <c r="E48" t="s">
        <v>327</v>
      </c>
      <c r="F48" s="26">
        <v>29507858.809999999</v>
      </c>
      <c r="G48" t="s">
        <v>421</v>
      </c>
      <c r="H48" s="2">
        <v>45412</v>
      </c>
      <c r="I48" t="s">
        <v>422</v>
      </c>
      <c r="J48" t="s">
        <v>422</v>
      </c>
      <c r="K48" t="s">
        <v>35</v>
      </c>
      <c r="M48" t="s">
        <v>59</v>
      </c>
      <c r="O48" s="10">
        <f t="shared" si="0"/>
        <v>4</v>
      </c>
      <c r="P48" s="10">
        <f t="shared" si="1"/>
        <v>2024</v>
      </c>
      <c r="Q48" t="str">
        <f>+VLOOKUP(O48,'COMISIONES ENERO-MARZO 2025 (2)'!$X:$Y,2,0)</f>
        <v>Abril</v>
      </c>
    </row>
    <row r="49" spans="3:17" x14ac:dyDescent="0.35">
      <c r="C49" t="s">
        <v>326</v>
      </c>
      <c r="D49">
        <v>53059501</v>
      </c>
      <c r="E49" t="s">
        <v>327</v>
      </c>
      <c r="F49" s="26">
        <v>2098.86</v>
      </c>
      <c r="G49" t="s">
        <v>423</v>
      </c>
      <c r="H49" s="2">
        <v>45412</v>
      </c>
      <c r="I49" t="s">
        <v>424</v>
      </c>
      <c r="J49" t="s">
        <v>424</v>
      </c>
      <c r="K49" t="s">
        <v>29</v>
      </c>
      <c r="M49" t="s">
        <v>59</v>
      </c>
      <c r="O49" s="10">
        <f t="shared" si="0"/>
        <v>4</v>
      </c>
      <c r="P49" s="10">
        <f t="shared" si="1"/>
        <v>2024</v>
      </c>
      <c r="Q49" t="str">
        <f>+VLOOKUP(O49,'COMISIONES ENERO-MARZO 2025 (2)'!$X:$Y,2,0)</f>
        <v>Abril</v>
      </c>
    </row>
    <row r="50" spans="3:17" x14ac:dyDescent="0.35">
      <c r="C50" t="s">
        <v>326</v>
      </c>
      <c r="D50">
        <v>53059501</v>
      </c>
      <c r="E50" t="s">
        <v>327</v>
      </c>
      <c r="F50" s="26">
        <v>7241222.5899999999</v>
      </c>
      <c r="G50" t="s">
        <v>425</v>
      </c>
      <c r="H50" s="2">
        <v>45412</v>
      </c>
      <c r="I50" t="s">
        <v>426</v>
      </c>
      <c r="J50" t="s">
        <v>426</v>
      </c>
      <c r="K50" t="s">
        <v>25</v>
      </c>
      <c r="M50" t="s">
        <v>59</v>
      </c>
      <c r="O50" s="10">
        <f t="shared" si="0"/>
        <v>4</v>
      </c>
      <c r="P50" s="10">
        <f t="shared" si="1"/>
        <v>2024</v>
      </c>
      <c r="Q50" t="str">
        <f>+VLOOKUP(O50,'COMISIONES ENERO-MARZO 2025 (2)'!$X:$Y,2,0)</f>
        <v>Abril</v>
      </c>
    </row>
    <row r="51" spans="3:17" x14ac:dyDescent="0.35">
      <c r="C51" t="s">
        <v>326</v>
      </c>
      <c r="D51">
        <v>53059501</v>
      </c>
      <c r="E51" t="s">
        <v>327</v>
      </c>
      <c r="F51" s="26">
        <v>722858</v>
      </c>
      <c r="G51" t="s">
        <v>427</v>
      </c>
      <c r="H51" s="2">
        <v>45384</v>
      </c>
      <c r="I51" t="s">
        <v>428</v>
      </c>
      <c r="J51" t="s">
        <v>428</v>
      </c>
      <c r="K51" t="s">
        <v>172</v>
      </c>
      <c r="M51" t="s">
        <v>59</v>
      </c>
      <c r="O51" s="10">
        <f t="shared" si="0"/>
        <v>4</v>
      </c>
      <c r="P51" s="10">
        <f t="shared" si="1"/>
        <v>2024</v>
      </c>
      <c r="Q51" t="str">
        <f>+VLOOKUP(O51,'COMISIONES ENERO-MARZO 2025 (2)'!$X:$Y,2,0)</f>
        <v>Abril</v>
      </c>
    </row>
    <row r="52" spans="3:17" x14ac:dyDescent="0.35">
      <c r="C52" t="s">
        <v>326</v>
      </c>
      <c r="D52">
        <v>53059501</v>
      </c>
      <c r="E52" t="s">
        <v>327</v>
      </c>
      <c r="F52" s="26">
        <v>-2098.86</v>
      </c>
      <c r="G52" t="s">
        <v>429</v>
      </c>
      <c r="H52" s="2">
        <v>45420</v>
      </c>
      <c r="I52" t="s">
        <v>430</v>
      </c>
      <c r="J52" t="s">
        <v>430</v>
      </c>
      <c r="K52" t="s">
        <v>29</v>
      </c>
      <c r="M52" t="s">
        <v>59</v>
      </c>
      <c r="O52" s="10">
        <f t="shared" si="0"/>
        <v>5</v>
      </c>
      <c r="P52" s="10">
        <f t="shared" si="1"/>
        <v>2024</v>
      </c>
      <c r="Q52" t="str">
        <f>+VLOOKUP(O52,'COMISIONES ENERO-MARZO 2025 (2)'!$X:$Y,2,0)</f>
        <v>Mayo</v>
      </c>
    </row>
    <row r="53" spans="3:17" x14ac:dyDescent="0.35">
      <c r="C53" t="s">
        <v>326</v>
      </c>
      <c r="D53">
        <v>53059501</v>
      </c>
      <c r="E53" t="s">
        <v>327</v>
      </c>
      <c r="F53" s="26">
        <v>47506.42</v>
      </c>
      <c r="G53" t="s">
        <v>431</v>
      </c>
      <c r="H53" s="2">
        <v>45429</v>
      </c>
      <c r="I53" t="s">
        <v>432</v>
      </c>
      <c r="J53" t="s">
        <v>432</v>
      </c>
      <c r="K53" t="s">
        <v>29</v>
      </c>
      <c r="M53" t="s">
        <v>59</v>
      </c>
      <c r="O53" s="10">
        <f t="shared" si="0"/>
        <v>5</v>
      </c>
      <c r="P53" s="10">
        <f t="shared" si="1"/>
        <v>2024</v>
      </c>
      <c r="Q53" t="str">
        <f>+VLOOKUP(O53,'COMISIONES ENERO-MARZO 2025 (2)'!$X:$Y,2,0)</f>
        <v>Mayo</v>
      </c>
    </row>
    <row r="54" spans="3:17" x14ac:dyDescent="0.35">
      <c r="C54" t="s">
        <v>326</v>
      </c>
      <c r="D54">
        <v>53059501</v>
      </c>
      <c r="E54" t="s">
        <v>327</v>
      </c>
      <c r="F54" s="26">
        <v>16062</v>
      </c>
      <c r="G54" t="s">
        <v>433</v>
      </c>
      <c r="H54" s="2">
        <v>45436</v>
      </c>
      <c r="I54" t="s">
        <v>434</v>
      </c>
      <c r="J54" t="s">
        <v>434</v>
      </c>
      <c r="K54" t="s">
        <v>19</v>
      </c>
      <c r="M54" t="s">
        <v>59</v>
      </c>
      <c r="O54" s="10">
        <f t="shared" si="0"/>
        <v>5</v>
      </c>
      <c r="P54" s="10">
        <f t="shared" si="1"/>
        <v>2024</v>
      </c>
      <c r="Q54" t="str">
        <f>+VLOOKUP(O54,'COMISIONES ENERO-MARZO 2025 (2)'!$X:$Y,2,0)</f>
        <v>Mayo</v>
      </c>
    </row>
    <row r="55" spans="3:17" x14ac:dyDescent="0.35">
      <c r="C55" t="s">
        <v>326</v>
      </c>
      <c r="D55">
        <v>53059501</v>
      </c>
      <c r="E55" t="s">
        <v>327</v>
      </c>
      <c r="F55" s="26">
        <v>2795497.52</v>
      </c>
      <c r="G55" t="s">
        <v>435</v>
      </c>
      <c r="H55" s="2">
        <v>45442</v>
      </c>
      <c r="I55" t="s">
        <v>436</v>
      </c>
      <c r="J55" t="s">
        <v>436</v>
      </c>
      <c r="K55" t="s">
        <v>25</v>
      </c>
      <c r="M55" t="s">
        <v>59</v>
      </c>
      <c r="O55" s="10">
        <f t="shared" si="0"/>
        <v>5</v>
      </c>
      <c r="P55" s="10">
        <f t="shared" si="1"/>
        <v>2024</v>
      </c>
      <c r="Q55" t="str">
        <f>+VLOOKUP(O55,'COMISIONES ENERO-MARZO 2025 (2)'!$X:$Y,2,0)</f>
        <v>Mayo</v>
      </c>
    </row>
    <row r="56" spans="3:17" x14ac:dyDescent="0.35">
      <c r="C56" t="s">
        <v>326</v>
      </c>
      <c r="D56">
        <v>53059501</v>
      </c>
      <c r="E56" t="s">
        <v>327</v>
      </c>
      <c r="F56" s="26">
        <v>15736580.84</v>
      </c>
      <c r="G56" t="s">
        <v>437</v>
      </c>
      <c r="H56" s="2">
        <v>45443</v>
      </c>
      <c r="I56" t="s">
        <v>438</v>
      </c>
      <c r="J56" t="s">
        <v>438</v>
      </c>
      <c r="K56" t="s">
        <v>25</v>
      </c>
      <c r="M56" t="s">
        <v>59</v>
      </c>
      <c r="O56" s="10">
        <f t="shared" si="0"/>
        <v>5</v>
      </c>
      <c r="P56" s="10">
        <f t="shared" si="1"/>
        <v>2024</v>
      </c>
      <c r="Q56" t="str">
        <f>+VLOOKUP(O56,'COMISIONES ENERO-MARZO 2025 (2)'!$X:$Y,2,0)</f>
        <v>Mayo</v>
      </c>
    </row>
    <row r="57" spans="3:17" x14ac:dyDescent="0.35">
      <c r="C57" t="s">
        <v>326</v>
      </c>
      <c r="D57">
        <v>53059501</v>
      </c>
      <c r="E57" t="s">
        <v>327</v>
      </c>
      <c r="F57" s="26">
        <v>33724</v>
      </c>
      <c r="G57" t="s">
        <v>439</v>
      </c>
      <c r="H57" s="2">
        <v>45443</v>
      </c>
      <c r="I57" t="s">
        <v>434</v>
      </c>
      <c r="J57" t="s">
        <v>434</v>
      </c>
      <c r="K57" t="s">
        <v>19</v>
      </c>
      <c r="M57" t="s">
        <v>59</v>
      </c>
      <c r="O57" s="10">
        <f t="shared" si="0"/>
        <v>5</v>
      </c>
      <c r="P57" s="10">
        <f t="shared" si="1"/>
        <v>2024</v>
      </c>
      <c r="Q57" t="str">
        <f>+VLOOKUP(O57,'COMISIONES ENERO-MARZO 2025 (2)'!$X:$Y,2,0)</f>
        <v>Mayo</v>
      </c>
    </row>
    <row r="58" spans="3:17" x14ac:dyDescent="0.35">
      <c r="C58" t="s">
        <v>326</v>
      </c>
      <c r="D58">
        <v>53059501</v>
      </c>
      <c r="E58" t="s">
        <v>327</v>
      </c>
      <c r="F58" s="26">
        <v>57.8</v>
      </c>
      <c r="G58" t="s">
        <v>440</v>
      </c>
      <c r="H58" s="2">
        <v>45443</v>
      </c>
      <c r="I58" t="s">
        <v>441</v>
      </c>
      <c r="J58" t="s">
        <v>441</v>
      </c>
      <c r="K58" t="s">
        <v>29</v>
      </c>
      <c r="M58" t="s">
        <v>59</v>
      </c>
      <c r="O58" s="10">
        <f t="shared" si="0"/>
        <v>5</v>
      </c>
      <c r="P58" s="10">
        <f t="shared" si="1"/>
        <v>2024</v>
      </c>
      <c r="Q58" t="str">
        <f>+VLOOKUP(O58,'COMISIONES ENERO-MARZO 2025 (2)'!$X:$Y,2,0)</f>
        <v>Mayo</v>
      </c>
    </row>
    <row r="59" spans="3:17" x14ac:dyDescent="0.35">
      <c r="C59" t="s">
        <v>326</v>
      </c>
      <c r="D59">
        <v>53059501</v>
      </c>
      <c r="E59" t="s">
        <v>327</v>
      </c>
      <c r="F59" s="26">
        <v>40642187.039999999</v>
      </c>
      <c r="G59" t="s">
        <v>442</v>
      </c>
      <c r="H59" s="2">
        <v>45443</v>
      </c>
      <c r="I59" t="s">
        <v>443</v>
      </c>
      <c r="J59" t="s">
        <v>443</v>
      </c>
      <c r="K59" t="s">
        <v>35</v>
      </c>
      <c r="M59" t="s">
        <v>59</v>
      </c>
      <c r="O59" s="10">
        <f t="shared" si="0"/>
        <v>5</v>
      </c>
      <c r="P59" s="10">
        <f t="shared" si="1"/>
        <v>2024</v>
      </c>
      <c r="Q59" t="str">
        <f>+VLOOKUP(O59,'COMISIONES ENERO-MARZO 2025 (2)'!$X:$Y,2,0)</f>
        <v>Mayo</v>
      </c>
    </row>
    <row r="60" spans="3:17" x14ac:dyDescent="0.35">
      <c r="C60" t="s">
        <v>326</v>
      </c>
      <c r="D60">
        <v>53059501</v>
      </c>
      <c r="E60" t="s">
        <v>327</v>
      </c>
      <c r="F60" s="26">
        <v>1240004.8799999999</v>
      </c>
      <c r="G60" t="s">
        <v>444</v>
      </c>
      <c r="H60" s="2">
        <v>45443</v>
      </c>
      <c r="I60" t="s">
        <v>445</v>
      </c>
      <c r="J60" t="s">
        <v>445</v>
      </c>
      <c r="K60" t="s">
        <v>25</v>
      </c>
      <c r="M60" t="s">
        <v>59</v>
      </c>
      <c r="O60" s="10">
        <f t="shared" si="0"/>
        <v>5</v>
      </c>
      <c r="P60" s="10">
        <f t="shared" si="1"/>
        <v>2024</v>
      </c>
      <c r="Q60" t="str">
        <f>+VLOOKUP(O60,'COMISIONES ENERO-MARZO 2025 (2)'!$X:$Y,2,0)</f>
        <v>Mayo</v>
      </c>
    </row>
    <row r="61" spans="3:17" x14ac:dyDescent="0.35">
      <c r="C61" t="s">
        <v>326</v>
      </c>
      <c r="D61">
        <v>53059501</v>
      </c>
      <c r="E61" t="s">
        <v>327</v>
      </c>
      <c r="F61" s="26">
        <v>21150.61</v>
      </c>
      <c r="G61" t="s">
        <v>446</v>
      </c>
      <c r="H61" s="2">
        <v>45473</v>
      </c>
      <c r="I61" t="s">
        <v>447</v>
      </c>
      <c r="J61" t="s">
        <v>448</v>
      </c>
      <c r="K61" t="s">
        <v>29</v>
      </c>
      <c r="M61" t="s">
        <v>59</v>
      </c>
      <c r="O61" s="10">
        <f t="shared" si="0"/>
        <v>6</v>
      </c>
      <c r="P61" s="10">
        <f t="shared" si="1"/>
        <v>2024</v>
      </c>
      <c r="Q61" t="str">
        <f>+VLOOKUP(O61,'COMISIONES ENERO-MARZO 2025 (2)'!$X:$Y,2,0)</f>
        <v>Junio</v>
      </c>
    </row>
    <row r="62" spans="3:17" x14ac:dyDescent="0.35">
      <c r="C62" t="s">
        <v>326</v>
      </c>
      <c r="D62">
        <v>53059501</v>
      </c>
      <c r="E62" t="s">
        <v>327</v>
      </c>
      <c r="F62" s="26">
        <v>1245997.72</v>
      </c>
      <c r="G62" t="s">
        <v>449</v>
      </c>
      <c r="H62" s="2">
        <v>45473</v>
      </c>
      <c r="I62" t="s">
        <v>450</v>
      </c>
      <c r="J62" t="s">
        <v>450</v>
      </c>
      <c r="K62" t="s">
        <v>25</v>
      </c>
      <c r="M62" t="s">
        <v>59</v>
      </c>
      <c r="O62" s="10">
        <f t="shared" si="0"/>
        <v>6</v>
      </c>
      <c r="P62" s="10">
        <f t="shared" si="1"/>
        <v>2024</v>
      </c>
      <c r="Q62" t="str">
        <f>+VLOOKUP(O62,'COMISIONES ENERO-MARZO 2025 (2)'!$X:$Y,2,0)</f>
        <v>Junio</v>
      </c>
    </row>
    <row r="63" spans="3:17" x14ac:dyDescent="0.35">
      <c r="C63" t="s">
        <v>326</v>
      </c>
      <c r="D63">
        <v>53059501</v>
      </c>
      <c r="E63" t="s">
        <v>327</v>
      </c>
      <c r="F63" s="26">
        <v>22764886.699999999</v>
      </c>
      <c r="G63" t="s">
        <v>451</v>
      </c>
      <c r="H63" s="2">
        <v>45473</v>
      </c>
      <c r="I63" t="s">
        <v>452</v>
      </c>
      <c r="J63" t="s">
        <v>452</v>
      </c>
      <c r="K63" t="s">
        <v>35</v>
      </c>
      <c r="M63" t="s">
        <v>59</v>
      </c>
      <c r="O63" s="10">
        <f t="shared" si="0"/>
        <v>6</v>
      </c>
      <c r="P63" s="10">
        <f t="shared" si="1"/>
        <v>2024</v>
      </c>
      <c r="Q63" t="str">
        <f>+VLOOKUP(O63,'COMISIONES ENERO-MARZO 2025 (2)'!$X:$Y,2,0)</f>
        <v>Junio</v>
      </c>
    </row>
    <row r="64" spans="3:17" x14ac:dyDescent="0.35">
      <c r="C64" t="s">
        <v>326</v>
      </c>
      <c r="D64">
        <v>53059501</v>
      </c>
      <c r="E64" t="s">
        <v>327</v>
      </c>
      <c r="F64" s="26">
        <v>27153935</v>
      </c>
      <c r="G64" t="s">
        <v>453</v>
      </c>
      <c r="H64" s="2">
        <v>45473</v>
      </c>
      <c r="I64" t="s">
        <v>454</v>
      </c>
      <c r="J64" t="s">
        <v>454</v>
      </c>
      <c r="K64" t="s">
        <v>19</v>
      </c>
      <c r="M64" t="s">
        <v>59</v>
      </c>
      <c r="O64" s="10">
        <f t="shared" si="0"/>
        <v>6</v>
      </c>
      <c r="P64" s="10">
        <f t="shared" si="1"/>
        <v>2024</v>
      </c>
      <c r="Q64" t="str">
        <f>+VLOOKUP(O64,'COMISIONES ENERO-MARZO 2025 (2)'!$X:$Y,2,0)</f>
        <v>Junio</v>
      </c>
    </row>
    <row r="65" spans="3:17" x14ac:dyDescent="0.35">
      <c r="C65" t="s">
        <v>326</v>
      </c>
      <c r="D65">
        <v>53059501</v>
      </c>
      <c r="E65" t="s">
        <v>327</v>
      </c>
      <c r="F65" s="26">
        <v>46250</v>
      </c>
      <c r="G65" t="s">
        <v>455</v>
      </c>
      <c r="H65" s="2">
        <v>45471</v>
      </c>
      <c r="I65" t="s">
        <v>456</v>
      </c>
      <c r="J65" t="s">
        <v>456</v>
      </c>
      <c r="K65" t="s">
        <v>19</v>
      </c>
      <c r="M65" t="s">
        <v>59</v>
      </c>
      <c r="O65" s="10">
        <f t="shared" si="0"/>
        <v>6</v>
      </c>
      <c r="P65" s="10">
        <f t="shared" si="1"/>
        <v>2024</v>
      </c>
      <c r="Q65" t="str">
        <f>+VLOOKUP(O65,'COMISIONES ENERO-MARZO 2025 (2)'!$X:$Y,2,0)</f>
        <v>Junio</v>
      </c>
    </row>
    <row r="66" spans="3:17" x14ac:dyDescent="0.35">
      <c r="C66" t="s">
        <v>326</v>
      </c>
      <c r="D66">
        <v>53059501</v>
      </c>
      <c r="E66" t="s">
        <v>327</v>
      </c>
      <c r="F66" s="26">
        <v>323.39999999999998</v>
      </c>
      <c r="G66" t="s">
        <v>457</v>
      </c>
      <c r="H66" s="2">
        <v>45473</v>
      </c>
      <c r="I66" t="s">
        <v>458</v>
      </c>
      <c r="J66" t="s">
        <v>459</v>
      </c>
      <c r="K66" t="s">
        <v>385</v>
      </c>
      <c r="M66" t="s">
        <v>59</v>
      </c>
      <c r="O66" s="10">
        <f t="shared" si="0"/>
        <v>6</v>
      </c>
      <c r="P66" s="10">
        <f t="shared" si="1"/>
        <v>2024</v>
      </c>
      <c r="Q66" t="str">
        <f>+VLOOKUP(O66,'COMISIONES ENERO-MARZO 2025 (2)'!$X:$Y,2,0)</f>
        <v>Junio</v>
      </c>
    </row>
    <row r="67" spans="3:17" x14ac:dyDescent="0.35">
      <c r="C67" t="s">
        <v>326</v>
      </c>
      <c r="D67">
        <v>53059501</v>
      </c>
      <c r="E67" t="s">
        <v>327</v>
      </c>
      <c r="F67" s="26">
        <v>4403</v>
      </c>
      <c r="G67" t="s">
        <v>460</v>
      </c>
      <c r="H67" s="2">
        <v>45503</v>
      </c>
      <c r="I67" t="s">
        <v>461</v>
      </c>
      <c r="J67" t="s">
        <v>462</v>
      </c>
      <c r="K67" t="s">
        <v>19</v>
      </c>
      <c r="M67" t="s">
        <v>59</v>
      </c>
      <c r="O67" s="10">
        <f t="shared" ref="O67:O130" si="2">+MONTH(H67)</f>
        <v>7</v>
      </c>
      <c r="P67" s="10">
        <f t="shared" ref="P67:P130" si="3">+YEAR(H67)</f>
        <v>2024</v>
      </c>
      <c r="Q67" t="str">
        <f>+VLOOKUP(O67,'COMISIONES ENERO-MARZO 2025 (2)'!$X:$Y,2,0)</f>
        <v>Julio</v>
      </c>
    </row>
    <row r="68" spans="3:17" x14ac:dyDescent="0.35">
      <c r="C68" t="s">
        <v>326</v>
      </c>
      <c r="D68">
        <v>53059501</v>
      </c>
      <c r="E68" t="s">
        <v>327</v>
      </c>
      <c r="F68" s="26">
        <v>37613151.009999998</v>
      </c>
      <c r="G68" t="s">
        <v>463</v>
      </c>
      <c r="H68" s="2">
        <v>45503</v>
      </c>
      <c r="I68" t="s">
        <v>464</v>
      </c>
      <c r="J68" t="s">
        <v>464</v>
      </c>
      <c r="K68" t="s">
        <v>35</v>
      </c>
      <c r="M68" t="s">
        <v>59</v>
      </c>
      <c r="O68" s="10">
        <f t="shared" si="2"/>
        <v>7</v>
      </c>
      <c r="P68" s="10">
        <f t="shared" si="3"/>
        <v>2024</v>
      </c>
      <c r="Q68" t="str">
        <f>+VLOOKUP(O68,'COMISIONES ENERO-MARZO 2025 (2)'!$X:$Y,2,0)</f>
        <v>Julio</v>
      </c>
    </row>
    <row r="69" spans="3:17" x14ac:dyDescent="0.35">
      <c r="C69" t="s">
        <v>326</v>
      </c>
      <c r="D69">
        <v>53059501</v>
      </c>
      <c r="E69" t="s">
        <v>327</v>
      </c>
      <c r="F69" s="26">
        <v>46992</v>
      </c>
      <c r="G69" t="s">
        <v>465</v>
      </c>
      <c r="H69" s="2">
        <v>45503</v>
      </c>
      <c r="I69" t="s">
        <v>466</v>
      </c>
      <c r="J69" t="s">
        <v>467</v>
      </c>
      <c r="K69" t="s">
        <v>19</v>
      </c>
      <c r="M69" t="s">
        <v>59</v>
      </c>
      <c r="O69" s="10">
        <f t="shared" si="2"/>
        <v>7</v>
      </c>
      <c r="P69" s="10">
        <f t="shared" si="3"/>
        <v>2024</v>
      </c>
      <c r="Q69" t="str">
        <f>+VLOOKUP(O69,'COMISIONES ENERO-MARZO 2025 (2)'!$X:$Y,2,0)</f>
        <v>Julio</v>
      </c>
    </row>
    <row r="70" spans="3:17" x14ac:dyDescent="0.35">
      <c r="C70" t="s">
        <v>326</v>
      </c>
      <c r="D70">
        <v>53059501</v>
      </c>
      <c r="E70" t="s">
        <v>327</v>
      </c>
      <c r="F70" s="26">
        <v>38182921</v>
      </c>
      <c r="G70" t="s">
        <v>468</v>
      </c>
      <c r="H70" s="2">
        <v>45503</v>
      </c>
      <c r="I70" t="s">
        <v>469</v>
      </c>
      <c r="J70" t="s">
        <v>470</v>
      </c>
      <c r="K70" t="s">
        <v>19</v>
      </c>
      <c r="M70" t="s">
        <v>59</v>
      </c>
      <c r="O70" s="10">
        <f t="shared" si="2"/>
        <v>7</v>
      </c>
      <c r="P70" s="10">
        <f t="shared" si="3"/>
        <v>2024</v>
      </c>
      <c r="Q70" t="str">
        <f>+VLOOKUP(O70,'COMISIONES ENERO-MARZO 2025 (2)'!$X:$Y,2,0)</f>
        <v>Julio</v>
      </c>
    </row>
    <row r="71" spans="3:17" x14ac:dyDescent="0.35">
      <c r="C71" t="s">
        <v>326</v>
      </c>
      <c r="D71">
        <v>53059501</v>
      </c>
      <c r="E71" t="s">
        <v>327</v>
      </c>
      <c r="F71" s="26">
        <v>5590207.54</v>
      </c>
      <c r="G71" t="s">
        <v>471</v>
      </c>
      <c r="H71" s="2">
        <v>45503</v>
      </c>
      <c r="I71" t="s">
        <v>472</v>
      </c>
      <c r="J71" t="s">
        <v>472</v>
      </c>
      <c r="K71" t="s">
        <v>25</v>
      </c>
      <c r="M71" t="s">
        <v>59</v>
      </c>
      <c r="O71" s="10">
        <f t="shared" si="2"/>
        <v>7</v>
      </c>
      <c r="P71" s="10">
        <f t="shared" si="3"/>
        <v>2024</v>
      </c>
      <c r="Q71" t="str">
        <f>+VLOOKUP(O71,'COMISIONES ENERO-MARZO 2025 (2)'!$X:$Y,2,0)</f>
        <v>Julio</v>
      </c>
    </row>
    <row r="72" spans="3:17" x14ac:dyDescent="0.35">
      <c r="C72" t="s">
        <v>326</v>
      </c>
      <c r="D72">
        <v>53059501</v>
      </c>
      <c r="E72" t="s">
        <v>327</v>
      </c>
      <c r="F72" s="26">
        <v>74161.48</v>
      </c>
      <c r="G72" t="s">
        <v>473</v>
      </c>
      <c r="H72" s="2">
        <v>45503</v>
      </c>
      <c r="I72" t="s">
        <v>474</v>
      </c>
      <c r="J72" t="s">
        <v>474</v>
      </c>
      <c r="K72" t="s">
        <v>29</v>
      </c>
      <c r="M72" t="s">
        <v>59</v>
      </c>
      <c r="O72" s="10">
        <f t="shared" si="2"/>
        <v>7</v>
      </c>
      <c r="P72" s="10">
        <f t="shared" si="3"/>
        <v>2024</v>
      </c>
      <c r="Q72" t="str">
        <f>+VLOOKUP(O72,'COMISIONES ENERO-MARZO 2025 (2)'!$X:$Y,2,0)</f>
        <v>Julio</v>
      </c>
    </row>
    <row r="73" spans="3:17" x14ac:dyDescent="0.35">
      <c r="C73" t="s">
        <v>326</v>
      </c>
      <c r="D73">
        <v>53059501</v>
      </c>
      <c r="E73" t="s">
        <v>327</v>
      </c>
      <c r="F73" s="26">
        <v>3699441.7</v>
      </c>
      <c r="G73" t="s">
        <v>475</v>
      </c>
      <c r="H73" s="2">
        <v>45504</v>
      </c>
      <c r="I73" t="s">
        <v>476</v>
      </c>
      <c r="J73" t="s">
        <v>477</v>
      </c>
      <c r="K73" t="s">
        <v>35</v>
      </c>
      <c r="M73" t="s">
        <v>59</v>
      </c>
      <c r="O73" s="10">
        <f t="shared" si="2"/>
        <v>7</v>
      </c>
      <c r="P73" s="10">
        <f t="shared" si="3"/>
        <v>2024</v>
      </c>
      <c r="Q73" t="str">
        <f>+VLOOKUP(O73,'COMISIONES ENERO-MARZO 2025 (2)'!$X:$Y,2,0)</f>
        <v>Julio</v>
      </c>
    </row>
    <row r="74" spans="3:17" x14ac:dyDescent="0.35">
      <c r="C74" t="s">
        <v>326</v>
      </c>
      <c r="D74">
        <v>53059501</v>
      </c>
      <c r="E74" t="s">
        <v>327</v>
      </c>
      <c r="F74" s="26">
        <v>3959573.34</v>
      </c>
      <c r="G74" t="s">
        <v>475</v>
      </c>
      <c r="H74" s="2">
        <v>45504</v>
      </c>
      <c r="I74" t="s">
        <v>478</v>
      </c>
      <c r="J74" t="s">
        <v>477</v>
      </c>
      <c r="K74" t="s">
        <v>35</v>
      </c>
      <c r="M74" t="s">
        <v>59</v>
      </c>
      <c r="O74" s="10">
        <f t="shared" si="2"/>
        <v>7</v>
      </c>
      <c r="P74" s="10">
        <f t="shared" si="3"/>
        <v>2024</v>
      </c>
      <c r="Q74" t="str">
        <f>+VLOOKUP(O74,'COMISIONES ENERO-MARZO 2025 (2)'!$X:$Y,2,0)</f>
        <v>Julio</v>
      </c>
    </row>
    <row r="75" spans="3:17" x14ac:dyDescent="0.35">
      <c r="C75" t="s">
        <v>326</v>
      </c>
      <c r="D75">
        <v>53059501</v>
      </c>
      <c r="E75" t="s">
        <v>327</v>
      </c>
      <c r="F75" s="26">
        <v>3231568.31</v>
      </c>
      <c r="G75" t="s">
        <v>475</v>
      </c>
      <c r="H75" s="2">
        <v>45504</v>
      </c>
      <c r="I75" t="s">
        <v>479</v>
      </c>
      <c r="J75" t="s">
        <v>477</v>
      </c>
      <c r="K75" t="s">
        <v>35</v>
      </c>
      <c r="M75" t="s">
        <v>59</v>
      </c>
      <c r="O75" s="10">
        <f t="shared" si="2"/>
        <v>7</v>
      </c>
      <c r="P75" s="10">
        <f t="shared" si="3"/>
        <v>2024</v>
      </c>
      <c r="Q75" t="str">
        <f>+VLOOKUP(O75,'COMISIONES ENERO-MARZO 2025 (2)'!$X:$Y,2,0)</f>
        <v>Julio</v>
      </c>
    </row>
    <row r="76" spans="3:17" x14ac:dyDescent="0.35">
      <c r="C76" t="s">
        <v>326</v>
      </c>
      <c r="D76">
        <v>53059501</v>
      </c>
      <c r="E76" t="s">
        <v>327</v>
      </c>
      <c r="F76" s="26">
        <v>34906</v>
      </c>
      <c r="G76" t="s">
        <v>480</v>
      </c>
      <c r="H76" s="2">
        <v>45504</v>
      </c>
      <c r="I76" t="s">
        <v>481</v>
      </c>
      <c r="J76" t="s">
        <v>482</v>
      </c>
      <c r="K76" t="s">
        <v>19</v>
      </c>
      <c r="M76" t="s">
        <v>59</v>
      </c>
      <c r="O76" s="10">
        <f t="shared" si="2"/>
        <v>7</v>
      </c>
      <c r="P76" s="10">
        <f t="shared" si="3"/>
        <v>2024</v>
      </c>
      <c r="Q76" t="str">
        <f>+VLOOKUP(O76,'COMISIONES ENERO-MARZO 2025 (2)'!$X:$Y,2,0)</f>
        <v>Julio</v>
      </c>
    </row>
    <row r="77" spans="3:17" x14ac:dyDescent="0.35">
      <c r="C77" t="s">
        <v>326</v>
      </c>
      <c r="D77">
        <v>53059501</v>
      </c>
      <c r="E77" t="s">
        <v>327</v>
      </c>
      <c r="F77" s="26">
        <v>3896804.75</v>
      </c>
      <c r="G77" t="s">
        <v>483</v>
      </c>
      <c r="H77" s="2">
        <v>45504</v>
      </c>
      <c r="I77" t="s">
        <v>484</v>
      </c>
      <c r="J77" t="s">
        <v>484</v>
      </c>
      <c r="K77" t="s">
        <v>35</v>
      </c>
      <c r="M77" t="s">
        <v>59</v>
      </c>
      <c r="O77" s="10">
        <f t="shared" si="2"/>
        <v>7</v>
      </c>
      <c r="P77" s="10">
        <f t="shared" si="3"/>
        <v>2024</v>
      </c>
      <c r="Q77" t="str">
        <f>+VLOOKUP(O77,'COMISIONES ENERO-MARZO 2025 (2)'!$X:$Y,2,0)</f>
        <v>Julio</v>
      </c>
    </row>
    <row r="78" spans="3:17" x14ac:dyDescent="0.35">
      <c r="C78" t="s">
        <v>326</v>
      </c>
      <c r="D78">
        <v>53059501</v>
      </c>
      <c r="E78" t="s">
        <v>327</v>
      </c>
      <c r="F78" s="26">
        <v>8380364.5999999996</v>
      </c>
      <c r="G78" t="s">
        <v>485</v>
      </c>
      <c r="H78" s="2">
        <v>45519</v>
      </c>
      <c r="I78" t="s">
        <v>486</v>
      </c>
      <c r="J78" t="s">
        <v>486</v>
      </c>
      <c r="K78" t="s">
        <v>29</v>
      </c>
      <c r="M78" t="s">
        <v>59</v>
      </c>
      <c r="O78" s="10">
        <f t="shared" si="2"/>
        <v>8</v>
      </c>
      <c r="P78" s="10">
        <f t="shared" si="3"/>
        <v>2024</v>
      </c>
      <c r="Q78" t="str">
        <f>+VLOOKUP(O78,'COMISIONES ENERO-MARZO 2025 (2)'!$X:$Y,2,0)</f>
        <v>Agosto</v>
      </c>
    </row>
    <row r="79" spans="3:17" x14ac:dyDescent="0.35">
      <c r="C79" t="s">
        <v>326</v>
      </c>
      <c r="D79">
        <v>53059501</v>
      </c>
      <c r="E79" t="s">
        <v>327</v>
      </c>
      <c r="F79" s="26">
        <v>15693.72</v>
      </c>
      <c r="G79" t="s">
        <v>485</v>
      </c>
      <c r="H79" s="2">
        <v>45519</v>
      </c>
      <c r="I79" t="s">
        <v>487</v>
      </c>
      <c r="J79" t="s">
        <v>486</v>
      </c>
      <c r="K79" t="s">
        <v>29</v>
      </c>
      <c r="M79" t="s">
        <v>59</v>
      </c>
      <c r="O79" s="10">
        <f t="shared" si="2"/>
        <v>8</v>
      </c>
      <c r="P79" s="10">
        <f t="shared" si="3"/>
        <v>2024</v>
      </c>
      <c r="Q79" t="str">
        <f>+VLOOKUP(O79,'COMISIONES ENERO-MARZO 2025 (2)'!$X:$Y,2,0)</f>
        <v>Agosto</v>
      </c>
    </row>
    <row r="80" spans="3:17" x14ac:dyDescent="0.35">
      <c r="C80" t="s">
        <v>326</v>
      </c>
      <c r="D80">
        <v>53059501</v>
      </c>
      <c r="E80" t="s">
        <v>327</v>
      </c>
      <c r="F80" s="26">
        <v>3500</v>
      </c>
      <c r="G80" t="s">
        <v>488</v>
      </c>
      <c r="H80" s="2">
        <v>45519</v>
      </c>
      <c r="I80" t="s">
        <v>489</v>
      </c>
      <c r="J80" t="s">
        <v>490</v>
      </c>
      <c r="K80" t="s">
        <v>25</v>
      </c>
      <c r="M80" t="s">
        <v>59</v>
      </c>
      <c r="O80" s="10">
        <f t="shared" si="2"/>
        <v>8</v>
      </c>
      <c r="P80" s="10">
        <f t="shared" si="3"/>
        <v>2024</v>
      </c>
      <c r="Q80" t="str">
        <f>+VLOOKUP(O80,'COMISIONES ENERO-MARZO 2025 (2)'!$X:$Y,2,0)</f>
        <v>Agosto</v>
      </c>
    </row>
    <row r="81" spans="3:17" x14ac:dyDescent="0.35">
      <c r="C81" t="s">
        <v>326</v>
      </c>
      <c r="D81">
        <v>53059501</v>
      </c>
      <c r="E81" t="s">
        <v>327</v>
      </c>
      <c r="F81" s="26">
        <v>8851559.3300000001</v>
      </c>
      <c r="G81" t="s">
        <v>491</v>
      </c>
      <c r="H81" s="2">
        <v>45519</v>
      </c>
      <c r="I81" t="s">
        <v>492</v>
      </c>
      <c r="J81" t="s">
        <v>493</v>
      </c>
      <c r="K81" t="s">
        <v>42</v>
      </c>
      <c r="M81" t="s">
        <v>59</v>
      </c>
      <c r="O81" s="10">
        <f t="shared" si="2"/>
        <v>8</v>
      </c>
      <c r="P81" s="10">
        <f t="shared" si="3"/>
        <v>2024</v>
      </c>
      <c r="Q81" t="str">
        <f>+VLOOKUP(O81,'COMISIONES ENERO-MARZO 2025 (2)'!$X:$Y,2,0)</f>
        <v>Agosto</v>
      </c>
    </row>
    <row r="82" spans="3:17" x14ac:dyDescent="0.35">
      <c r="C82" t="s">
        <v>326</v>
      </c>
      <c r="D82">
        <v>53059501</v>
      </c>
      <c r="E82" t="s">
        <v>327</v>
      </c>
      <c r="F82" s="26">
        <v>39564</v>
      </c>
      <c r="G82" t="s">
        <v>494</v>
      </c>
      <c r="H82" s="2">
        <v>45519</v>
      </c>
      <c r="I82" t="s">
        <v>495</v>
      </c>
      <c r="J82" t="s">
        <v>496</v>
      </c>
      <c r="K82" t="s">
        <v>29</v>
      </c>
      <c r="M82" t="s">
        <v>59</v>
      </c>
      <c r="O82" s="10">
        <f t="shared" si="2"/>
        <v>8</v>
      </c>
      <c r="P82" s="10">
        <f t="shared" si="3"/>
        <v>2024</v>
      </c>
      <c r="Q82" t="str">
        <f>+VLOOKUP(O82,'COMISIONES ENERO-MARZO 2025 (2)'!$X:$Y,2,0)</f>
        <v>Agosto</v>
      </c>
    </row>
    <row r="83" spans="3:17" x14ac:dyDescent="0.35">
      <c r="C83" t="s">
        <v>326</v>
      </c>
      <c r="D83">
        <v>53059501</v>
      </c>
      <c r="E83" t="s">
        <v>327</v>
      </c>
      <c r="F83" s="26">
        <v>40756491</v>
      </c>
      <c r="G83" t="s">
        <v>497</v>
      </c>
      <c r="H83" s="2">
        <v>45535</v>
      </c>
      <c r="I83" t="s">
        <v>498</v>
      </c>
      <c r="J83" t="s">
        <v>498</v>
      </c>
      <c r="K83" t="s">
        <v>19</v>
      </c>
      <c r="M83" t="s">
        <v>59</v>
      </c>
      <c r="O83" s="10">
        <f t="shared" si="2"/>
        <v>8</v>
      </c>
      <c r="P83" s="10">
        <f t="shared" si="3"/>
        <v>2024</v>
      </c>
      <c r="Q83" t="str">
        <f>+VLOOKUP(O83,'COMISIONES ENERO-MARZO 2025 (2)'!$X:$Y,2,0)</f>
        <v>Agosto</v>
      </c>
    </row>
    <row r="84" spans="3:17" x14ac:dyDescent="0.35">
      <c r="C84" t="s">
        <v>326</v>
      </c>
      <c r="D84">
        <v>53059501</v>
      </c>
      <c r="E84" t="s">
        <v>327</v>
      </c>
      <c r="F84" s="26">
        <v>16466</v>
      </c>
      <c r="G84" t="s">
        <v>499</v>
      </c>
      <c r="H84" s="2">
        <v>45535</v>
      </c>
      <c r="I84" t="s">
        <v>500</v>
      </c>
      <c r="J84" t="s">
        <v>500</v>
      </c>
      <c r="K84" t="s">
        <v>19</v>
      </c>
      <c r="M84" t="s">
        <v>59</v>
      </c>
      <c r="O84" s="10">
        <f t="shared" si="2"/>
        <v>8</v>
      </c>
      <c r="P84" s="10">
        <f t="shared" si="3"/>
        <v>2024</v>
      </c>
      <c r="Q84" t="str">
        <f>+VLOOKUP(O84,'COMISIONES ENERO-MARZO 2025 (2)'!$X:$Y,2,0)</f>
        <v>Agosto</v>
      </c>
    </row>
    <row r="85" spans="3:17" x14ac:dyDescent="0.35">
      <c r="C85" t="s">
        <v>326</v>
      </c>
      <c r="D85">
        <v>53059501</v>
      </c>
      <c r="E85" t="s">
        <v>327</v>
      </c>
      <c r="F85" s="26">
        <v>63520</v>
      </c>
      <c r="G85" t="s">
        <v>501</v>
      </c>
      <c r="H85" s="2">
        <v>45535</v>
      </c>
      <c r="I85" t="s">
        <v>502</v>
      </c>
      <c r="J85" t="s">
        <v>502</v>
      </c>
      <c r="K85" t="s">
        <v>19</v>
      </c>
      <c r="M85" t="s">
        <v>59</v>
      </c>
      <c r="O85" s="10">
        <f t="shared" si="2"/>
        <v>8</v>
      </c>
      <c r="P85" s="10">
        <f t="shared" si="3"/>
        <v>2024</v>
      </c>
      <c r="Q85" t="str">
        <f>+VLOOKUP(O85,'COMISIONES ENERO-MARZO 2025 (2)'!$X:$Y,2,0)</f>
        <v>Agosto</v>
      </c>
    </row>
    <row r="86" spans="3:17" x14ac:dyDescent="0.35">
      <c r="C86" t="s">
        <v>326</v>
      </c>
      <c r="D86">
        <v>53059501</v>
      </c>
      <c r="E86" t="s">
        <v>327</v>
      </c>
      <c r="F86" s="26">
        <v>70677.2</v>
      </c>
      <c r="G86" t="s">
        <v>503</v>
      </c>
      <c r="H86" s="2">
        <v>45535</v>
      </c>
      <c r="I86" t="s">
        <v>504</v>
      </c>
      <c r="J86" t="s">
        <v>504</v>
      </c>
      <c r="K86" t="s">
        <v>29</v>
      </c>
      <c r="M86" t="s">
        <v>59</v>
      </c>
      <c r="O86" s="10">
        <f t="shared" si="2"/>
        <v>8</v>
      </c>
      <c r="P86" s="10">
        <f t="shared" si="3"/>
        <v>2024</v>
      </c>
      <c r="Q86" t="str">
        <f>+VLOOKUP(O86,'COMISIONES ENERO-MARZO 2025 (2)'!$X:$Y,2,0)</f>
        <v>Agosto</v>
      </c>
    </row>
    <row r="87" spans="3:17" x14ac:dyDescent="0.35">
      <c r="C87" t="s">
        <v>326</v>
      </c>
      <c r="D87">
        <v>53059501</v>
      </c>
      <c r="E87" t="s">
        <v>327</v>
      </c>
      <c r="F87" s="26">
        <v>38773313.280000001</v>
      </c>
      <c r="G87" t="s">
        <v>505</v>
      </c>
      <c r="H87" s="2">
        <v>45535</v>
      </c>
      <c r="I87" t="s">
        <v>506</v>
      </c>
      <c r="J87" t="s">
        <v>506</v>
      </c>
      <c r="K87" t="s">
        <v>35</v>
      </c>
      <c r="M87" t="s">
        <v>59</v>
      </c>
      <c r="O87" s="10">
        <f t="shared" si="2"/>
        <v>8</v>
      </c>
      <c r="P87" s="10">
        <f t="shared" si="3"/>
        <v>2024</v>
      </c>
      <c r="Q87" t="str">
        <f>+VLOOKUP(O87,'COMISIONES ENERO-MARZO 2025 (2)'!$X:$Y,2,0)</f>
        <v>Agosto</v>
      </c>
    </row>
    <row r="88" spans="3:17" x14ac:dyDescent="0.35">
      <c r="C88" t="s">
        <v>326</v>
      </c>
      <c r="D88">
        <v>53059501</v>
      </c>
      <c r="E88" t="s">
        <v>327</v>
      </c>
      <c r="F88" s="26">
        <v>4446034.32</v>
      </c>
      <c r="G88" t="s">
        <v>507</v>
      </c>
      <c r="H88" s="2">
        <v>45535</v>
      </c>
      <c r="I88" t="s">
        <v>508</v>
      </c>
      <c r="J88" t="s">
        <v>508</v>
      </c>
      <c r="K88" t="s">
        <v>25</v>
      </c>
      <c r="M88" t="s">
        <v>59</v>
      </c>
      <c r="O88" s="10">
        <f t="shared" si="2"/>
        <v>8</v>
      </c>
      <c r="P88" s="10">
        <f t="shared" si="3"/>
        <v>2024</v>
      </c>
      <c r="Q88" t="str">
        <f>+VLOOKUP(O88,'COMISIONES ENERO-MARZO 2025 (2)'!$X:$Y,2,0)</f>
        <v>Agosto</v>
      </c>
    </row>
    <row r="89" spans="3:17" x14ac:dyDescent="0.35">
      <c r="C89" t="s">
        <v>326</v>
      </c>
      <c r="D89">
        <v>53059501</v>
      </c>
      <c r="E89" t="s">
        <v>327</v>
      </c>
      <c r="F89" s="26">
        <v>512000</v>
      </c>
      <c r="G89" t="s">
        <v>509</v>
      </c>
      <c r="H89" s="2">
        <v>45535</v>
      </c>
      <c r="I89" t="s">
        <v>510</v>
      </c>
      <c r="J89" t="s">
        <v>510</v>
      </c>
      <c r="K89" t="s">
        <v>35</v>
      </c>
      <c r="M89" t="s">
        <v>59</v>
      </c>
      <c r="O89" s="10">
        <f t="shared" si="2"/>
        <v>8</v>
      </c>
      <c r="P89" s="10">
        <f t="shared" si="3"/>
        <v>2024</v>
      </c>
      <c r="Q89" t="str">
        <f>+VLOOKUP(O89,'COMISIONES ENERO-MARZO 2025 (2)'!$X:$Y,2,0)</f>
        <v>Agosto</v>
      </c>
    </row>
    <row r="90" spans="3:17" x14ac:dyDescent="0.35">
      <c r="C90" t="s">
        <v>326</v>
      </c>
      <c r="D90">
        <v>53059501</v>
      </c>
      <c r="E90" t="s">
        <v>327</v>
      </c>
      <c r="F90" s="26">
        <v>4143500.35</v>
      </c>
      <c r="G90" t="s">
        <v>511</v>
      </c>
      <c r="H90" s="2">
        <v>45535</v>
      </c>
      <c r="I90" t="s">
        <v>512</v>
      </c>
      <c r="J90" t="s">
        <v>512</v>
      </c>
      <c r="K90" t="s">
        <v>25</v>
      </c>
      <c r="M90" t="s">
        <v>59</v>
      </c>
      <c r="O90" s="10">
        <f t="shared" si="2"/>
        <v>8</v>
      </c>
      <c r="P90" s="10">
        <f t="shared" si="3"/>
        <v>2024</v>
      </c>
      <c r="Q90" t="str">
        <f>+VLOOKUP(O90,'COMISIONES ENERO-MARZO 2025 (2)'!$X:$Y,2,0)</f>
        <v>Agosto</v>
      </c>
    </row>
    <row r="91" spans="3:17" x14ac:dyDescent="0.35">
      <c r="C91" t="s">
        <v>326</v>
      </c>
      <c r="D91">
        <v>53059501</v>
      </c>
      <c r="E91" t="s">
        <v>327</v>
      </c>
      <c r="F91" s="26">
        <v>3853540.96</v>
      </c>
      <c r="G91" t="s">
        <v>513</v>
      </c>
      <c r="H91" s="2">
        <v>45565</v>
      </c>
      <c r="I91" t="s">
        <v>514</v>
      </c>
      <c r="J91" t="s">
        <v>514</v>
      </c>
      <c r="K91" t="s">
        <v>35</v>
      </c>
      <c r="M91" t="s">
        <v>59</v>
      </c>
      <c r="O91" s="10">
        <f t="shared" si="2"/>
        <v>9</v>
      </c>
      <c r="P91" s="10">
        <f t="shared" si="3"/>
        <v>2024</v>
      </c>
      <c r="Q91" t="str">
        <f>+VLOOKUP(O91,'COMISIONES ENERO-MARZO 2025 (2)'!$X:$Y,2,0)</f>
        <v>Septiembre</v>
      </c>
    </row>
    <row r="92" spans="3:17" x14ac:dyDescent="0.35">
      <c r="C92" t="s">
        <v>326</v>
      </c>
      <c r="D92">
        <v>53059501</v>
      </c>
      <c r="E92" t="s">
        <v>327</v>
      </c>
      <c r="F92" s="26">
        <v>43889031.399999999</v>
      </c>
      <c r="G92" t="s">
        <v>515</v>
      </c>
      <c r="H92" s="2">
        <v>45565</v>
      </c>
      <c r="I92" t="s">
        <v>516</v>
      </c>
      <c r="J92" t="s">
        <v>516</v>
      </c>
      <c r="K92" t="s">
        <v>35</v>
      </c>
      <c r="M92" t="s">
        <v>59</v>
      </c>
      <c r="O92" s="10">
        <f t="shared" si="2"/>
        <v>9</v>
      </c>
      <c r="P92" s="10">
        <f t="shared" si="3"/>
        <v>2024</v>
      </c>
      <c r="Q92" t="str">
        <f>+VLOOKUP(O92,'COMISIONES ENERO-MARZO 2025 (2)'!$X:$Y,2,0)</f>
        <v>Septiembre</v>
      </c>
    </row>
    <row r="93" spans="3:17" x14ac:dyDescent="0.35">
      <c r="C93" t="s">
        <v>326</v>
      </c>
      <c r="D93">
        <v>53059501</v>
      </c>
      <c r="E93" t="s">
        <v>327</v>
      </c>
      <c r="F93" s="26">
        <v>82217.84</v>
      </c>
      <c r="G93" t="s">
        <v>517</v>
      </c>
      <c r="H93" s="2">
        <v>45565</v>
      </c>
      <c r="I93" t="s">
        <v>518</v>
      </c>
      <c r="J93" t="s">
        <v>518</v>
      </c>
      <c r="K93" t="s">
        <v>29</v>
      </c>
      <c r="M93" t="s">
        <v>59</v>
      </c>
      <c r="O93" s="10">
        <f t="shared" si="2"/>
        <v>9</v>
      </c>
      <c r="P93" s="10">
        <f t="shared" si="3"/>
        <v>2024</v>
      </c>
      <c r="Q93" t="str">
        <f>+VLOOKUP(O93,'COMISIONES ENERO-MARZO 2025 (2)'!$X:$Y,2,0)</f>
        <v>Septiembre</v>
      </c>
    </row>
    <row r="94" spans="3:17" x14ac:dyDescent="0.35">
      <c r="C94" t="s">
        <v>326</v>
      </c>
      <c r="D94">
        <v>53059501</v>
      </c>
      <c r="E94" t="s">
        <v>327</v>
      </c>
      <c r="F94" s="26">
        <v>63218583</v>
      </c>
      <c r="G94" t="s">
        <v>519</v>
      </c>
      <c r="H94" s="2">
        <v>45565</v>
      </c>
      <c r="I94" t="s">
        <v>520</v>
      </c>
      <c r="J94" t="s">
        <v>520</v>
      </c>
      <c r="K94" t="s">
        <v>19</v>
      </c>
      <c r="M94" t="s">
        <v>59</v>
      </c>
      <c r="O94" s="10">
        <f t="shared" si="2"/>
        <v>9</v>
      </c>
      <c r="P94" s="10">
        <f t="shared" si="3"/>
        <v>2024</v>
      </c>
      <c r="Q94" t="str">
        <f>+VLOOKUP(O94,'COMISIONES ENERO-MARZO 2025 (2)'!$X:$Y,2,0)</f>
        <v>Septiembre</v>
      </c>
    </row>
    <row r="95" spans="3:17" x14ac:dyDescent="0.35">
      <c r="C95" t="s">
        <v>326</v>
      </c>
      <c r="D95">
        <v>53059501</v>
      </c>
      <c r="E95" t="s">
        <v>327</v>
      </c>
      <c r="F95" s="26">
        <v>2059763</v>
      </c>
      <c r="G95" t="s">
        <v>521</v>
      </c>
      <c r="H95" s="2">
        <v>45565</v>
      </c>
      <c r="I95" t="s">
        <v>522</v>
      </c>
      <c r="J95" t="s">
        <v>522</v>
      </c>
      <c r="K95" t="s">
        <v>19</v>
      </c>
      <c r="M95" t="s">
        <v>59</v>
      </c>
      <c r="O95" s="10">
        <f t="shared" si="2"/>
        <v>9</v>
      </c>
      <c r="P95" s="10">
        <f t="shared" si="3"/>
        <v>2024</v>
      </c>
      <c r="Q95" t="str">
        <f>+VLOOKUP(O95,'COMISIONES ENERO-MARZO 2025 (2)'!$X:$Y,2,0)</f>
        <v>Septiembre</v>
      </c>
    </row>
    <row r="96" spans="3:17" x14ac:dyDescent="0.35">
      <c r="C96" t="s">
        <v>326</v>
      </c>
      <c r="D96">
        <v>53059501</v>
      </c>
      <c r="E96" t="s">
        <v>327</v>
      </c>
      <c r="F96" s="26">
        <v>118083</v>
      </c>
      <c r="G96" t="s">
        <v>523</v>
      </c>
      <c r="H96" s="2">
        <v>45565</v>
      </c>
      <c r="I96" t="s">
        <v>524</v>
      </c>
      <c r="J96" t="s">
        <v>524</v>
      </c>
      <c r="K96" t="s">
        <v>19</v>
      </c>
      <c r="M96" t="s">
        <v>59</v>
      </c>
      <c r="O96" s="10">
        <f t="shared" si="2"/>
        <v>9</v>
      </c>
      <c r="P96" s="10">
        <f t="shared" si="3"/>
        <v>2024</v>
      </c>
      <c r="Q96" t="str">
        <f>+VLOOKUP(O96,'COMISIONES ENERO-MARZO 2025 (2)'!$X:$Y,2,0)</f>
        <v>Septiembre</v>
      </c>
    </row>
    <row r="97" spans="3:17" x14ac:dyDescent="0.35">
      <c r="C97" t="s">
        <v>326</v>
      </c>
      <c r="D97">
        <v>53059501</v>
      </c>
      <c r="E97" t="s">
        <v>327</v>
      </c>
      <c r="F97" s="26">
        <v>8727922.0199999996</v>
      </c>
      <c r="G97" t="s">
        <v>525</v>
      </c>
      <c r="H97" s="2">
        <v>45565</v>
      </c>
      <c r="I97" t="s">
        <v>526</v>
      </c>
      <c r="J97" t="s">
        <v>526</v>
      </c>
      <c r="K97" t="s">
        <v>25</v>
      </c>
      <c r="M97" t="s">
        <v>59</v>
      </c>
      <c r="O97" s="10">
        <f t="shared" si="2"/>
        <v>9</v>
      </c>
      <c r="P97" s="10">
        <f t="shared" si="3"/>
        <v>2024</v>
      </c>
      <c r="Q97" t="str">
        <f>+VLOOKUP(O97,'COMISIONES ENERO-MARZO 2025 (2)'!$X:$Y,2,0)</f>
        <v>Septiembre</v>
      </c>
    </row>
    <row r="98" spans="3:17" x14ac:dyDescent="0.35">
      <c r="C98" t="s">
        <v>326</v>
      </c>
      <c r="D98">
        <v>53059501</v>
      </c>
      <c r="E98" t="s">
        <v>327</v>
      </c>
      <c r="F98" s="26">
        <v>-15896512.34</v>
      </c>
      <c r="G98" t="s">
        <v>527</v>
      </c>
      <c r="H98" s="2">
        <v>45565</v>
      </c>
      <c r="I98" t="s">
        <v>528</v>
      </c>
      <c r="J98" t="s">
        <v>528</v>
      </c>
      <c r="K98" t="s">
        <v>42</v>
      </c>
      <c r="M98" t="s">
        <v>59</v>
      </c>
      <c r="O98" s="10">
        <f t="shared" si="2"/>
        <v>9</v>
      </c>
      <c r="P98" s="10">
        <f t="shared" si="3"/>
        <v>2024</v>
      </c>
      <c r="Q98" t="str">
        <f>+VLOOKUP(O98,'COMISIONES ENERO-MARZO 2025 (2)'!$X:$Y,2,0)</f>
        <v>Septiembre</v>
      </c>
    </row>
    <row r="99" spans="3:17" x14ac:dyDescent="0.35">
      <c r="C99" t="s">
        <v>326</v>
      </c>
      <c r="D99">
        <v>53059501</v>
      </c>
      <c r="E99" t="s">
        <v>327</v>
      </c>
      <c r="F99" s="26">
        <v>47081.16</v>
      </c>
      <c r="G99" t="s">
        <v>529</v>
      </c>
      <c r="H99" s="2">
        <v>45565</v>
      </c>
      <c r="I99" t="s">
        <v>530</v>
      </c>
      <c r="J99" t="s">
        <v>530</v>
      </c>
      <c r="K99" t="s">
        <v>29</v>
      </c>
      <c r="M99" t="s">
        <v>59</v>
      </c>
      <c r="O99" s="10">
        <f t="shared" si="2"/>
        <v>9</v>
      </c>
      <c r="P99" s="10">
        <f t="shared" si="3"/>
        <v>2024</v>
      </c>
      <c r="Q99" t="str">
        <f>+VLOOKUP(O99,'COMISIONES ENERO-MARZO 2025 (2)'!$X:$Y,2,0)</f>
        <v>Septiembre</v>
      </c>
    </row>
    <row r="100" spans="3:17" x14ac:dyDescent="0.35">
      <c r="C100" t="s">
        <v>326</v>
      </c>
      <c r="D100">
        <v>53059501</v>
      </c>
      <c r="E100" t="s">
        <v>327</v>
      </c>
      <c r="F100" s="26">
        <v>251.33</v>
      </c>
      <c r="G100" t="s">
        <v>531</v>
      </c>
      <c r="H100" s="2">
        <v>45581</v>
      </c>
      <c r="I100" t="s">
        <v>532</v>
      </c>
      <c r="J100" t="s">
        <v>533</v>
      </c>
      <c r="K100" t="s">
        <v>534</v>
      </c>
      <c r="M100" t="s">
        <v>59</v>
      </c>
      <c r="O100" s="10">
        <f t="shared" si="2"/>
        <v>10</v>
      </c>
      <c r="P100" s="10">
        <f t="shared" si="3"/>
        <v>2024</v>
      </c>
      <c r="Q100" t="str">
        <f>+VLOOKUP(O100,'COMISIONES ENERO-MARZO 2025 (2)'!$X:$Y,2,0)</f>
        <v>Octubre</v>
      </c>
    </row>
    <row r="101" spans="3:17" x14ac:dyDescent="0.35">
      <c r="C101" t="s">
        <v>326</v>
      </c>
      <c r="D101">
        <v>53059501</v>
      </c>
      <c r="E101" t="s">
        <v>327</v>
      </c>
      <c r="F101" s="26">
        <v>102500</v>
      </c>
      <c r="G101" t="s">
        <v>535</v>
      </c>
      <c r="H101" s="2">
        <v>45581</v>
      </c>
      <c r="I101" t="s">
        <v>536</v>
      </c>
      <c r="J101" t="s">
        <v>536</v>
      </c>
      <c r="K101" t="s">
        <v>19</v>
      </c>
      <c r="M101" t="s">
        <v>59</v>
      </c>
      <c r="O101" s="10">
        <f t="shared" si="2"/>
        <v>10</v>
      </c>
      <c r="P101" s="10">
        <f t="shared" si="3"/>
        <v>2024</v>
      </c>
      <c r="Q101" t="str">
        <f>+VLOOKUP(O101,'COMISIONES ENERO-MARZO 2025 (2)'!$X:$Y,2,0)</f>
        <v>Octubre</v>
      </c>
    </row>
    <row r="102" spans="3:17" x14ac:dyDescent="0.35">
      <c r="C102" t="s">
        <v>326</v>
      </c>
      <c r="D102">
        <v>53059501</v>
      </c>
      <c r="E102" t="s">
        <v>327</v>
      </c>
      <c r="F102" s="26">
        <v>13513.6</v>
      </c>
      <c r="G102" t="s">
        <v>537</v>
      </c>
      <c r="H102" s="2">
        <v>45582</v>
      </c>
      <c r="I102" t="s">
        <v>151</v>
      </c>
      <c r="J102" t="s">
        <v>151</v>
      </c>
      <c r="K102" t="s">
        <v>29</v>
      </c>
      <c r="M102" t="s">
        <v>59</v>
      </c>
      <c r="O102" s="10">
        <f t="shared" si="2"/>
        <v>10</v>
      </c>
      <c r="P102" s="10">
        <f t="shared" si="3"/>
        <v>2024</v>
      </c>
      <c r="Q102" t="str">
        <f>+VLOOKUP(O102,'COMISIONES ENERO-MARZO 2025 (2)'!$X:$Y,2,0)</f>
        <v>Octubre</v>
      </c>
    </row>
    <row r="103" spans="3:17" x14ac:dyDescent="0.35">
      <c r="C103" t="s">
        <v>326</v>
      </c>
      <c r="D103">
        <v>53059501</v>
      </c>
      <c r="E103" t="s">
        <v>327</v>
      </c>
      <c r="F103" s="26">
        <v>195683.84</v>
      </c>
      <c r="G103" t="s">
        <v>538</v>
      </c>
      <c r="H103" s="2">
        <v>45573</v>
      </c>
      <c r="I103" t="s">
        <v>539</v>
      </c>
      <c r="J103" t="s">
        <v>539</v>
      </c>
      <c r="K103" t="s">
        <v>35</v>
      </c>
      <c r="M103" t="s">
        <v>59</v>
      </c>
      <c r="O103" s="10">
        <f t="shared" si="2"/>
        <v>10</v>
      </c>
      <c r="P103" s="10">
        <f t="shared" si="3"/>
        <v>2024</v>
      </c>
      <c r="Q103" t="str">
        <f>+VLOOKUP(O103,'COMISIONES ENERO-MARZO 2025 (2)'!$X:$Y,2,0)</f>
        <v>Octubre</v>
      </c>
    </row>
    <row r="104" spans="3:17" x14ac:dyDescent="0.35">
      <c r="C104" t="s">
        <v>326</v>
      </c>
      <c r="D104">
        <v>53059501</v>
      </c>
      <c r="E104" t="s">
        <v>327</v>
      </c>
      <c r="F104" s="26">
        <v>30921207.16</v>
      </c>
      <c r="G104" t="s">
        <v>540</v>
      </c>
      <c r="H104" s="2">
        <v>45596</v>
      </c>
      <c r="I104" t="s">
        <v>541</v>
      </c>
      <c r="J104" t="s">
        <v>541</v>
      </c>
      <c r="K104" t="s">
        <v>35</v>
      </c>
      <c r="M104" t="s">
        <v>59</v>
      </c>
      <c r="O104" s="10">
        <f t="shared" si="2"/>
        <v>10</v>
      </c>
      <c r="P104" s="10">
        <f t="shared" si="3"/>
        <v>2024</v>
      </c>
      <c r="Q104" t="str">
        <f>+VLOOKUP(O104,'COMISIONES ENERO-MARZO 2025 (2)'!$X:$Y,2,0)</f>
        <v>Octubre</v>
      </c>
    </row>
    <row r="105" spans="3:17" x14ac:dyDescent="0.35">
      <c r="C105" t="s">
        <v>326</v>
      </c>
      <c r="D105">
        <v>53059501</v>
      </c>
      <c r="E105" t="s">
        <v>327</v>
      </c>
      <c r="F105" s="26">
        <v>53236354</v>
      </c>
      <c r="G105" t="s">
        <v>542</v>
      </c>
      <c r="H105" s="2">
        <v>45596</v>
      </c>
      <c r="I105" t="s">
        <v>543</v>
      </c>
      <c r="J105" t="s">
        <v>543</v>
      </c>
      <c r="K105" t="s">
        <v>19</v>
      </c>
      <c r="M105" t="s">
        <v>59</v>
      </c>
      <c r="O105" s="10">
        <f t="shared" si="2"/>
        <v>10</v>
      </c>
      <c r="P105" s="10">
        <f t="shared" si="3"/>
        <v>2024</v>
      </c>
      <c r="Q105" t="str">
        <f>+VLOOKUP(O105,'COMISIONES ENERO-MARZO 2025 (2)'!$X:$Y,2,0)</f>
        <v>Octubre</v>
      </c>
    </row>
    <row r="106" spans="3:17" x14ac:dyDescent="0.35">
      <c r="C106" t="s">
        <v>326</v>
      </c>
      <c r="D106">
        <v>53059501</v>
      </c>
      <c r="E106" t="s">
        <v>327</v>
      </c>
      <c r="F106" s="26">
        <v>83610</v>
      </c>
      <c r="G106" t="s">
        <v>544</v>
      </c>
      <c r="H106" s="2">
        <v>45596</v>
      </c>
      <c r="I106" t="s">
        <v>545</v>
      </c>
      <c r="J106" t="s">
        <v>545</v>
      </c>
      <c r="K106" t="s">
        <v>19</v>
      </c>
      <c r="M106" t="s">
        <v>59</v>
      </c>
      <c r="O106" s="10">
        <f t="shared" si="2"/>
        <v>10</v>
      </c>
      <c r="P106" s="10">
        <f t="shared" si="3"/>
        <v>2024</v>
      </c>
      <c r="Q106" t="str">
        <f>+VLOOKUP(O106,'COMISIONES ENERO-MARZO 2025 (2)'!$X:$Y,2,0)</f>
        <v>Octubre</v>
      </c>
    </row>
    <row r="107" spans="3:17" x14ac:dyDescent="0.35">
      <c r="C107" t="s">
        <v>326</v>
      </c>
      <c r="D107">
        <v>53059501</v>
      </c>
      <c r="E107" t="s">
        <v>327</v>
      </c>
      <c r="F107" s="26">
        <v>104602</v>
      </c>
      <c r="G107" t="s">
        <v>546</v>
      </c>
      <c r="H107" s="2">
        <v>45596</v>
      </c>
      <c r="I107" t="s">
        <v>547</v>
      </c>
      <c r="J107" t="s">
        <v>547</v>
      </c>
      <c r="K107" t="s">
        <v>19</v>
      </c>
      <c r="M107" t="s">
        <v>59</v>
      </c>
      <c r="O107" s="10">
        <f t="shared" si="2"/>
        <v>10</v>
      </c>
      <c r="P107" s="10">
        <f t="shared" si="3"/>
        <v>2024</v>
      </c>
      <c r="Q107" t="str">
        <f>+VLOOKUP(O107,'COMISIONES ENERO-MARZO 2025 (2)'!$X:$Y,2,0)</f>
        <v>Octubre</v>
      </c>
    </row>
    <row r="108" spans="3:17" x14ac:dyDescent="0.35">
      <c r="C108" t="s">
        <v>326</v>
      </c>
      <c r="D108">
        <v>53059501</v>
      </c>
      <c r="E108" t="s">
        <v>327</v>
      </c>
      <c r="F108" s="26">
        <v>3784793.28</v>
      </c>
      <c r="G108" t="s">
        <v>548</v>
      </c>
      <c r="H108" s="2">
        <v>45596</v>
      </c>
      <c r="I108" t="s">
        <v>549</v>
      </c>
      <c r="J108" t="s">
        <v>549</v>
      </c>
      <c r="K108" t="s">
        <v>35</v>
      </c>
      <c r="M108" t="s">
        <v>59</v>
      </c>
      <c r="O108" s="10">
        <f t="shared" si="2"/>
        <v>10</v>
      </c>
      <c r="P108" s="10">
        <f t="shared" si="3"/>
        <v>2024</v>
      </c>
      <c r="Q108" t="str">
        <f>+VLOOKUP(O108,'COMISIONES ENERO-MARZO 2025 (2)'!$X:$Y,2,0)</f>
        <v>Octubre</v>
      </c>
    </row>
    <row r="109" spans="3:17" x14ac:dyDescent="0.35">
      <c r="C109" t="s">
        <v>326</v>
      </c>
      <c r="D109">
        <v>53059501</v>
      </c>
      <c r="E109" t="s">
        <v>327</v>
      </c>
      <c r="F109" s="26">
        <v>3355510.14</v>
      </c>
      <c r="G109" t="s">
        <v>550</v>
      </c>
      <c r="H109" s="2">
        <v>45596</v>
      </c>
      <c r="I109" t="s">
        <v>551</v>
      </c>
      <c r="J109" t="s">
        <v>551</v>
      </c>
      <c r="K109" t="s">
        <v>42</v>
      </c>
      <c r="M109" t="s">
        <v>59</v>
      </c>
      <c r="O109" s="10">
        <f t="shared" si="2"/>
        <v>10</v>
      </c>
      <c r="P109" s="10">
        <f t="shared" si="3"/>
        <v>2024</v>
      </c>
      <c r="Q109" t="str">
        <f>+VLOOKUP(O109,'COMISIONES ENERO-MARZO 2025 (2)'!$X:$Y,2,0)</f>
        <v>Octubre</v>
      </c>
    </row>
    <row r="110" spans="3:17" x14ac:dyDescent="0.35">
      <c r="C110" t="s">
        <v>326</v>
      </c>
      <c r="D110">
        <v>53059501</v>
      </c>
      <c r="E110" t="s">
        <v>327</v>
      </c>
      <c r="F110" s="26">
        <v>37536.32</v>
      </c>
      <c r="G110" t="s">
        <v>552</v>
      </c>
      <c r="H110" s="2">
        <v>45596</v>
      </c>
      <c r="I110" t="s">
        <v>553</v>
      </c>
      <c r="J110" t="s">
        <v>553</v>
      </c>
      <c r="K110" t="s">
        <v>29</v>
      </c>
      <c r="M110" t="s">
        <v>59</v>
      </c>
      <c r="O110" s="10">
        <f t="shared" si="2"/>
        <v>10</v>
      </c>
      <c r="P110" s="10">
        <f t="shared" si="3"/>
        <v>2024</v>
      </c>
      <c r="Q110" t="str">
        <f>+VLOOKUP(O110,'COMISIONES ENERO-MARZO 2025 (2)'!$X:$Y,2,0)</f>
        <v>Octubre</v>
      </c>
    </row>
    <row r="111" spans="3:17" x14ac:dyDescent="0.35">
      <c r="C111" t="s">
        <v>326</v>
      </c>
      <c r="D111">
        <v>53059501</v>
      </c>
      <c r="E111" t="s">
        <v>327</v>
      </c>
      <c r="F111" s="26">
        <v>30181815.789999999</v>
      </c>
      <c r="G111" t="s">
        <v>554</v>
      </c>
      <c r="H111" s="2">
        <v>45626</v>
      </c>
      <c r="I111" t="s">
        <v>555</v>
      </c>
      <c r="J111" t="s">
        <v>555</v>
      </c>
      <c r="K111" t="s">
        <v>35</v>
      </c>
      <c r="M111" t="s">
        <v>59</v>
      </c>
      <c r="O111" s="10">
        <f t="shared" si="2"/>
        <v>11</v>
      </c>
      <c r="P111" s="10">
        <f t="shared" si="3"/>
        <v>2024</v>
      </c>
      <c r="Q111" t="str">
        <f>+VLOOKUP(O111,'COMISIONES ENERO-MARZO 2025 (2)'!$X:$Y,2,0)</f>
        <v>Noviembre</v>
      </c>
    </row>
    <row r="112" spans="3:17" x14ac:dyDescent="0.35">
      <c r="C112" t="s">
        <v>326</v>
      </c>
      <c r="D112">
        <v>53059501</v>
      </c>
      <c r="E112" t="s">
        <v>327</v>
      </c>
      <c r="F112" s="26">
        <v>41557909</v>
      </c>
      <c r="G112" t="s">
        <v>556</v>
      </c>
      <c r="H112" s="2">
        <v>45626</v>
      </c>
      <c r="I112" t="s">
        <v>557</v>
      </c>
      <c r="J112" t="s">
        <v>557</v>
      </c>
      <c r="K112" t="s">
        <v>19</v>
      </c>
      <c r="M112" t="s">
        <v>59</v>
      </c>
      <c r="O112" s="10">
        <f t="shared" si="2"/>
        <v>11</v>
      </c>
      <c r="P112" s="10">
        <f t="shared" si="3"/>
        <v>2024</v>
      </c>
      <c r="Q112" t="str">
        <f>+VLOOKUP(O112,'COMISIONES ENERO-MARZO 2025 (2)'!$X:$Y,2,0)</f>
        <v>Noviembre</v>
      </c>
    </row>
    <row r="113" spans="3:17" x14ac:dyDescent="0.35">
      <c r="C113" t="s">
        <v>326</v>
      </c>
      <c r="D113">
        <v>53059501</v>
      </c>
      <c r="E113" t="s">
        <v>327</v>
      </c>
      <c r="F113" s="26">
        <v>45454</v>
      </c>
      <c r="G113" t="s">
        <v>558</v>
      </c>
      <c r="H113" s="2">
        <v>45626</v>
      </c>
      <c r="I113" t="s">
        <v>559</v>
      </c>
      <c r="J113" t="s">
        <v>559</v>
      </c>
      <c r="K113" t="s">
        <v>19</v>
      </c>
      <c r="M113" t="s">
        <v>59</v>
      </c>
      <c r="O113" s="10">
        <f t="shared" si="2"/>
        <v>11</v>
      </c>
      <c r="P113" s="10">
        <f t="shared" si="3"/>
        <v>2024</v>
      </c>
      <c r="Q113" t="str">
        <f>+VLOOKUP(O113,'COMISIONES ENERO-MARZO 2025 (2)'!$X:$Y,2,0)</f>
        <v>Noviembre</v>
      </c>
    </row>
    <row r="114" spans="3:17" x14ac:dyDescent="0.35">
      <c r="C114" t="s">
        <v>326</v>
      </c>
      <c r="D114">
        <v>53059501</v>
      </c>
      <c r="E114" t="s">
        <v>327</v>
      </c>
      <c r="F114" s="26">
        <v>54990</v>
      </c>
      <c r="G114" t="s">
        <v>560</v>
      </c>
      <c r="H114" s="2">
        <v>45626</v>
      </c>
      <c r="I114" t="s">
        <v>561</v>
      </c>
      <c r="J114" t="s">
        <v>561</v>
      </c>
      <c r="K114" t="s">
        <v>19</v>
      </c>
      <c r="M114" t="s">
        <v>59</v>
      </c>
      <c r="O114" s="10">
        <f t="shared" si="2"/>
        <v>11</v>
      </c>
      <c r="P114" s="10">
        <f t="shared" si="3"/>
        <v>2024</v>
      </c>
      <c r="Q114" t="str">
        <f>+VLOOKUP(O114,'COMISIONES ENERO-MARZO 2025 (2)'!$X:$Y,2,0)</f>
        <v>Noviembre</v>
      </c>
    </row>
    <row r="115" spans="3:17" x14ac:dyDescent="0.35">
      <c r="C115" t="s">
        <v>326</v>
      </c>
      <c r="D115">
        <v>53059501</v>
      </c>
      <c r="E115" t="s">
        <v>327</v>
      </c>
      <c r="F115" s="26">
        <v>30172.52</v>
      </c>
      <c r="G115" t="s">
        <v>562</v>
      </c>
      <c r="H115" s="2">
        <v>45626</v>
      </c>
      <c r="I115" t="s">
        <v>563</v>
      </c>
      <c r="J115" t="s">
        <v>563</v>
      </c>
      <c r="K115" t="s">
        <v>29</v>
      </c>
      <c r="M115" t="s">
        <v>59</v>
      </c>
      <c r="O115" s="10">
        <f t="shared" si="2"/>
        <v>11</v>
      </c>
      <c r="P115" s="10">
        <f t="shared" si="3"/>
        <v>2024</v>
      </c>
      <c r="Q115" t="str">
        <f>+VLOOKUP(O115,'COMISIONES ENERO-MARZO 2025 (2)'!$X:$Y,2,0)</f>
        <v>Noviembre</v>
      </c>
    </row>
    <row r="116" spans="3:17" x14ac:dyDescent="0.35">
      <c r="C116" t="s">
        <v>326</v>
      </c>
      <c r="D116">
        <v>53059501</v>
      </c>
      <c r="E116" t="s">
        <v>327</v>
      </c>
      <c r="F116" s="26">
        <v>3780899.1</v>
      </c>
      <c r="G116" t="s">
        <v>564</v>
      </c>
      <c r="H116" s="2">
        <v>45626</v>
      </c>
      <c r="I116" t="s">
        <v>565</v>
      </c>
      <c r="J116" t="s">
        <v>565</v>
      </c>
      <c r="K116" t="s">
        <v>44</v>
      </c>
      <c r="M116" t="s">
        <v>59</v>
      </c>
      <c r="O116" s="10">
        <f t="shared" si="2"/>
        <v>11</v>
      </c>
      <c r="P116" s="10">
        <f t="shared" si="3"/>
        <v>2024</v>
      </c>
      <c r="Q116" t="str">
        <f>+VLOOKUP(O116,'COMISIONES ENERO-MARZO 2025 (2)'!$X:$Y,2,0)</f>
        <v>Noviembre</v>
      </c>
    </row>
    <row r="117" spans="3:17" x14ac:dyDescent="0.35">
      <c r="C117" t="s">
        <v>326</v>
      </c>
      <c r="D117">
        <v>53059501</v>
      </c>
      <c r="E117" t="s">
        <v>327</v>
      </c>
      <c r="F117" s="26">
        <v>9963457.4000000004</v>
      </c>
      <c r="G117" t="s">
        <v>566</v>
      </c>
      <c r="H117" s="2">
        <v>45626</v>
      </c>
      <c r="I117" t="s">
        <v>567</v>
      </c>
      <c r="J117" t="s">
        <v>567</v>
      </c>
      <c r="K117" t="s">
        <v>25</v>
      </c>
      <c r="M117" t="s">
        <v>59</v>
      </c>
      <c r="O117" s="10">
        <f t="shared" si="2"/>
        <v>11</v>
      </c>
      <c r="P117" s="10">
        <f t="shared" si="3"/>
        <v>2024</v>
      </c>
      <c r="Q117" t="str">
        <f>+VLOOKUP(O117,'COMISIONES ENERO-MARZO 2025 (2)'!$X:$Y,2,0)</f>
        <v>Noviembre</v>
      </c>
    </row>
    <row r="118" spans="3:17" x14ac:dyDescent="0.35">
      <c r="C118" t="s">
        <v>326</v>
      </c>
      <c r="D118">
        <v>53059501</v>
      </c>
      <c r="E118" t="s">
        <v>327</v>
      </c>
      <c r="F118" s="26">
        <v>74513.429999999993</v>
      </c>
      <c r="G118" t="s">
        <v>568</v>
      </c>
      <c r="H118" s="2">
        <v>45626</v>
      </c>
      <c r="I118" t="s">
        <v>569</v>
      </c>
      <c r="J118" t="s">
        <v>569</v>
      </c>
      <c r="K118" t="s">
        <v>29</v>
      </c>
      <c r="M118" t="s">
        <v>59</v>
      </c>
      <c r="O118" s="10">
        <f t="shared" si="2"/>
        <v>11</v>
      </c>
      <c r="P118" s="10">
        <f t="shared" si="3"/>
        <v>2024</v>
      </c>
      <c r="Q118" t="str">
        <f>+VLOOKUP(O118,'COMISIONES ENERO-MARZO 2025 (2)'!$X:$Y,2,0)</f>
        <v>Noviembre</v>
      </c>
    </row>
    <row r="119" spans="3:17" x14ac:dyDescent="0.35">
      <c r="C119" t="s">
        <v>326</v>
      </c>
      <c r="D119">
        <v>53059501</v>
      </c>
      <c r="E119" t="s">
        <v>327</v>
      </c>
      <c r="F119" s="26">
        <v>3706292.79</v>
      </c>
      <c r="G119" t="s">
        <v>570</v>
      </c>
      <c r="H119" s="2">
        <v>45656</v>
      </c>
      <c r="I119" t="s">
        <v>571</v>
      </c>
      <c r="J119" t="s">
        <v>572</v>
      </c>
      <c r="K119" t="s">
        <v>44</v>
      </c>
      <c r="M119" t="s">
        <v>59</v>
      </c>
      <c r="O119" s="10">
        <f t="shared" si="2"/>
        <v>12</v>
      </c>
      <c r="P119" s="10">
        <f t="shared" si="3"/>
        <v>2024</v>
      </c>
      <c r="Q119" t="str">
        <f>+VLOOKUP(O119,'COMISIONES ENERO-MARZO 2025 (2)'!$X:$Y,2,0)</f>
        <v>Diciembre</v>
      </c>
    </row>
    <row r="120" spans="3:17" x14ac:dyDescent="0.35">
      <c r="C120" t="s">
        <v>326</v>
      </c>
      <c r="D120">
        <v>53059501</v>
      </c>
      <c r="E120" t="s">
        <v>327</v>
      </c>
      <c r="F120" s="26">
        <v>87111</v>
      </c>
      <c r="G120" t="s">
        <v>573</v>
      </c>
      <c r="H120" s="2">
        <v>45657</v>
      </c>
      <c r="I120" t="s">
        <v>574</v>
      </c>
      <c r="J120" t="s">
        <v>575</v>
      </c>
      <c r="K120" t="s">
        <v>19</v>
      </c>
      <c r="M120" t="s">
        <v>59</v>
      </c>
      <c r="O120" s="10">
        <f t="shared" si="2"/>
        <v>12</v>
      </c>
      <c r="P120" s="10">
        <f t="shared" si="3"/>
        <v>2024</v>
      </c>
      <c r="Q120" t="str">
        <f>+VLOOKUP(O120,'COMISIONES ENERO-MARZO 2025 (2)'!$X:$Y,2,0)</f>
        <v>Diciembre</v>
      </c>
    </row>
    <row r="121" spans="3:17" x14ac:dyDescent="0.35">
      <c r="C121" t="s">
        <v>326</v>
      </c>
      <c r="D121">
        <v>53059501</v>
      </c>
      <c r="E121" t="s">
        <v>327</v>
      </c>
      <c r="F121" s="26">
        <v>98033</v>
      </c>
      <c r="G121" t="s">
        <v>573</v>
      </c>
      <c r="H121" s="2">
        <v>45657</v>
      </c>
      <c r="I121" t="s">
        <v>576</v>
      </c>
      <c r="J121" t="s">
        <v>575</v>
      </c>
      <c r="K121" t="s">
        <v>19</v>
      </c>
      <c r="M121" t="s">
        <v>59</v>
      </c>
      <c r="O121" s="10">
        <f t="shared" si="2"/>
        <v>12</v>
      </c>
      <c r="P121" s="10">
        <f t="shared" si="3"/>
        <v>2024</v>
      </c>
      <c r="Q121" t="str">
        <f>+VLOOKUP(O121,'COMISIONES ENERO-MARZO 2025 (2)'!$X:$Y,2,0)</f>
        <v>Diciembre</v>
      </c>
    </row>
    <row r="122" spans="3:17" x14ac:dyDescent="0.35">
      <c r="C122" t="s">
        <v>326</v>
      </c>
      <c r="D122">
        <v>53059501</v>
      </c>
      <c r="E122" t="s">
        <v>327</v>
      </c>
      <c r="F122" s="26">
        <v>41102832</v>
      </c>
      <c r="G122" t="s">
        <v>573</v>
      </c>
      <c r="H122" s="2">
        <v>45657</v>
      </c>
      <c r="I122" t="s">
        <v>575</v>
      </c>
      <c r="J122" t="s">
        <v>575</v>
      </c>
      <c r="K122" t="s">
        <v>19</v>
      </c>
      <c r="M122" t="s">
        <v>59</v>
      </c>
      <c r="O122" s="10">
        <f t="shared" si="2"/>
        <v>12</v>
      </c>
      <c r="P122" s="10">
        <f t="shared" si="3"/>
        <v>2024</v>
      </c>
      <c r="Q122" t="str">
        <f>+VLOOKUP(O122,'COMISIONES ENERO-MARZO 2025 (2)'!$X:$Y,2,0)</f>
        <v>Diciembre</v>
      </c>
    </row>
    <row r="123" spans="3:17" x14ac:dyDescent="0.35">
      <c r="C123" t="s">
        <v>326</v>
      </c>
      <c r="D123">
        <v>53059501</v>
      </c>
      <c r="E123" t="s">
        <v>327</v>
      </c>
      <c r="F123" s="26">
        <v>36472147.509999998</v>
      </c>
      <c r="G123" t="s">
        <v>577</v>
      </c>
      <c r="H123" s="2">
        <v>45657</v>
      </c>
      <c r="I123" t="s">
        <v>578</v>
      </c>
      <c r="J123" t="s">
        <v>578</v>
      </c>
      <c r="K123" t="s">
        <v>25</v>
      </c>
      <c r="M123" t="s">
        <v>59</v>
      </c>
      <c r="O123" s="10">
        <f t="shared" si="2"/>
        <v>12</v>
      </c>
      <c r="P123" s="10">
        <f t="shared" si="3"/>
        <v>2024</v>
      </c>
      <c r="Q123" t="str">
        <f>+VLOOKUP(O123,'COMISIONES ENERO-MARZO 2025 (2)'!$X:$Y,2,0)</f>
        <v>Diciembre</v>
      </c>
    </row>
    <row r="124" spans="3:17" x14ac:dyDescent="0.35">
      <c r="C124" t="s">
        <v>326</v>
      </c>
      <c r="D124">
        <v>53059501</v>
      </c>
      <c r="E124" t="s">
        <v>327</v>
      </c>
      <c r="F124" s="26">
        <v>34813561.18</v>
      </c>
      <c r="G124" t="s">
        <v>579</v>
      </c>
      <c r="H124" s="2">
        <v>45656</v>
      </c>
      <c r="I124" t="s">
        <v>580</v>
      </c>
      <c r="J124" t="s">
        <v>580</v>
      </c>
      <c r="K124" t="s">
        <v>35</v>
      </c>
      <c r="M124" t="s">
        <v>59</v>
      </c>
      <c r="O124" s="10">
        <f t="shared" si="2"/>
        <v>12</v>
      </c>
      <c r="P124" s="10">
        <f t="shared" si="3"/>
        <v>2024</v>
      </c>
      <c r="Q124" t="str">
        <f>+VLOOKUP(O124,'COMISIONES ENERO-MARZO 2025 (2)'!$X:$Y,2,0)</f>
        <v>Diciembre</v>
      </c>
    </row>
    <row r="125" spans="3:17" x14ac:dyDescent="0.35">
      <c r="C125" t="s">
        <v>326</v>
      </c>
      <c r="D125">
        <v>53059501</v>
      </c>
      <c r="E125" t="s">
        <v>327</v>
      </c>
      <c r="F125" s="26">
        <v>-7512.41</v>
      </c>
      <c r="G125" t="s">
        <v>581</v>
      </c>
      <c r="H125" s="2">
        <v>45657</v>
      </c>
      <c r="I125" t="s">
        <v>582</v>
      </c>
      <c r="J125" t="s">
        <v>582</v>
      </c>
      <c r="K125" t="s">
        <v>19</v>
      </c>
      <c r="M125" t="s">
        <v>59</v>
      </c>
      <c r="O125" s="10">
        <f t="shared" si="2"/>
        <v>12</v>
      </c>
      <c r="P125" s="10">
        <f t="shared" si="3"/>
        <v>2024</v>
      </c>
      <c r="Q125" t="str">
        <f>+VLOOKUP(O125,'COMISIONES ENERO-MARZO 2025 (2)'!$X:$Y,2,0)</f>
        <v>Diciembre</v>
      </c>
    </row>
    <row r="126" spans="3:17" x14ac:dyDescent="0.35">
      <c r="C126" t="s">
        <v>326</v>
      </c>
      <c r="D126">
        <v>53059501</v>
      </c>
      <c r="E126" t="s">
        <v>327</v>
      </c>
      <c r="F126" s="26">
        <v>80.209999999999994</v>
      </c>
      <c r="G126" t="s">
        <v>581</v>
      </c>
      <c r="H126" s="2">
        <v>45657</v>
      </c>
      <c r="I126" t="s">
        <v>583</v>
      </c>
      <c r="J126" t="s">
        <v>582</v>
      </c>
      <c r="K126" t="s">
        <v>19</v>
      </c>
      <c r="M126" t="s">
        <v>59</v>
      </c>
      <c r="O126" s="10">
        <f t="shared" si="2"/>
        <v>12</v>
      </c>
      <c r="P126" s="10">
        <f t="shared" si="3"/>
        <v>2024</v>
      </c>
      <c r="Q126" t="str">
        <f>+VLOOKUP(O126,'COMISIONES ENERO-MARZO 2025 (2)'!$X:$Y,2,0)</f>
        <v>Diciembre</v>
      </c>
    </row>
    <row r="127" spans="3:17" x14ac:dyDescent="0.35">
      <c r="C127" t="s">
        <v>326</v>
      </c>
      <c r="D127">
        <v>53059501</v>
      </c>
      <c r="E127" t="s">
        <v>327</v>
      </c>
      <c r="F127" s="26">
        <v>-298</v>
      </c>
      <c r="G127" t="s">
        <v>581</v>
      </c>
      <c r="H127" s="2">
        <v>45657</v>
      </c>
      <c r="I127" t="s">
        <v>584</v>
      </c>
      <c r="J127" t="s">
        <v>582</v>
      </c>
      <c r="K127" t="s">
        <v>19</v>
      </c>
      <c r="M127" t="s">
        <v>59</v>
      </c>
      <c r="O127" s="10">
        <f t="shared" si="2"/>
        <v>12</v>
      </c>
      <c r="P127" s="10">
        <f t="shared" si="3"/>
        <v>2024</v>
      </c>
      <c r="Q127" t="str">
        <f>+VLOOKUP(O127,'COMISIONES ENERO-MARZO 2025 (2)'!$X:$Y,2,0)</f>
        <v>Diciembre</v>
      </c>
    </row>
    <row r="128" spans="3:17" x14ac:dyDescent="0.35">
      <c r="C128" t="s">
        <v>326</v>
      </c>
      <c r="D128">
        <v>53059501</v>
      </c>
      <c r="E128" t="s">
        <v>327</v>
      </c>
      <c r="F128" s="26">
        <v>41576257.140000001</v>
      </c>
      <c r="G128" t="s">
        <v>585</v>
      </c>
      <c r="H128" s="2">
        <v>45657</v>
      </c>
      <c r="I128" t="s">
        <v>27</v>
      </c>
      <c r="J128" t="s">
        <v>586</v>
      </c>
      <c r="K128" t="s">
        <v>29</v>
      </c>
      <c r="M128" t="s">
        <v>59</v>
      </c>
      <c r="O128" s="10">
        <f t="shared" si="2"/>
        <v>12</v>
      </c>
      <c r="P128" s="10">
        <f t="shared" si="3"/>
        <v>2024</v>
      </c>
      <c r="Q128" t="str">
        <f>+VLOOKUP(O128,'COMISIONES ENERO-MARZO 2025 (2)'!$X:$Y,2,0)</f>
        <v>Diciembre</v>
      </c>
    </row>
    <row r="129" spans="3:17" x14ac:dyDescent="0.35">
      <c r="C129" t="s">
        <v>326</v>
      </c>
      <c r="D129">
        <v>53059501</v>
      </c>
      <c r="E129" t="s">
        <v>327</v>
      </c>
      <c r="F129" s="26">
        <v>84427.01</v>
      </c>
      <c r="G129" t="s">
        <v>585</v>
      </c>
      <c r="H129" s="2">
        <v>45657</v>
      </c>
      <c r="I129" t="s">
        <v>30</v>
      </c>
      <c r="J129" t="s">
        <v>586</v>
      </c>
      <c r="K129" t="s">
        <v>29</v>
      </c>
      <c r="M129" t="s">
        <v>59</v>
      </c>
      <c r="O129" s="10">
        <f t="shared" si="2"/>
        <v>12</v>
      </c>
      <c r="P129" s="10">
        <f t="shared" si="3"/>
        <v>2024</v>
      </c>
      <c r="Q129" t="str">
        <f>+VLOOKUP(O129,'COMISIONES ENERO-MARZO 2025 (2)'!$X:$Y,2,0)</f>
        <v>Diciembre</v>
      </c>
    </row>
    <row r="130" spans="3:17" x14ac:dyDescent="0.35">
      <c r="C130" t="s">
        <v>326</v>
      </c>
      <c r="D130">
        <v>53059501</v>
      </c>
      <c r="E130" t="s">
        <v>327</v>
      </c>
      <c r="F130" s="26">
        <v>2769832.85</v>
      </c>
      <c r="G130" t="s">
        <v>585</v>
      </c>
      <c r="H130" s="2">
        <v>45657</v>
      </c>
      <c r="I130" t="s">
        <v>23</v>
      </c>
      <c r="J130" t="s">
        <v>586</v>
      </c>
      <c r="K130" t="s">
        <v>25</v>
      </c>
      <c r="M130" t="s">
        <v>59</v>
      </c>
      <c r="O130" s="10">
        <f t="shared" si="2"/>
        <v>12</v>
      </c>
      <c r="P130" s="10">
        <f t="shared" si="3"/>
        <v>2024</v>
      </c>
      <c r="Q130" t="str">
        <f>+VLOOKUP(O130,'COMISIONES ENERO-MARZO 2025 (2)'!$X:$Y,2,0)</f>
        <v>Diciembre</v>
      </c>
    </row>
    <row r="131" spans="3:17" x14ac:dyDescent="0.35">
      <c r="C131" t="s">
        <v>326</v>
      </c>
      <c r="D131">
        <v>53059501</v>
      </c>
      <c r="E131" t="s">
        <v>327</v>
      </c>
      <c r="F131" s="26">
        <v>3721959.3</v>
      </c>
      <c r="G131" t="s">
        <v>83</v>
      </c>
      <c r="H131" s="2">
        <v>45688</v>
      </c>
      <c r="I131" t="s">
        <v>587</v>
      </c>
      <c r="J131" t="s">
        <v>85</v>
      </c>
      <c r="K131" t="s">
        <v>44</v>
      </c>
      <c r="M131" t="s">
        <v>59</v>
      </c>
      <c r="O131" s="10">
        <f t="shared" ref="O131:O194" si="4">+MONTH(H131)</f>
        <v>1</v>
      </c>
      <c r="P131" s="10">
        <f t="shared" ref="P131:P194" si="5">+YEAR(H131)</f>
        <v>2025</v>
      </c>
      <c r="Q131" t="str">
        <f>+VLOOKUP(O131,'COMISIONES ENERO-MARZO 2025 (2)'!$X:$Y,2,0)</f>
        <v>Enero</v>
      </c>
    </row>
    <row r="132" spans="3:17" x14ac:dyDescent="0.35">
      <c r="C132" t="s">
        <v>326</v>
      </c>
      <c r="D132">
        <v>53059501</v>
      </c>
      <c r="E132" t="s">
        <v>327</v>
      </c>
      <c r="F132" s="26">
        <v>64190410</v>
      </c>
      <c r="G132" t="s">
        <v>88</v>
      </c>
      <c r="H132" s="2">
        <v>45688</v>
      </c>
      <c r="I132" t="s">
        <v>89</v>
      </c>
      <c r="J132" t="s">
        <v>89</v>
      </c>
      <c r="K132" t="s">
        <v>19</v>
      </c>
      <c r="M132" t="s">
        <v>59</v>
      </c>
      <c r="O132" s="10">
        <f t="shared" si="4"/>
        <v>1</v>
      </c>
      <c r="P132" s="10">
        <f t="shared" si="5"/>
        <v>2025</v>
      </c>
      <c r="Q132" t="str">
        <f>+VLOOKUP(O132,'COMISIONES ENERO-MARZO 2025 (2)'!$X:$Y,2,0)</f>
        <v>Enero</v>
      </c>
    </row>
    <row r="133" spans="3:17" x14ac:dyDescent="0.35">
      <c r="C133" t="s">
        <v>326</v>
      </c>
      <c r="D133">
        <v>53059501</v>
      </c>
      <c r="E133" t="s">
        <v>327</v>
      </c>
      <c r="F133" s="26">
        <v>94179</v>
      </c>
      <c r="G133" t="s">
        <v>588</v>
      </c>
      <c r="H133" s="2">
        <v>45688</v>
      </c>
      <c r="I133" t="s">
        <v>589</v>
      </c>
      <c r="J133" t="s">
        <v>589</v>
      </c>
      <c r="K133" t="s">
        <v>19</v>
      </c>
      <c r="M133" t="s">
        <v>59</v>
      </c>
      <c r="O133" s="10">
        <f t="shared" si="4"/>
        <v>1</v>
      </c>
      <c r="P133" s="10">
        <f t="shared" si="5"/>
        <v>2025</v>
      </c>
      <c r="Q133" t="str">
        <f>+VLOOKUP(O133,'COMISIONES ENERO-MARZO 2025 (2)'!$X:$Y,2,0)</f>
        <v>Enero</v>
      </c>
    </row>
    <row r="134" spans="3:17" x14ac:dyDescent="0.35">
      <c r="C134" t="s">
        <v>326</v>
      </c>
      <c r="D134">
        <v>53059501</v>
      </c>
      <c r="E134" t="s">
        <v>327</v>
      </c>
      <c r="F134" s="26">
        <v>44182984.859999999</v>
      </c>
      <c r="G134" t="s">
        <v>90</v>
      </c>
      <c r="H134" s="2">
        <v>45688</v>
      </c>
      <c r="I134" t="s">
        <v>91</v>
      </c>
      <c r="J134" t="s">
        <v>91</v>
      </c>
      <c r="K134" t="s">
        <v>29</v>
      </c>
      <c r="M134" t="s">
        <v>59</v>
      </c>
      <c r="O134" s="10">
        <f t="shared" si="4"/>
        <v>1</v>
      </c>
      <c r="P134" s="10">
        <f t="shared" si="5"/>
        <v>2025</v>
      </c>
      <c r="Q134" t="str">
        <f>+VLOOKUP(O134,'COMISIONES ENERO-MARZO 2025 (2)'!$X:$Y,2,0)</f>
        <v>Enero</v>
      </c>
    </row>
    <row r="135" spans="3:17" x14ac:dyDescent="0.35">
      <c r="C135" t="s">
        <v>326</v>
      </c>
      <c r="D135">
        <v>53059501</v>
      </c>
      <c r="E135" t="s">
        <v>327</v>
      </c>
      <c r="F135" s="26">
        <v>52136.78</v>
      </c>
      <c r="G135" t="s">
        <v>590</v>
      </c>
      <c r="H135" s="2">
        <v>45688</v>
      </c>
      <c r="I135" t="s">
        <v>591</v>
      </c>
      <c r="J135" t="s">
        <v>591</v>
      </c>
      <c r="K135" t="s">
        <v>29</v>
      </c>
      <c r="M135" t="s">
        <v>59</v>
      </c>
      <c r="O135" s="10">
        <f t="shared" si="4"/>
        <v>1</v>
      </c>
      <c r="P135" s="10">
        <f t="shared" si="5"/>
        <v>2025</v>
      </c>
      <c r="Q135" t="str">
        <f>+VLOOKUP(O135,'COMISIONES ENERO-MARZO 2025 (2)'!$X:$Y,2,0)</f>
        <v>Enero</v>
      </c>
    </row>
    <row r="136" spans="3:17" x14ac:dyDescent="0.35">
      <c r="C136" t="s">
        <v>326</v>
      </c>
      <c r="D136">
        <v>53059501</v>
      </c>
      <c r="E136" t="s">
        <v>327</v>
      </c>
      <c r="F136" s="26">
        <v>13104373.1</v>
      </c>
      <c r="G136" t="s">
        <v>92</v>
      </c>
      <c r="H136" s="2">
        <v>45674</v>
      </c>
      <c r="I136" t="s">
        <v>93</v>
      </c>
      <c r="J136" t="s">
        <v>93</v>
      </c>
      <c r="K136" t="s">
        <v>25</v>
      </c>
      <c r="M136" t="s">
        <v>59</v>
      </c>
      <c r="O136" s="10">
        <f t="shared" si="4"/>
        <v>1</v>
      </c>
      <c r="P136" s="10">
        <f t="shared" si="5"/>
        <v>2025</v>
      </c>
      <c r="Q136" t="str">
        <f>+VLOOKUP(O136,'COMISIONES ENERO-MARZO 2025 (2)'!$X:$Y,2,0)</f>
        <v>Enero</v>
      </c>
    </row>
    <row r="137" spans="3:17" x14ac:dyDescent="0.35">
      <c r="C137" t="s">
        <v>326</v>
      </c>
      <c r="D137">
        <v>53059501</v>
      </c>
      <c r="E137" t="s">
        <v>327</v>
      </c>
      <c r="F137" s="26">
        <v>32634414.129999999</v>
      </c>
      <c r="G137" t="s">
        <v>94</v>
      </c>
      <c r="H137" s="2">
        <v>45688</v>
      </c>
      <c r="I137" t="s">
        <v>95</v>
      </c>
      <c r="J137" t="s">
        <v>95</v>
      </c>
      <c r="K137" t="s">
        <v>35</v>
      </c>
      <c r="M137" t="s">
        <v>59</v>
      </c>
      <c r="O137" s="10">
        <f t="shared" si="4"/>
        <v>1</v>
      </c>
      <c r="P137" s="10">
        <f t="shared" si="5"/>
        <v>2025</v>
      </c>
      <c r="Q137" t="str">
        <f>+VLOOKUP(O137,'COMISIONES ENERO-MARZO 2025 (2)'!$X:$Y,2,0)</f>
        <v>Enero</v>
      </c>
    </row>
    <row r="138" spans="3:17" x14ac:dyDescent="0.35">
      <c r="C138" t="s">
        <v>326</v>
      </c>
      <c r="D138">
        <v>53059501</v>
      </c>
      <c r="E138" t="s">
        <v>327</v>
      </c>
      <c r="F138" s="26">
        <v>112904</v>
      </c>
      <c r="G138" t="s">
        <v>96</v>
      </c>
      <c r="H138" s="2">
        <v>45688</v>
      </c>
      <c r="I138" t="s">
        <v>97</v>
      </c>
      <c r="J138" t="s">
        <v>97</v>
      </c>
      <c r="K138" t="s">
        <v>19</v>
      </c>
      <c r="M138" t="s">
        <v>59</v>
      </c>
      <c r="O138" s="10">
        <f t="shared" si="4"/>
        <v>1</v>
      </c>
      <c r="P138" s="10">
        <f t="shared" si="5"/>
        <v>2025</v>
      </c>
      <c r="Q138" t="str">
        <f>+VLOOKUP(O138,'COMISIONES ENERO-MARZO 2025 (2)'!$X:$Y,2,0)</f>
        <v>Enero</v>
      </c>
    </row>
    <row r="139" spans="3:17" x14ac:dyDescent="0.35">
      <c r="C139" t="s">
        <v>326</v>
      </c>
      <c r="D139">
        <v>53059501</v>
      </c>
      <c r="E139" t="s">
        <v>327</v>
      </c>
      <c r="F139" s="26">
        <v>76548</v>
      </c>
      <c r="G139" t="s">
        <v>592</v>
      </c>
      <c r="H139" s="2">
        <v>45716</v>
      </c>
      <c r="I139" t="s">
        <v>593</v>
      </c>
      <c r="J139" t="s">
        <v>593</v>
      </c>
      <c r="K139" t="s">
        <v>19</v>
      </c>
      <c r="M139" t="s">
        <v>59</v>
      </c>
      <c r="O139" s="10">
        <f t="shared" si="4"/>
        <v>2</v>
      </c>
      <c r="P139" s="10">
        <f t="shared" si="5"/>
        <v>2025</v>
      </c>
      <c r="Q139" t="str">
        <f>+VLOOKUP(O139,'COMISIONES ENERO-MARZO 2025 (2)'!$X:$Y,2,0)</f>
        <v>Febrero</v>
      </c>
    </row>
    <row r="140" spans="3:17" x14ac:dyDescent="0.35">
      <c r="C140" t="s">
        <v>326</v>
      </c>
      <c r="D140">
        <v>53059501</v>
      </c>
      <c r="E140" t="s">
        <v>327</v>
      </c>
      <c r="F140" s="26">
        <v>58460</v>
      </c>
      <c r="G140" t="s">
        <v>106</v>
      </c>
      <c r="H140" s="2">
        <v>45716</v>
      </c>
      <c r="I140" t="s">
        <v>107</v>
      </c>
      <c r="J140" t="s">
        <v>107</v>
      </c>
      <c r="K140" t="s">
        <v>19</v>
      </c>
      <c r="M140" t="s">
        <v>59</v>
      </c>
      <c r="O140" s="10">
        <f t="shared" si="4"/>
        <v>2</v>
      </c>
      <c r="P140" s="10">
        <f t="shared" si="5"/>
        <v>2025</v>
      </c>
      <c r="Q140" t="str">
        <f>+VLOOKUP(O140,'COMISIONES ENERO-MARZO 2025 (2)'!$X:$Y,2,0)</f>
        <v>Febrero</v>
      </c>
    </row>
    <row r="141" spans="3:17" x14ac:dyDescent="0.35">
      <c r="C141" t="s">
        <v>326</v>
      </c>
      <c r="D141">
        <v>53059501</v>
      </c>
      <c r="E141" t="s">
        <v>327</v>
      </c>
      <c r="F141" s="26">
        <v>1951821.69</v>
      </c>
      <c r="G141" t="s">
        <v>594</v>
      </c>
      <c r="H141" s="2">
        <v>45716</v>
      </c>
      <c r="I141" t="s">
        <v>595</v>
      </c>
      <c r="J141" t="s">
        <v>595</v>
      </c>
      <c r="K141" t="s">
        <v>35</v>
      </c>
      <c r="M141" t="s">
        <v>59</v>
      </c>
      <c r="O141" s="10">
        <f t="shared" si="4"/>
        <v>2</v>
      </c>
      <c r="P141" s="10">
        <f t="shared" si="5"/>
        <v>2025</v>
      </c>
      <c r="Q141" t="str">
        <f>+VLOOKUP(O141,'COMISIONES ENERO-MARZO 2025 (2)'!$X:$Y,2,0)</f>
        <v>Febrero</v>
      </c>
    </row>
    <row r="142" spans="3:17" x14ac:dyDescent="0.35">
      <c r="C142" t="s">
        <v>326</v>
      </c>
      <c r="D142">
        <v>53059501</v>
      </c>
      <c r="E142" t="s">
        <v>327</v>
      </c>
      <c r="F142" s="26">
        <v>59980008.960000001</v>
      </c>
      <c r="G142" t="s">
        <v>112</v>
      </c>
      <c r="H142" s="2">
        <v>45716</v>
      </c>
      <c r="I142" t="s">
        <v>113</v>
      </c>
      <c r="J142" t="s">
        <v>113</v>
      </c>
      <c r="K142" t="s">
        <v>29</v>
      </c>
      <c r="M142" t="s">
        <v>59</v>
      </c>
      <c r="O142" s="10">
        <f t="shared" si="4"/>
        <v>2</v>
      </c>
      <c r="P142" s="10">
        <f t="shared" si="5"/>
        <v>2025</v>
      </c>
      <c r="Q142" t="str">
        <f>+VLOOKUP(O142,'COMISIONES ENERO-MARZO 2025 (2)'!$X:$Y,2,0)</f>
        <v>Febrero</v>
      </c>
    </row>
    <row r="143" spans="3:17" x14ac:dyDescent="0.35">
      <c r="C143" t="s">
        <v>326</v>
      </c>
      <c r="D143">
        <v>53059501</v>
      </c>
      <c r="E143" t="s">
        <v>327</v>
      </c>
      <c r="F143" s="26">
        <v>58333.39</v>
      </c>
      <c r="G143" t="s">
        <v>596</v>
      </c>
      <c r="H143" s="2">
        <v>45716</v>
      </c>
      <c r="I143" t="s">
        <v>597</v>
      </c>
      <c r="J143" t="s">
        <v>597</v>
      </c>
      <c r="K143" t="s">
        <v>29</v>
      </c>
      <c r="M143" t="s">
        <v>59</v>
      </c>
      <c r="O143" s="10">
        <f t="shared" si="4"/>
        <v>2</v>
      </c>
      <c r="P143" s="10">
        <f t="shared" si="5"/>
        <v>2025</v>
      </c>
      <c r="Q143" t="str">
        <f>+VLOOKUP(O143,'COMISIONES ENERO-MARZO 2025 (2)'!$X:$Y,2,0)</f>
        <v>Febrero</v>
      </c>
    </row>
    <row r="144" spans="3:17" x14ac:dyDescent="0.35">
      <c r="C144" t="s">
        <v>326</v>
      </c>
      <c r="D144">
        <v>53059501</v>
      </c>
      <c r="E144" t="s">
        <v>327</v>
      </c>
      <c r="F144" s="26">
        <v>5930407.3499999996</v>
      </c>
      <c r="G144" t="s">
        <v>598</v>
      </c>
      <c r="H144" s="2">
        <v>45716</v>
      </c>
      <c r="I144" t="s">
        <v>599</v>
      </c>
      <c r="J144" t="s">
        <v>599</v>
      </c>
      <c r="K144" t="s">
        <v>25</v>
      </c>
      <c r="M144" t="s">
        <v>59</v>
      </c>
      <c r="O144" s="10">
        <f t="shared" si="4"/>
        <v>2</v>
      </c>
      <c r="P144" s="10">
        <f t="shared" si="5"/>
        <v>2025</v>
      </c>
      <c r="Q144" t="str">
        <f>+VLOOKUP(O144,'COMISIONES ENERO-MARZO 2025 (2)'!$X:$Y,2,0)</f>
        <v>Febrero</v>
      </c>
    </row>
    <row r="145" spans="3:17" x14ac:dyDescent="0.35">
      <c r="C145" t="s">
        <v>326</v>
      </c>
      <c r="D145">
        <v>53059501</v>
      </c>
      <c r="E145" t="s">
        <v>327</v>
      </c>
      <c r="F145" s="26">
        <v>-7295034.7800000003</v>
      </c>
      <c r="G145" t="s">
        <v>600</v>
      </c>
      <c r="H145" s="2">
        <v>45716</v>
      </c>
      <c r="I145" t="s">
        <v>601</v>
      </c>
      <c r="J145" t="s">
        <v>601</v>
      </c>
      <c r="K145" t="s">
        <v>25</v>
      </c>
      <c r="M145" t="s">
        <v>59</v>
      </c>
      <c r="O145" s="10">
        <f t="shared" si="4"/>
        <v>2</v>
      </c>
      <c r="P145" s="10">
        <f t="shared" si="5"/>
        <v>2025</v>
      </c>
      <c r="Q145" t="str">
        <f>+VLOOKUP(O145,'COMISIONES ENERO-MARZO 2025 (2)'!$X:$Y,2,0)</f>
        <v>Febrero</v>
      </c>
    </row>
    <row r="146" spans="3:17" x14ac:dyDescent="0.35">
      <c r="C146" t="s">
        <v>326</v>
      </c>
      <c r="D146">
        <v>53059501</v>
      </c>
      <c r="E146" t="s">
        <v>327</v>
      </c>
      <c r="F146" s="26">
        <v>71629591</v>
      </c>
      <c r="G146" t="s">
        <v>114</v>
      </c>
      <c r="H146" s="2">
        <v>45716</v>
      </c>
      <c r="I146" t="s">
        <v>115</v>
      </c>
      <c r="J146" t="s">
        <v>116</v>
      </c>
      <c r="K146" t="s">
        <v>19</v>
      </c>
      <c r="M146" t="s">
        <v>59</v>
      </c>
      <c r="O146" s="10">
        <f t="shared" si="4"/>
        <v>2</v>
      </c>
      <c r="P146" s="10">
        <f t="shared" si="5"/>
        <v>2025</v>
      </c>
      <c r="Q146" t="str">
        <f>+VLOOKUP(O146,'COMISIONES ENERO-MARZO 2025 (2)'!$X:$Y,2,0)</f>
        <v>Febrero</v>
      </c>
    </row>
    <row r="147" spans="3:17" x14ac:dyDescent="0.35">
      <c r="C147" t="s">
        <v>326</v>
      </c>
      <c r="D147">
        <v>53059501</v>
      </c>
      <c r="E147" t="s">
        <v>327</v>
      </c>
      <c r="F147" s="26">
        <v>38598263.840000004</v>
      </c>
      <c r="G147" t="s">
        <v>119</v>
      </c>
      <c r="H147" s="2">
        <v>45716</v>
      </c>
      <c r="I147" t="s">
        <v>120</v>
      </c>
      <c r="J147" t="s">
        <v>120</v>
      </c>
      <c r="K147" t="s">
        <v>35</v>
      </c>
      <c r="M147" t="s">
        <v>59</v>
      </c>
      <c r="O147" s="10">
        <f t="shared" si="4"/>
        <v>2</v>
      </c>
      <c r="P147" s="10">
        <f t="shared" si="5"/>
        <v>2025</v>
      </c>
      <c r="Q147" t="str">
        <f>+VLOOKUP(O147,'COMISIONES ENERO-MARZO 2025 (2)'!$X:$Y,2,0)</f>
        <v>Febrero</v>
      </c>
    </row>
    <row r="148" spans="3:17" x14ac:dyDescent="0.35">
      <c r="C148" t="s">
        <v>326</v>
      </c>
      <c r="D148">
        <v>53059501</v>
      </c>
      <c r="E148" t="s">
        <v>327</v>
      </c>
      <c r="F148" s="26">
        <v>30827200.690000001</v>
      </c>
      <c r="G148" t="s">
        <v>130</v>
      </c>
      <c r="H148" s="2">
        <v>45747</v>
      </c>
      <c r="I148" t="s">
        <v>131</v>
      </c>
      <c r="J148" t="s">
        <v>131</v>
      </c>
      <c r="K148" t="s">
        <v>35</v>
      </c>
      <c r="M148" t="s">
        <v>59</v>
      </c>
      <c r="O148" s="10">
        <f t="shared" si="4"/>
        <v>3</v>
      </c>
      <c r="P148" s="10">
        <f t="shared" si="5"/>
        <v>2025</v>
      </c>
      <c r="Q148" t="str">
        <f>+VLOOKUP(O148,'COMISIONES ENERO-MARZO 2025 (2)'!$X:$Y,2,0)</f>
        <v>Marzo</v>
      </c>
    </row>
    <row r="149" spans="3:17" x14ac:dyDescent="0.35">
      <c r="C149" t="s">
        <v>326</v>
      </c>
      <c r="D149">
        <v>53059501</v>
      </c>
      <c r="E149" t="s">
        <v>327</v>
      </c>
      <c r="F149" s="26">
        <v>53531243</v>
      </c>
      <c r="G149" t="s">
        <v>602</v>
      </c>
      <c r="H149" s="2">
        <v>45747</v>
      </c>
      <c r="I149" t="s">
        <v>603</v>
      </c>
      <c r="J149" t="s">
        <v>603</v>
      </c>
      <c r="K149" t="s">
        <v>29</v>
      </c>
      <c r="M149" t="s">
        <v>59</v>
      </c>
      <c r="O149" s="10">
        <f t="shared" si="4"/>
        <v>3</v>
      </c>
      <c r="P149" s="10">
        <f t="shared" si="5"/>
        <v>2025</v>
      </c>
      <c r="Q149" t="str">
        <f>+VLOOKUP(O149,'COMISIONES ENERO-MARZO 2025 (2)'!$X:$Y,2,0)</f>
        <v>Marzo</v>
      </c>
    </row>
    <row r="150" spans="3:17" x14ac:dyDescent="0.35">
      <c r="C150" t="s">
        <v>326</v>
      </c>
      <c r="D150">
        <v>53059501</v>
      </c>
      <c r="E150" t="s">
        <v>327</v>
      </c>
      <c r="F150" s="26">
        <v>51690</v>
      </c>
      <c r="G150" t="s">
        <v>132</v>
      </c>
      <c r="H150" s="2">
        <v>45747</v>
      </c>
      <c r="I150" t="s">
        <v>133</v>
      </c>
      <c r="J150" t="s">
        <v>133</v>
      </c>
      <c r="K150" t="s">
        <v>19</v>
      </c>
      <c r="M150" t="s">
        <v>59</v>
      </c>
      <c r="O150" s="10">
        <f t="shared" si="4"/>
        <v>3</v>
      </c>
      <c r="P150" s="10">
        <f t="shared" si="5"/>
        <v>2025</v>
      </c>
      <c r="Q150" t="str">
        <f>+VLOOKUP(O150,'COMISIONES ENERO-MARZO 2025 (2)'!$X:$Y,2,0)</f>
        <v>Marzo</v>
      </c>
    </row>
    <row r="151" spans="3:17" x14ac:dyDescent="0.35">
      <c r="C151" t="s">
        <v>326</v>
      </c>
      <c r="D151">
        <v>53059501</v>
      </c>
      <c r="E151" t="s">
        <v>327</v>
      </c>
      <c r="F151" s="26">
        <v>40252354</v>
      </c>
      <c r="G151" t="s">
        <v>134</v>
      </c>
      <c r="H151" s="2">
        <v>45747</v>
      </c>
      <c r="I151" t="s">
        <v>135</v>
      </c>
      <c r="J151" t="s">
        <v>135</v>
      </c>
      <c r="K151" t="s">
        <v>19</v>
      </c>
      <c r="M151" t="s">
        <v>59</v>
      </c>
      <c r="O151" s="10">
        <f t="shared" si="4"/>
        <v>3</v>
      </c>
      <c r="P151" s="10">
        <f t="shared" si="5"/>
        <v>2025</v>
      </c>
      <c r="Q151" t="str">
        <f>+VLOOKUP(O151,'COMISIONES ENERO-MARZO 2025 (2)'!$X:$Y,2,0)</f>
        <v>Marzo</v>
      </c>
    </row>
    <row r="152" spans="3:17" x14ac:dyDescent="0.35">
      <c r="C152" t="s">
        <v>326</v>
      </c>
      <c r="D152">
        <v>53059501</v>
      </c>
      <c r="E152" t="s">
        <v>327</v>
      </c>
      <c r="F152" s="26">
        <v>21829</v>
      </c>
      <c r="G152" t="s">
        <v>604</v>
      </c>
      <c r="H152" s="2">
        <v>45747</v>
      </c>
      <c r="I152" t="s">
        <v>605</v>
      </c>
      <c r="J152" t="s">
        <v>605</v>
      </c>
      <c r="K152" t="s">
        <v>19</v>
      </c>
      <c r="M152" t="s">
        <v>59</v>
      </c>
      <c r="O152" s="10">
        <f t="shared" si="4"/>
        <v>3</v>
      </c>
      <c r="P152" s="10">
        <f t="shared" si="5"/>
        <v>2025</v>
      </c>
      <c r="Q152" t="str">
        <f>+VLOOKUP(O152,'COMISIONES ENERO-MARZO 2025 (2)'!$X:$Y,2,0)</f>
        <v>Marzo</v>
      </c>
    </row>
    <row r="153" spans="3:17" x14ac:dyDescent="0.35">
      <c r="C153" t="s">
        <v>326</v>
      </c>
      <c r="D153">
        <v>53059501</v>
      </c>
      <c r="E153" t="s">
        <v>327</v>
      </c>
      <c r="F153" s="26">
        <v>31126.48</v>
      </c>
      <c r="G153" t="s">
        <v>606</v>
      </c>
      <c r="H153" s="2">
        <v>45747</v>
      </c>
      <c r="I153" t="s">
        <v>607</v>
      </c>
      <c r="J153" t="s">
        <v>607</v>
      </c>
      <c r="K153" t="s">
        <v>29</v>
      </c>
      <c r="M153" t="s">
        <v>59</v>
      </c>
      <c r="O153" s="10">
        <f t="shared" si="4"/>
        <v>3</v>
      </c>
      <c r="P153" s="10">
        <f t="shared" si="5"/>
        <v>2025</v>
      </c>
      <c r="Q153" t="str">
        <f>+VLOOKUP(O153,'COMISIONES ENERO-MARZO 2025 (2)'!$X:$Y,2,0)</f>
        <v>Marzo</v>
      </c>
    </row>
    <row r="154" spans="3:17" x14ac:dyDescent="0.35">
      <c r="C154" t="s">
        <v>326</v>
      </c>
      <c r="D154">
        <v>53059501</v>
      </c>
      <c r="E154" t="s">
        <v>327</v>
      </c>
      <c r="F154" s="26">
        <v>14095706.74</v>
      </c>
      <c r="G154" t="s">
        <v>144</v>
      </c>
      <c r="H154" s="2">
        <v>45747</v>
      </c>
      <c r="I154" t="s">
        <v>145</v>
      </c>
      <c r="J154" t="s">
        <v>145</v>
      </c>
      <c r="K154" t="s">
        <v>25</v>
      </c>
      <c r="M154" t="s">
        <v>59</v>
      </c>
      <c r="O154" s="10">
        <f t="shared" si="4"/>
        <v>3</v>
      </c>
      <c r="P154" s="10">
        <f t="shared" si="5"/>
        <v>2025</v>
      </c>
      <c r="Q154" t="str">
        <f>+VLOOKUP(O154,'COMISIONES ENERO-MARZO 2025 (2)'!$X:$Y,2,0)</f>
        <v>Marzo</v>
      </c>
    </row>
    <row r="155" spans="3:17" x14ac:dyDescent="0.35">
      <c r="C155" t="s">
        <v>326</v>
      </c>
      <c r="D155">
        <v>53059501</v>
      </c>
      <c r="E155" t="s">
        <v>327</v>
      </c>
      <c r="F155" s="26">
        <v>1877174.51</v>
      </c>
      <c r="G155" t="s">
        <v>146</v>
      </c>
      <c r="H155" s="2">
        <v>45747</v>
      </c>
      <c r="I155" t="s">
        <v>147</v>
      </c>
      <c r="J155" t="s">
        <v>147</v>
      </c>
      <c r="K155" t="s">
        <v>44</v>
      </c>
      <c r="M155" t="s">
        <v>59</v>
      </c>
      <c r="O155" s="10">
        <f t="shared" si="4"/>
        <v>3</v>
      </c>
      <c r="P155" s="10">
        <f t="shared" si="5"/>
        <v>2025</v>
      </c>
      <c r="Q155" t="str">
        <f>+VLOOKUP(O155,'COMISIONES ENERO-MARZO 2025 (2)'!$X:$Y,2,0)</f>
        <v>Marzo</v>
      </c>
    </row>
    <row r="156" spans="3:17" x14ac:dyDescent="0.35">
      <c r="C156" t="s">
        <v>326</v>
      </c>
      <c r="D156">
        <v>53059501</v>
      </c>
      <c r="E156" t="s">
        <v>327</v>
      </c>
      <c r="F156" s="26">
        <v>4256.8</v>
      </c>
      <c r="G156" t="s">
        <v>281</v>
      </c>
      <c r="H156" s="2">
        <v>45771</v>
      </c>
      <c r="I156" t="s">
        <v>282</v>
      </c>
      <c r="J156" t="s">
        <v>282</v>
      </c>
      <c r="K156" t="s">
        <v>29</v>
      </c>
      <c r="M156" t="s">
        <v>59</v>
      </c>
      <c r="O156" s="10">
        <f t="shared" si="4"/>
        <v>4</v>
      </c>
      <c r="P156" s="10">
        <f t="shared" si="5"/>
        <v>2025</v>
      </c>
      <c r="Q156" t="str">
        <f>+VLOOKUP(O156,'COMISIONES ENERO-MARZO 2025 (2)'!$X:$Y,2,0)</f>
        <v>Abril</v>
      </c>
    </row>
    <row r="157" spans="3:17" x14ac:dyDescent="0.35">
      <c r="C157" t="s">
        <v>326</v>
      </c>
      <c r="D157">
        <v>53059501</v>
      </c>
      <c r="E157" t="s">
        <v>327</v>
      </c>
      <c r="F157" s="26">
        <v>38499860</v>
      </c>
      <c r="G157" t="s">
        <v>283</v>
      </c>
      <c r="H157" s="2">
        <v>45777</v>
      </c>
      <c r="I157" t="s">
        <v>284</v>
      </c>
      <c r="J157" t="s">
        <v>284</v>
      </c>
      <c r="K157" t="s">
        <v>19</v>
      </c>
      <c r="M157" t="s">
        <v>59</v>
      </c>
      <c r="O157" s="10">
        <f t="shared" si="4"/>
        <v>4</v>
      </c>
      <c r="P157" s="10">
        <f t="shared" si="5"/>
        <v>2025</v>
      </c>
      <c r="Q157" t="str">
        <f>+VLOOKUP(O157,'COMISIONES ENERO-MARZO 2025 (2)'!$X:$Y,2,0)</f>
        <v>Abril</v>
      </c>
    </row>
    <row r="158" spans="3:17" x14ac:dyDescent="0.35">
      <c r="C158" t="s">
        <v>326</v>
      </c>
      <c r="D158">
        <v>53059501</v>
      </c>
      <c r="E158" t="s">
        <v>327</v>
      </c>
      <c r="F158" s="26">
        <v>11661</v>
      </c>
      <c r="G158" t="s">
        <v>285</v>
      </c>
      <c r="H158" s="2">
        <v>45777</v>
      </c>
      <c r="I158" t="s">
        <v>286</v>
      </c>
      <c r="J158" t="s">
        <v>286</v>
      </c>
      <c r="K158" t="s">
        <v>19</v>
      </c>
      <c r="M158" t="s">
        <v>59</v>
      </c>
      <c r="O158" s="10">
        <f t="shared" si="4"/>
        <v>4</v>
      </c>
      <c r="P158" s="10">
        <f t="shared" si="5"/>
        <v>2025</v>
      </c>
      <c r="Q158" t="str">
        <f>+VLOOKUP(O158,'COMISIONES ENERO-MARZO 2025 (2)'!$X:$Y,2,0)</f>
        <v>Abril</v>
      </c>
    </row>
    <row r="159" spans="3:17" x14ac:dyDescent="0.35">
      <c r="C159" t="s">
        <v>326</v>
      </c>
      <c r="D159">
        <v>53059501</v>
      </c>
      <c r="E159" t="s">
        <v>327</v>
      </c>
      <c r="F159" s="26">
        <v>3170</v>
      </c>
      <c r="G159" t="s">
        <v>608</v>
      </c>
      <c r="H159" s="2">
        <v>45777</v>
      </c>
      <c r="I159" t="s">
        <v>609</v>
      </c>
      <c r="J159" t="s">
        <v>610</v>
      </c>
      <c r="K159" t="s">
        <v>19</v>
      </c>
      <c r="M159" t="s">
        <v>59</v>
      </c>
      <c r="O159" s="10">
        <f t="shared" si="4"/>
        <v>4</v>
      </c>
      <c r="P159" s="10">
        <f t="shared" si="5"/>
        <v>2025</v>
      </c>
      <c r="Q159" t="str">
        <f>+VLOOKUP(O159,'COMISIONES ENERO-MARZO 2025 (2)'!$X:$Y,2,0)</f>
        <v>Abril</v>
      </c>
    </row>
    <row r="160" spans="3:17" x14ac:dyDescent="0.35">
      <c r="C160" t="s">
        <v>326</v>
      </c>
      <c r="D160">
        <v>53059501</v>
      </c>
      <c r="E160" t="s">
        <v>327</v>
      </c>
      <c r="F160" s="26">
        <v>12501445.42</v>
      </c>
      <c r="G160" t="s">
        <v>287</v>
      </c>
      <c r="H160" s="2">
        <v>45777</v>
      </c>
      <c r="I160" t="s">
        <v>288</v>
      </c>
      <c r="J160" t="s">
        <v>288</v>
      </c>
      <c r="K160" t="s">
        <v>29</v>
      </c>
      <c r="M160" t="s">
        <v>59</v>
      </c>
      <c r="O160" s="10">
        <f t="shared" si="4"/>
        <v>4</v>
      </c>
      <c r="P160" s="10">
        <f t="shared" si="5"/>
        <v>2025</v>
      </c>
      <c r="Q160" t="str">
        <f>+VLOOKUP(O160,'COMISIONES ENERO-MARZO 2025 (2)'!$X:$Y,2,0)</f>
        <v>Abril</v>
      </c>
    </row>
    <row r="161" spans="3:17" x14ac:dyDescent="0.35">
      <c r="C161" t="s">
        <v>326</v>
      </c>
      <c r="D161">
        <v>53059501</v>
      </c>
      <c r="E161" t="s">
        <v>327</v>
      </c>
      <c r="F161" s="26">
        <v>20518.099999999999</v>
      </c>
      <c r="G161" t="s">
        <v>611</v>
      </c>
      <c r="H161" s="2">
        <v>45777</v>
      </c>
      <c r="I161" t="s">
        <v>612</v>
      </c>
      <c r="J161" t="s">
        <v>612</v>
      </c>
      <c r="K161" t="s">
        <v>29</v>
      </c>
      <c r="M161" t="s">
        <v>59</v>
      </c>
      <c r="O161" s="10">
        <f t="shared" si="4"/>
        <v>4</v>
      </c>
      <c r="P161" s="10">
        <f t="shared" si="5"/>
        <v>2025</v>
      </c>
      <c r="Q161" t="str">
        <f>+VLOOKUP(O161,'COMISIONES ENERO-MARZO 2025 (2)'!$X:$Y,2,0)</f>
        <v>Abril</v>
      </c>
    </row>
    <row r="162" spans="3:17" x14ac:dyDescent="0.35">
      <c r="C162" t="s">
        <v>326</v>
      </c>
      <c r="D162">
        <v>53059501</v>
      </c>
      <c r="E162" t="s">
        <v>327</v>
      </c>
      <c r="F162" s="26">
        <v>20502008.48</v>
      </c>
      <c r="G162" t="s">
        <v>289</v>
      </c>
      <c r="H162" s="2">
        <v>45777</v>
      </c>
      <c r="I162" t="s">
        <v>290</v>
      </c>
      <c r="J162" t="s">
        <v>290</v>
      </c>
      <c r="K162" t="s">
        <v>35</v>
      </c>
      <c r="M162" t="s">
        <v>59</v>
      </c>
      <c r="O162" s="10">
        <f t="shared" si="4"/>
        <v>4</v>
      </c>
      <c r="P162" s="10">
        <f t="shared" si="5"/>
        <v>2025</v>
      </c>
      <c r="Q162" t="str">
        <f>+VLOOKUP(O162,'COMISIONES ENERO-MARZO 2025 (2)'!$X:$Y,2,0)</f>
        <v>Abril</v>
      </c>
    </row>
    <row r="163" spans="3:17" x14ac:dyDescent="0.35">
      <c r="C163" t="s">
        <v>326</v>
      </c>
      <c r="D163">
        <v>53059501</v>
      </c>
      <c r="E163" t="s">
        <v>327</v>
      </c>
      <c r="F163" s="26">
        <v>30830437.25</v>
      </c>
      <c r="G163" t="s">
        <v>291</v>
      </c>
      <c r="H163" s="2">
        <v>45777</v>
      </c>
      <c r="I163" t="s">
        <v>292</v>
      </c>
      <c r="J163" t="s">
        <v>292</v>
      </c>
      <c r="K163" t="s">
        <v>25</v>
      </c>
      <c r="M163" t="s">
        <v>59</v>
      </c>
      <c r="O163" s="10">
        <f t="shared" si="4"/>
        <v>4</v>
      </c>
      <c r="P163" s="10">
        <f t="shared" si="5"/>
        <v>2025</v>
      </c>
      <c r="Q163" t="str">
        <f>+VLOOKUP(O163,'COMISIONES ENERO-MARZO 2025 (2)'!$X:$Y,2,0)</f>
        <v>Abril</v>
      </c>
    </row>
    <row r="164" spans="3:17" x14ac:dyDescent="0.35">
      <c r="C164" t="s">
        <v>326</v>
      </c>
      <c r="D164">
        <v>53059501</v>
      </c>
      <c r="E164" t="s">
        <v>327</v>
      </c>
      <c r="F164" s="26">
        <v>1953666.36</v>
      </c>
      <c r="G164" t="s">
        <v>613</v>
      </c>
      <c r="H164" s="2">
        <v>45777</v>
      </c>
      <c r="I164" t="s">
        <v>614</v>
      </c>
      <c r="J164" t="s">
        <v>615</v>
      </c>
      <c r="K164" t="s">
        <v>616</v>
      </c>
      <c r="M164" t="s">
        <v>59</v>
      </c>
      <c r="O164" s="10">
        <f t="shared" si="4"/>
        <v>4</v>
      </c>
      <c r="P164" s="10">
        <f t="shared" si="5"/>
        <v>2025</v>
      </c>
      <c r="Q164" t="str">
        <f>+VLOOKUP(O164,'COMISIONES ENERO-MARZO 2025 (2)'!$X:$Y,2,0)</f>
        <v>Abril</v>
      </c>
    </row>
    <row r="165" spans="3:17" x14ac:dyDescent="0.35">
      <c r="C165" t="s">
        <v>326</v>
      </c>
      <c r="D165">
        <v>53059501</v>
      </c>
      <c r="E165" t="s">
        <v>327</v>
      </c>
      <c r="F165" s="26">
        <v>1140349.29</v>
      </c>
      <c r="G165" t="s">
        <v>617</v>
      </c>
      <c r="H165" s="2">
        <v>45777</v>
      </c>
      <c r="I165" t="s">
        <v>618</v>
      </c>
      <c r="J165" t="s">
        <v>618</v>
      </c>
      <c r="K165" t="s">
        <v>25</v>
      </c>
      <c r="M165" t="s">
        <v>59</v>
      </c>
      <c r="O165" s="10">
        <f t="shared" si="4"/>
        <v>4</v>
      </c>
      <c r="P165" s="10">
        <f t="shared" si="5"/>
        <v>2025</v>
      </c>
      <c r="Q165" t="str">
        <f>+VLOOKUP(O165,'COMISIONES ENERO-MARZO 2025 (2)'!$X:$Y,2,0)</f>
        <v>Abril</v>
      </c>
    </row>
    <row r="166" spans="3:17" x14ac:dyDescent="0.35">
      <c r="C166" t="s">
        <v>326</v>
      </c>
      <c r="D166">
        <v>53059501</v>
      </c>
      <c r="E166" t="s">
        <v>327</v>
      </c>
      <c r="F166" s="26">
        <v>57760349.439999998</v>
      </c>
      <c r="G166" t="s">
        <v>299</v>
      </c>
      <c r="H166" s="2">
        <v>45777</v>
      </c>
      <c r="I166" t="s">
        <v>300</v>
      </c>
      <c r="J166" t="s">
        <v>300</v>
      </c>
      <c r="K166" t="s">
        <v>29</v>
      </c>
      <c r="M166" t="s">
        <v>59</v>
      </c>
      <c r="O166" s="10">
        <f t="shared" si="4"/>
        <v>4</v>
      </c>
      <c r="P166" s="10">
        <f t="shared" si="5"/>
        <v>2025</v>
      </c>
      <c r="Q166" t="str">
        <f>+VLOOKUP(O166,'COMISIONES ENERO-MARZO 2025 (2)'!$X:$Y,2,0)</f>
        <v>Abril</v>
      </c>
    </row>
    <row r="167" spans="3:17" x14ac:dyDescent="0.35">
      <c r="C167" t="s">
        <v>326</v>
      </c>
      <c r="D167">
        <v>53059501</v>
      </c>
      <c r="E167" t="s">
        <v>327</v>
      </c>
      <c r="F167" s="26">
        <v>4656.6099999999997</v>
      </c>
      <c r="G167" t="s">
        <v>619</v>
      </c>
      <c r="H167" s="2">
        <v>45300</v>
      </c>
      <c r="I167" t="s">
        <v>620</v>
      </c>
      <c r="J167" t="s">
        <v>620</v>
      </c>
      <c r="K167" t="s">
        <v>29</v>
      </c>
      <c r="M167" t="s">
        <v>59</v>
      </c>
      <c r="O167" s="10">
        <f t="shared" si="4"/>
        <v>1</v>
      </c>
      <c r="P167" s="10">
        <f t="shared" si="5"/>
        <v>2024</v>
      </c>
      <c r="Q167" t="str">
        <f>+VLOOKUP(O167,'COMISIONES ENERO-MARZO 2025 (2)'!$X:$Y,2,0)</f>
        <v>Enero</v>
      </c>
    </row>
    <row r="168" spans="3:17" x14ac:dyDescent="0.35">
      <c r="C168" t="s">
        <v>326</v>
      </c>
      <c r="D168">
        <v>53059501</v>
      </c>
      <c r="E168" t="s">
        <v>327</v>
      </c>
      <c r="F168" s="26">
        <v>4016.61</v>
      </c>
      <c r="G168" t="s">
        <v>621</v>
      </c>
      <c r="H168" s="2">
        <v>45308</v>
      </c>
      <c r="I168" t="s">
        <v>622</v>
      </c>
      <c r="J168" t="s">
        <v>622</v>
      </c>
      <c r="K168" t="s">
        <v>29</v>
      </c>
      <c r="M168" t="s">
        <v>59</v>
      </c>
      <c r="O168" s="10">
        <f t="shared" si="4"/>
        <v>1</v>
      </c>
      <c r="P168" s="10">
        <f t="shared" si="5"/>
        <v>2024</v>
      </c>
      <c r="Q168" t="str">
        <f>+VLOOKUP(O168,'COMISIONES ENERO-MARZO 2025 (2)'!$X:$Y,2,0)</f>
        <v>Enero</v>
      </c>
    </row>
    <row r="169" spans="3:17" x14ac:dyDescent="0.35">
      <c r="C169" t="s">
        <v>326</v>
      </c>
      <c r="D169">
        <v>53059501</v>
      </c>
      <c r="E169" t="s">
        <v>327</v>
      </c>
      <c r="F169" s="26">
        <v>1736.61</v>
      </c>
      <c r="G169" t="s">
        <v>623</v>
      </c>
      <c r="H169" s="2">
        <v>45328</v>
      </c>
      <c r="I169" t="s">
        <v>624</v>
      </c>
      <c r="J169" t="s">
        <v>624</v>
      </c>
      <c r="K169" t="s">
        <v>29</v>
      </c>
      <c r="M169" t="s">
        <v>59</v>
      </c>
      <c r="O169" s="10">
        <f t="shared" si="4"/>
        <v>2</v>
      </c>
      <c r="P169" s="10">
        <f t="shared" si="5"/>
        <v>2024</v>
      </c>
      <c r="Q169" t="str">
        <f>+VLOOKUP(O169,'COMISIONES ENERO-MARZO 2025 (2)'!$X:$Y,2,0)</f>
        <v>Febrero</v>
      </c>
    </row>
    <row r="170" spans="3:17" x14ac:dyDescent="0.35">
      <c r="C170" t="s">
        <v>326</v>
      </c>
      <c r="D170">
        <v>53059501</v>
      </c>
      <c r="E170" t="s">
        <v>327</v>
      </c>
      <c r="F170" s="26">
        <v>5383.22</v>
      </c>
      <c r="G170" t="s">
        <v>625</v>
      </c>
      <c r="H170" s="2">
        <v>45328</v>
      </c>
      <c r="I170" t="s">
        <v>626</v>
      </c>
      <c r="J170" t="s">
        <v>626</v>
      </c>
      <c r="K170" t="s">
        <v>29</v>
      </c>
      <c r="M170" t="s">
        <v>59</v>
      </c>
      <c r="O170" s="10">
        <f t="shared" si="4"/>
        <v>2</v>
      </c>
      <c r="P170" s="10">
        <f t="shared" si="5"/>
        <v>2024</v>
      </c>
      <c r="Q170" t="str">
        <f>+VLOOKUP(O170,'COMISIONES ENERO-MARZO 2025 (2)'!$X:$Y,2,0)</f>
        <v>Febrero</v>
      </c>
    </row>
    <row r="171" spans="3:17" x14ac:dyDescent="0.35">
      <c r="C171" t="s">
        <v>326</v>
      </c>
      <c r="D171">
        <v>53059501</v>
      </c>
      <c r="E171" t="s">
        <v>327</v>
      </c>
      <c r="F171" s="26">
        <v>142919</v>
      </c>
      <c r="G171" t="s">
        <v>627</v>
      </c>
      <c r="H171" s="2">
        <v>45335</v>
      </c>
      <c r="I171" t="s">
        <v>628</v>
      </c>
      <c r="J171" t="s">
        <v>628</v>
      </c>
      <c r="K171" t="s">
        <v>629</v>
      </c>
      <c r="M171" t="s">
        <v>59</v>
      </c>
      <c r="O171" s="10">
        <f t="shared" si="4"/>
        <v>2</v>
      </c>
      <c r="P171" s="10">
        <f t="shared" si="5"/>
        <v>2024</v>
      </c>
      <c r="Q171" t="str">
        <f>+VLOOKUP(O171,'COMISIONES ENERO-MARZO 2025 (2)'!$X:$Y,2,0)</f>
        <v>Febrero</v>
      </c>
    </row>
    <row r="172" spans="3:17" x14ac:dyDescent="0.35">
      <c r="C172" t="s">
        <v>326</v>
      </c>
      <c r="D172">
        <v>53059501</v>
      </c>
      <c r="E172" t="s">
        <v>327</v>
      </c>
      <c r="F172" s="26">
        <v>43394.62</v>
      </c>
      <c r="G172" t="s">
        <v>630</v>
      </c>
      <c r="H172" s="2">
        <v>45323</v>
      </c>
      <c r="I172" t="s">
        <v>631</v>
      </c>
      <c r="J172" t="s">
        <v>631</v>
      </c>
      <c r="K172" t="s">
        <v>616</v>
      </c>
      <c r="M172" t="s">
        <v>59</v>
      </c>
      <c r="O172" s="10">
        <f t="shared" si="4"/>
        <v>2</v>
      </c>
      <c r="P172" s="10">
        <f t="shared" si="5"/>
        <v>2024</v>
      </c>
      <c r="Q172" t="str">
        <f>+VLOOKUP(O172,'COMISIONES ENERO-MARZO 2025 (2)'!$X:$Y,2,0)</f>
        <v>Febrero</v>
      </c>
    </row>
    <row r="173" spans="3:17" x14ac:dyDescent="0.35">
      <c r="C173" t="s">
        <v>326</v>
      </c>
      <c r="D173">
        <v>53059501</v>
      </c>
      <c r="E173" t="s">
        <v>327</v>
      </c>
      <c r="F173" s="26">
        <v>4082543.82</v>
      </c>
      <c r="G173" t="s">
        <v>632</v>
      </c>
      <c r="H173" s="2">
        <v>45351</v>
      </c>
      <c r="I173" t="s">
        <v>633</v>
      </c>
      <c r="J173" t="s">
        <v>634</v>
      </c>
      <c r="K173" t="s">
        <v>44</v>
      </c>
      <c r="M173" t="s">
        <v>59</v>
      </c>
      <c r="O173" s="10">
        <f t="shared" si="4"/>
        <v>2</v>
      </c>
      <c r="P173" s="10">
        <f t="shared" si="5"/>
        <v>2024</v>
      </c>
      <c r="Q173" t="str">
        <f>+VLOOKUP(O173,'COMISIONES ENERO-MARZO 2025 (2)'!$X:$Y,2,0)</f>
        <v>Febrero</v>
      </c>
    </row>
    <row r="174" spans="3:17" x14ac:dyDescent="0.35">
      <c r="C174" t="s">
        <v>326</v>
      </c>
      <c r="D174">
        <v>53059501</v>
      </c>
      <c r="E174" t="s">
        <v>327</v>
      </c>
      <c r="F174" s="26">
        <v>2124</v>
      </c>
      <c r="G174" t="s">
        <v>635</v>
      </c>
      <c r="H174" s="2">
        <v>45351</v>
      </c>
      <c r="I174" t="s">
        <v>636</v>
      </c>
      <c r="J174" t="s">
        <v>636</v>
      </c>
      <c r="K174" t="s">
        <v>637</v>
      </c>
      <c r="M174" t="s">
        <v>59</v>
      </c>
      <c r="O174" s="10">
        <f t="shared" si="4"/>
        <v>2</v>
      </c>
      <c r="P174" s="10">
        <f t="shared" si="5"/>
        <v>2024</v>
      </c>
      <c r="Q174" t="str">
        <f>+VLOOKUP(O174,'COMISIONES ENERO-MARZO 2025 (2)'!$X:$Y,2,0)</f>
        <v>Febrero</v>
      </c>
    </row>
    <row r="175" spans="3:17" x14ac:dyDescent="0.35">
      <c r="C175" t="s">
        <v>326</v>
      </c>
      <c r="D175">
        <v>53059501</v>
      </c>
      <c r="E175" t="s">
        <v>327</v>
      </c>
      <c r="F175" s="26">
        <v>31480</v>
      </c>
      <c r="G175" t="s">
        <v>638</v>
      </c>
      <c r="H175" s="2">
        <v>45382</v>
      </c>
      <c r="I175" t="s">
        <v>639</v>
      </c>
      <c r="J175" t="s">
        <v>639</v>
      </c>
      <c r="K175" t="s">
        <v>75</v>
      </c>
      <c r="M175" t="s">
        <v>59</v>
      </c>
      <c r="O175" s="10">
        <f t="shared" si="4"/>
        <v>3</v>
      </c>
      <c r="P175" s="10">
        <f t="shared" si="5"/>
        <v>2024</v>
      </c>
      <c r="Q175" t="str">
        <f>+VLOOKUP(O175,'COMISIONES ENERO-MARZO 2025 (2)'!$X:$Y,2,0)</f>
        <v>Marzo</v>
      </c>
    </row>
    <row r="176" spans="3:17" x14ac:dyDescent="0.35">
      <c r="C176" t="s">
        <v>326</v>
      </c>
      <c r="D176">
        <v>53059501</v>
      </c>
      <c r="E176" t="s">
        <v>327</v>
      </c>
      <c r="F176" s="26">
        <v>1692</v>
      </c>
      <c r="G176" t="s">
        <v>640</v>
      </c>
      <c r="H176" s="2">
        <v>45397</v>
      </c>
      <c r="I176" t="s">
        <v>641</v>
      </c>
      <c r="J176" t="s">
        <v>641</v>
      </c>
      <c r="K176" t="s">
        <v>35</v>
      </c>
      <c r="M176" t="s">
        <v>59</v>
      </c>
      <c r="O176" s="10">
        <f t="shared" si="4"/>
        <v>4</v>
      </c>
      <c r="P176" s="10">
        <f t="shared" si="5"/>
        <v>2024</v>
      </c>
      <c r="Q176" t="str">
        <f>+VLOOKUP(O176,'COMISIONES ENERO-MARZO 2025 (2)'!$X:$Y,2,0)</f>
        <v>Abril</v>
      </c>
    </row>
    <row r="177" spans="3:17" x14ac:dyDescent="0.35">
      <c r="C177" t="s">
        <v>326</v>
      </c>
      <c r="D177">
        <v>53059501</v>
      </c>
      <c r="E177" t="s">
        <v>327</v>
      </c>
      <c r="F177" s="26">
        <v>3893970.88</v>
      </c>
      <c r="G177" t="s">
        <v>642</v>
      </c>
      <c r="H177" s="2">
        <v>45412</v>
      </c>
      <c r="I177" t="s">
        <v>643</v>
      </c>
      <c r="J177" t="s">
        <v>643</v>
      </c>
      <c r="K177" t="s">
        <v>44</v>
      </c>
      <c r="M177" t="s">
        <v>59</v>
      </c>
      <c r="O177" s="10">
        <f t="shared" si="4"/>
        <v>4</v>
      </c>
      <c r="P177" s="10">
        <f t="shared" si="5"/>
        <v>2024</v>
      </c>
      <c r="Q177" t="str">
        <f>+VLOOKUP(O177,'COMISIONES ENERO-MARZO 2025 (2)'!$X:$Y,2,0)</f>
        <v>Abril</v>
      </c>
    </row>
    <row r="178" spans="3:17" x14ac:dyDescent="0.35">
      <c r="C178" t="s">
        <v>326</v>
      </c>
      <c r="D178">
        <v>53059501</v>
      </c>
      <c r="E178" t="s">
        <v>327</v>
      </c>
      <c r="F178" s="26">
        <v>4922.04</v>
      </c>
      <c r="G178" t="s">
        <v>644</v>
      </c>
      <c r="H178" s="2">
        <v>45406</v>
      </c>
      <c r="I178" t="s">
        <v>645</v>
      </c>
      <c r="J178" t="s">
        <v>645</v>
      </c>
      <c r="K178" t="s">
        <v>646</v>
      </c>
      <c r="M178" t="s">
        <v>59</v>
      </c>
      <c r="O178" s="10">
        <f t="shared" si="4"/>
        <v>4</v>
      </c>
      <c r="P178" s="10">
        <f t="shared" si="5"/>
        <v>2024</v>
      </c>
      <c r="Q178" t="str">
        <f>+VLOOKUP(O178,'COMISIONES ENERO-MARZO 2025 (2)'!$X:$Y,2,0)</f>
        <v>Abril</v>
      </c>
    </row>
    <row r="179" spans="3:17" x14ac:dyDescent="0.35">
      <c r="C179" t="s">
        <v>326</v>
      </c>
      <c r="D179">
        <v>53059501</v>
      </c>
      <c r="E179" t="s">
        <v>327</v>
      </c>
      <c r="F179" s="26">
        <v>9639.5400000000009</v>
      </c>
      <c r="G179" t="s">
        <v>647</v>
      </c>
      <c r="H179" s="2">
        <v>45420</v>
      </c>
      <c r="I179" t="s">
        <v>648</v>
      </c>
      <c r="J179" t="s">
        <v>648</v>
      </c>
      <c r="K179" t="s">
        <v>29</v>
      </c>
      <c r="M179" t="s">
        <v>59</v>
      </c>
      <c r="O179" s="10">
        <f t="shared" si="4"/>
        <v>5</v>
      </c>
      <c r="P179" s="10">
        <f t="shared" si="5"/>
        <v>2024</v>
      </c>
      <c r="Q179" t="str">
        <f>+VLOOKUP(O179,'COMISIONES ENERO-MARZO 2025 (2)'!$X:$Y,2,0)</f>
        <v>Mayo</v>
      </c>
    </row>
    <row r="180" spans="3:17" x14ac:dyDescent="0.35">
      <c r="C180" t="s">
        <v>326</v>
      </c>
      <c r="D180">
        <v>53059501</v>
      </c>
      <c r="E180" t="s">
        <v>327</v>
      </c>
      <c r="F180" s="26">
        <v>79016</v>
      </c>
      <c r="G180" t="s">
        <v>649</v>
      </c>
      <c r="H180" s="2">
        <v>45413</v>
      </c>
      <c r="I180" t="s">
        <v>650</v>
      </c>
      <c r="J180" t="s">
        <v>651</v>
      </c>
      <c r="K180" t="s">
        <v>19</v>
      </c>
      <c r="M180" t="s">
        <v>59</v>
      </c>
      <c r="O180" s="10">
        <f t="shared" si="4"/>
        <v>5</v>
      </c>
      <c r="P180" s="10">
        <f t="shared" si="5"/>
        <v>2024</v>
      </c>
      <c r="Q180" t="str">
        <f>+VLOOKUP(O180,'COMISIONES ENERO-MARZO 2025 (2)'!$X:$Y,2,0)</f>
        <v>Mayo</v>
      </c>
    </row>
    <row r="181" spans="3:17" x14ac:dyDescent="0.35">
      <c r="C181" t="s">
        <v>326</v>
      </c>
      <c r="D181">
        <v>53059501</v>
      </c>
      <c r="E181" t="s">
        <v>327</v>
      </c>
      <c r="F181" s="26">
        <v>-3893970.88</v>
      </c>
      <c r="G181" t="s">
        <v>652</v>
      </c>
      <c r="H181" s="2">
        <v>45443</v>
      </c>
      <c r="I181" t="s">
        <v>653</v>
      </c>
      <c r="J181" t="s">
        <v>653</v>
      </c>
      <c r="K181" t="s">
        <v>44</v>
      </c>
      <c r="M181" t="s">
        <v>59</v>
      </c>
      <c r="O181" s="10">
        <f t="shared" si="4"/>
        <v>5</v>
      </c>
      <c r="P181" s="10">
        <f t="shared" si="5"/>
        <v>2024</v>
      </c>
      <c r="Q181" t="str">
        <f>+VLOOKUP(O181,'COMISIONES ENERO-MARZO 2025 (2)'!$X:$Y,2,0)</f>
        <v>Mayo</v>
      </c>
    </row>
    <row r="182" spans="3:17" x14ac:dyDescent="0.35">
      <c r="C182" t="s">
        <v>326</v>
      </c>
      <c r="D182">
        <v>53059501</v>
      </c>
      <c r="E182" t="s">
        <v>327</v>
      </c>
      <c r="F182" s="26">
        <v>3945637.45</v>
      </c>
      <c r="G182" t="s">
        <v>654</v>
      </c>
      <c r="H182" s="2">
        <v>45444</v>
      </c>
      <c r="I182" t="s">
        <v>655</v>
      </c>
      <c r="J182" t="s">
        <v>655</v>
      </c>
      <c r="K182" t="s">
        <v>385</v>
      </c>
      <c r="M182" t="s">
        <v>59</v>
      </c>
      <c r="O182" s="10">
        <f t="shared" si="4"/>
        <v>6</v>
      </c>
      <c r="P182" s="10">
        <f t="shared" si="5"/>
        <v>2024</v>
      </c>
      <c r="Q182" t="str">
        <f>+VLOOKUP(O182,'COMISIONES ENERO-MARZO 2025 (2)'!$X:$Y,2,0)</f>
        <v>Junio</v>
      </c>
    </row>
    <row r="183" spans="3:17" x14ac:dyDescent="0.35">
      <c r="C183" t="s">
        <v>326</v>
      </c>
      <c r="D183">
        <v>53059501</v>
      </c>
      <c r="E183" t="s">
        <v>327</v>
      </c>
      <c r="F183" s="26">
        <v>260000</v>
      </c>
      <c r="G183" t="s">
        <v>656</v>
      </c>
      <c r="H183" s="2">
        <v>45450</v>
      </c>
      <c r="I183" t="s">
        <v>657</v>
      </c>
      <c r="J183" t="s">
        <v>657</v>
      </c>
      <c r="K183" t="s">
        <v>25</v>
      </c>
      <c r="M183" t="s">
        <v>59</v>
      </c>
      <c r="O183" s="10">
        <f t="shared" si="4"/>
        <v>6</v>
      </c>
      <c r="P183" s="10">
        <f t="shared" si="5"/>
        <v>2024</v>
      </c>
      <c r="Q183" t="str">
        <f>+VLOOKUP(O183,'COMISIONES ENERO-MARZO 2025 (2)'!$X:$Y,2,0)</f>
        <v>Junio</v>
      </c>
    </row>
    <row r="184" spans="3:17" x14ac:dyDescent="0.35">
      <c r="C184" t="s">
        <v>326</v>
      </c>
      <c r="D184">
        <v>53059501</v>
      </c>
      <c r="E184" t="s">
        <v>327</v>
      </c>
      <c r="F184" s="26">
        <v>8759.5400000000009</v>
      </c>
      <c r="G184" t="s">
        <v>658</v>
      </c>
      <c r="H184" s="2">
        <v>45489</v>
      </c>
      <c r="I184" t="s">
        <v>659</v>
      </c>
      <c r="J184" t="s">
        <v>659</v>
      </c>
      <c r="K184" t="s">
        <v>29</v>
      </c>
      <c r="M184" t="s">
        <v>59</v>
      </c>
      <c r="O184" s="10">
        <f t="shared" si="4"/>
        <v>7</v>
      </c>
      <c r="P184" s="10">
        <f t="shared" si="5"/>
        <v>2024</v>
      </c>
      <c r="Q184" t="str">
        <f>+VLOOKUP(O184,'COMISIONES ENERO-MARZO 2025 (2)'!$X:$Y,2,0)</f>
        <v>Julio</v>
      </c>
    </row>
    <row r="185" spans="3:17" x14ac:dyDescent="0.35">
      <c r="C185" t="s">
        <v>326</v>
      </c>
      <c r="D185">
        <v>53059501</v>
      </c>
      <c r="E185" t="s">
        <v>327</v>
      </c>
      <c r="F185" s="26">
        <v>5739.77</v>
      </c>
      <c r="G185" t="s">
        <v>660</v>
      </c>
      <c r="H185" s="2">
        <v>45499</v>
      </c>
      <c r="I185" t="s">
        <v>661</v>
      </c>
      <c r="J185" t="s">
        <v>661</v>
      </c>
      <c r="K185" t="s">
        <v>29</v>
      </c>
      <c r="M185" t="s">
        <v>59</v>
      </c>
      <c r="O185" s="10">
        <f t="shared" si="4"/>
        <v>7</v>
      </c>
      <c r="P185" s="10">
        <f t="shared" si="5"/>
        <v>2024</v>
      </c>
      <c r="Q185" t="str">
        <f>+VLOOKUP(O185,'COMISIONES ENERO-MARZO 2025 (2)'!$X:$Y,2,0)</f>
        <v>Julio</v>
      </c>
    </row>
    <row r="186" spans="3:17" x14ac:dyDescent="0.35">
      <c r="C186" t="s">
        <v>326</v>
      </c>
      <c r="D186">
        <v>53059501</v>
      </c>
      <c r="E186" t="s">
        <v>327</v>
      </c>
      <c r="F186" s="26">
        <v>95630</v>
      </c>
      <c r="G186" t="s">
        <v>662</v>
      </c>
      <c r="H186" s="2">
        <v>45504</v>
      </c>
      <c r="I186" t="s">
        <v>663</v>
      </c>
      <c r="J186" t="s">
        <v>663</v>
      </c>
      <c r="K186" t="s">
        <v>35</v>
      </c>
      <c r="M186" t="s">
        <v>59</v>
      </c>
      <c r="O186" s="10">
        <f t="shared" si="4"/>
        <v>7</v>
      </c>
      <c r="P186" s="10">
        <f t="shared" si="5"/>
        <v>2024</v>
      </c>
      <c r="Q186" t="str">
        <f>+VLOOKUP(O186,'COMISIONES ENERO-MARZO 2025 (2)'!$X:$Y,2,0)</f>
        <v>Julio</v>
      </c>
    </row>
    <row r="187" spans="3:17" x14ac:dyDescent="0.35">
      <c r="C187" t="s">
        <v>326</v>
      </c>
      <c r="D187">
        <v>53059501</v>
      </c>
      <c r="E187" t="s">
        <v>327</v>
      </c>
      <c r="F187" s="26">
        <v>-95630</v>
      </c>
      <c r="G187" t="s">
        <v>664</v>
      </c>
      <c r="H187" s="2">
        <v>45505</v>
      </c>
      <c r="I187" t="s">
        <v>665</v>
      </c>
      <c r="J187" t="s">
        <v>665</v>
      </c>
      <c r="K187" t="s">
        <v>35</v>
      </c>
      <c r="M187" t="s">
        <v>59</v>
      </c>
      <c r="O187" s="10">
        <f t="shared" si="4"/>
        <v>8</v>
      </c>
      <c r="P187" s="10">
        <f t="shared" si="5"/>
        <v>2024</v>
      </c>
      <c r="Q187" t="str">
        <f>+VLOOKUP(O187,'COMISIONES ENERO-MARZO 2025 (2)'!$X:$Y,2,0)</f>
        <v>Agosto</v>
      </c>
    </row>
    <row r="188" spans="3:17" x14ac:dyDescent="0.35">
      <c r="C188" t="s">
        <v>326</v>
      </c>
      <c r="D188">
        <v>53059501</v>
      </c>
      <c r="E188" t="s">
        <v>327</v>
      </c>
      <c r="F188" s="26">
        <v>5894</v>
      </c>
      <c r="G188" t="s">
        <v>666</v>
      </c>
      <c r="H188" s="2">
        <v>45525</v>
      </c>
      <c r="I188" t="s">
        <v>667</v>
      </c>
      <c r="J188" t="s">
        <v>667</v>
      </c>
      <c r="K188" t="s">
        <v>35</v>
      </c>
      <c r="M188" t="s">
        <v>59</v>
      </c>
      <c r="O188" s="10">
        <f t="shared" si="4"/>
        <v>8</v>
      </c>
      <c r="P188" s="10">
        <f t="shared" si="5"/>
        <v>2024</v>
      </c>
      <c r="Q188" t="str">
        <f>+VLOOKUP(O188,'COMISIONES ENERO-MARZO 2025 (2)'!$X:$Y,2,0)</f>
        <v>Agosto</v>
      </c>
    </row>
    <row r="189" spans="3:17" x14ac:dyDescent="0.35">
      <c r="C189" t="s">
        <v>326</v>
      </c>
      <c r="D189">
        <v>53059501</v>
      </c>
      <c r="E189" t="s">
        <v>327</v>
      </c>
      <c r="F189" s="26">
        <v>-1020408</v>
      </c>
      <c r="G189" t="s">
        <v>668</v>
      </c>
      <c r="H189" s="2">
        <v>45530</v>
      </c>
      <c r="I189" t="s">
        <v>669</v>
      </c>
      <c r="J189" t="s">
        <v>669</v>
      </c>
      <c r="K189" t="s">
        <v>670</v>
      </c>
      <c r="M189" t="s">
        <v>59</v>
      </c>
      <c r="O189" s="10">
        <f t="shared" si="4"/>
        <v>8</v>
      </c>
      <c r="P189" s="10">
        <f t="shared" si="5"/>
        <v>2024</v>
      </c>
      <c r="Q189" t="str">
        <f>+VLOOKUP(O189,'COMISIONES ENERO-MARZO 2025 (2)'!$X:$Y,2,0)</f>
        <v>Agosto</v>
      </c>
    </row>
    <row r="190" spans="3:17" x14ac:dyDescent="0.35">
      <c r="C190" t="s">
        <v>326</v>
      </c>
      <c r="D190">
        <v>53059501</v>
      </c>
      <c r="E190" t="s">
        <v>327</v>
      </c>
      <c r="F190" s="26">
        <v>3379682.15</v>
      </c>
      <c r="G190" t="s">
        <v>671</v>
      </c>
      <c r="H190" s="2">
        <v>45535</v>
      </c>
      <c r="I190" t="s">
        <v>672</v>
      </c>
      <c r="J190" t="s">
        <v>672</v>
      </c>
      <c r="K190" t="s">
        <v>35</v>
      </c>
      <c r="M190" t="s">
        <v>59</v>
      </c>
      <c r="O190" s="10">
        <f t="shared" si="4"/>
        <v>8</v>
      </c>
      <c r="P190" s="10">
        <f t="shared" si="5"/>
        <v>2024</v>
      </c>
      <c r="Q190" t="str">
        <f>+VLOOKUP(O190,'COMISIONES ENERO-MARZO 2025 (2)'!$X:$Y,2,0)</f>
        <v>Agosto</v>
      </c>
    </row>
    <row r="191" spans="3:17" x14ac:dyDescent="0.35">
      <c r="C191" t="s">
        <v>326</v>
      </c>
      <c r="D191">
        <v>53059501</v>
      </c>
      <c r="E191" t="s">
        <v>327</v>
      </c>
      <c r="F191" s="26">
        <v>12948.72</v>
      </c>
      <c r="G191" t="s">
        <v>673</v>
      </c>
      <c r="H191" s="2">
        <v>45553</v>
      </c>
      <c r="I191" t="s">
        <v>674</v>
      </c>
      <c r="J191" t="s">
        <v>675</v>
      </c>
      <c r="K191" t="s">
        <v>676</v>
      </c>
      <c r="M191" t="s">
        <v>59</v>
      </c>
      <c r="O191" s="10">
        <f t="shared" si="4"/>
        <v>9</v>
      </c>
      <c r="P191" s="10">
        <f t="shared" si="5"/>
        <v>2024</v>
      </c>
      <c r="Q191" t="str">
        <f>+VLOOKUP(O191,'COMISIONES ENERO-MARZO 2025 (2)'!$X:$Y,2,0)</f>
        <v>Septiembre</v>
      </c>
    </row>
    <row r="192" spans="3:17" x14ac:dyDescent="0.35">
      <c r="C192" t="s">
        <v>326</v>
      </c>
      <c r="D192">
        <v>53059501</v>
      </c>
      <c r="E192" t="s">
        <v>327</v>
      </c>
      <c r="F192" s="26">
        <v>51273.79</v>
      </c>
      <c r="G192" t="s">
        <v>673</v>
      </c>
      <c r="H192" s="2">
        <v>45553</v>
      </c>
      <c r="I192" t="s">
        <v>677</v>
      </c>
      <c r="J192" t="s">
        <v>675</v>
      </c>
      <c r="K192" t="s">
        <v>676</v>
      </c>
      <c r="M192" t="s">
        <v>59</v>
      </c>
      <c r="O192" s="10">
        <f t="shared" si="4"/>
        <v>9</v>
      </c>
      <c r="P192" s="10">
        <f t="shared" si="5"/>
        <v>2024</v>
      </c>
      <c r="Q192" t="str">
        <f>+VLOOKUP(O192,'COMISIONES ENERO-MARZO 2025 (2)'!$X:$Y,2,0)</f>
        <v>Septiembre</v>
      </c>
    </row>
    <row r="193" spans="3:17" x14ac:dyDescent="0.35">
      <c r="C193" t="s">
        <v>326</v>
      </c>
      <c r="D193">
        <v>53059501</v>
      </c>
      <c r="E193" t="s">
        <v>327</v>
      </c>
      <c r="F193" s="26">
        <v>34655</v>
      </c>
      <c r="G193" t="s">
        <v>678</v>
      </c>
      <c r="H193" s="2">
        <v>45581</v>
      </c>
      <c r="I193" t="s">
        <v>679</v>
      </c>
      <c r="J193" t="s">
        <v>679</v>
      </c>
      <c r="K193" t="s">
        <v>35</v>
      </c>
      <c r="M193" t="s">
        <v>59</v>
      </c>
      <c r="O193" s="10">
        <f t="shared" si="4"/>
        <v>10</v>
      </c>
      <c r="P193" s="10">
        <f t="shared" si="5"/>
        <v>2024</v>
      </c>
      <c r="Q193" t="str">
        <f>+VLOOKUP(O193,'COMISIONES ENERO-MARZO 2025 (2)'!$X:$Y,2,0)</f>
        <v>Octubre</v>
      </c>
    </row>
    <row r="194" spans="3:17" x14ac:dyDescent="0.35">
      <c r="C194" t="s">
        <v>326</v>
      </c>
      <c r="D194">
        <v>53059501</v>
      </c>
      <c r="E194" t="s">
        <v>327</v>
      </c>
      <c r="F194" s="26">
        <v>13633.6</v>
      </c>
      <c r="G194" t="s">
        <v>680</v>
      </c>
      <c r="H194" s="2">
        <v>45603</v>
      </c>
      <c r="I194" t="s">
        <v>151</v>
      </c>
      <c r="J194" t="s">
        <v>151</v>
      </c>
      <c r="K194" t="s">
        <v>29</v>
      </c>
      <c r="M194" t="s">
        <v>59</v>
      </c>
      <c r="O194" s="10">
        <f t="shared" si="4"/>
        <v>11</v>
      </c>
      <c r="P194" s="10">
        <f t="shared" si="5"/>
        <v>2024</v>
      </c>
      <c r="Q194" t="str">
        <f>+VLOOKUP(O194,'COMISIONES ENERO-MARZO 2025 (2)'!$X:$Y,2,0)</f>
        <v>Noviembre</v>
      </c>
    </row>
    <row r="195" spans="3:17" x14ac:dyDescent="0.35">
      <c r="C195" t="s">
        <v>326</v>
      </c>
      <c r="D195">
        <v>53059501</v>
      </c>
      <c r="E195" t="s">
        <v>327</v>
      </c>
      <c r="F195" s="26">
        <v>1616.8</v>
      </c>
      <c r="G195" t="s">
        <v>681</v>
      </c>
      <c r="H195" s="2">
        <v>45603</v>
      </c>
      <c r="I195" t="s">
        <v>153</v>
      </c>
      <c r="J195" t="s">
        <v>153</v>
      </c>
      <c r="K195" t="s">
        <v>29</v>
      </c>
      <c r="M195" t="s">
        <v>59</v>
      </c>
      <c r="O195" s="10">
        <f t="shared" ref="O195:O258" si="6">+MONTH(H195)</f>
        <v>11</v>
      </c>
      <c r="P195" s="10">
        <f t="shared" ref="P195:P258" si="7">+YEAR(H195)</f>
        <v>2024</v>
      </c>
      <c r="Q195" t="str">
        <f>+VLOOKUP(O195,'COMISIONES ENERO-MARZO 2025 (2)'!$X:$Y,2,0)</f>
        <v>Noviembre</v>
      </c>
    </row>
    <row r="196" spans="3:17" x14ac:dyDescent="0.35">
      <c r="C196" t="s">
        <v>326</v>
      </c>
      <c r="D196">
        <v>53059501</v>
      </c>
      <c r="E196" t="s">
        <v>327</v>
      </c>
      <c r="F196" s="26">
        <v>4016.8</v>
      </c>
      <c r="G196" t="s">
        <v>682</v>
      </c>
      <c r="H196" s="2">
        <v>45603</v>
      </c>
      <c r="I196" t="s">
        <v>151</v>
      </c>
      <c r="J196" t="s">
        <v>151</v>
      </c>
      <c r="K196" t="s">
        <v>29</v>
      </c>
      <c r="M196" t="s">
        <v>59</v>
      </c>
      <c r="O196" s="10">
        <f t="shared" si="6"/>
        <v>11</v>
      </c>
      <c r="P196" s="10">
        <f t="shared" si="7"/>
        <v>2024</v>
      </c>
      <c r="Q196" t="str">
        <f>+VLOOKUP(O196,'COMISIONES ENERO-MARZO 2025 (2)'!$X:$Y,2,0)</f>
        <v>Noviembre</v>
      </c>
    </row>
    <row r="197" spans="3:17" x14ac:dyDescent="0.35">
      <c r="C197" t="s">
        <v>326</v>
      </c>
      <c r="D197">
        <v>53059501</v>
      </c>
      <c r="E197" t="s">
        <v>327</v>
      </c>
      <c r="F197" s="26">
        <v>1823.1</v>
      </c>
      <c r="G197" t="s">
        <v>683</v>
      </c>
      <c r="H197" s="2">
        <v>45596</v>
      </c>
      <c r="I197" t="s">
        <v>684</v>
      </c>
      <c r="J197" t="s">
        <v>684</v>
      </c>
      <c r="K197" t="s">
        <v>685</v>
      </c>
      <c r="M197" t="s">
        <v>59</v>
      </c>
      <c r="O197" s="10">
        <f t="shared" si="6"/>
        <v>10</v>
      </c>
      <c r="P197" s="10">
        <f t="shared" si="7"/>
        <v>2024</v>
      </c>
      <c r="Q197" t="str">
        <f>+VLOOKUP(O197,'COMISIONES ENERO-MARZO 2025 (2)'!$X:$Y,2,0)</f>
        <v>Octubre</v>
      </c>
    </row>
    <row r="198" spans="3:17" x14ac:dyDescent="0.35">
      <c r="C198" t="s">
        <v>326</v>
      </c>
      <c r="D198">
        <v>53059501</v>
      </c>
      <c r="E198" t="s">
        <v>327</v>
      </c>
      <c r="F198" s="26">
        <v>6905</v>
      </c>
      <c r="G198" t="s">
        <v>686</v>
      </c>
      <c r="H198" s="2">
        <v>45621</v>
      </c>
      <c r="I198" t="s">
        <v>687</v>
      </c>
      <c r="J198" t="s">
        <v>687</v>
      </c>
      <c r="K198" t="s">
        <v>19</v>
      </c>
      <c r="M198" t="s">
        <v>59</v>
      </c>
      <c r="O198" s="10">
        <f t="shared" si="6"/>
        <v>11</v>
      </c>
      <c r="P198" s="10">
        <f t="shared" si="7"/>
        <v>2024</v>
      </c>
      <c r="Q198" t="str">
        <f>+VLOOKUP(O198,'COMISIONES ENERO-MARZO 2025 (2)'!$X:$Y,2,0)</f>
        <v>Noviembre</v>
      </c>
    </row>
    <row r="199" spans="3:17" x14ac:dyDescent="0.35">
      <c r="C199" t="s">
        <v>326</v>
      </c>
      <c r="D199">
        <v>53059501</v>
      </c>
      <c r="E199" t="s">
        <v>327</v>
      </c>
      <c r="F199" s="26">
        <v>7696.8</v>
      </c>
      <c r="G199" t="s">
        <v>150</v>
      </c>
      <c r="H199" s="2">
        <v>45692</v>
      </c>
      <c r="I199" t="s">
        <v>151</v>
      </c>
      <c r="J199" t="s">
        <v>151</v>
      </c>
      <c r="K199" t="s">
        <v>29</v>
      </c>
      <c r="M199" t="s">
        <v>59</v>
      </c>
      <c r="O199" s="10">
        <f t="shared" si="6"/>
        <v>2</v>
      </c>
      <c r="P199" s="10">
        <f t="shared" si="7"/>
        <v>2025</v>
      </c>
      <c r="Q199" t="str">
        <f>+VLOOKUP(O199,'COMISIONES ENERO-MARZO 2025 (2)'!$X:$Y,2,0)</f>
        <v>Febrero</v>
      </c>
    </row>
    <row r="200" spans="3:17" x14ac:dyDescent="0.35">
      <c r="C200" t="s">
        <v>326</v>
      </c>
      <c r="D200">
        <v>53059501</v>
      </c>
      <c r="E200" t="s">
        <v>327</v>
      </c>
      <c r="F200" s="26">
        <v>5536.8</v>
      </c>
      <c r="G200" t="s">
        <v>152</v>
      </c>
      <c r="H200" s="2">
        <v>45692</v>
      </c>
      <c r="I200" t="s">
        <v>151</v>
      </c>
      <c r="J200" t="s">
        <v>153</v>
      </c>
      <c r="K200" t="s">
        <v>29</v>
      </c>
      <c r="M200" t="s">
        <v>59</v>
      </c>
      <c r="O200" s="10">
        <f t="shared" si="6"/>
        <v>2</v>
      </c>
      <c r="P200" s="10">
        <f t="shared" si="7"/>
        <v>2025</v>
      </c>
      <c r="Q200" t="str">
        <f>+VLOOKUP(O200,'COMISIONES ENERO-MARZO 2025 (2)'!$X:$Y,2,0)</f>
        <v>Febrero</v>
      </c>
    </row>
    <row r="201" spans="3:17" x14ac:dyDescent="0.35">
      <c r="C201" t="s">
        <v>326</v>
      </c>
      <c r="D201">
        <v>53059501</v>
      </c>
      <c r="E201" t="s">
        <v>327</v>
      </c>
      <c r="F201" s="26">
        <v>2496.8000000000002</v>
      </c>
      <c r="G201" t="s">
        <v>154</v>
      </c>
      <c r="H201" s="2">
        <v>45692</v>
      </c>
      <c r="I201" t="s">
        <v>151</v>
      </c>
      <c r="J201" t="s">
        <v>155</v>
      </c>
      <c r="K201" t="s">
        <v>29</v>
      </c>
      <c r="M201" t="s">
        <v>59</v>
      </c>
      <c r="O201" s="10">
        <f t="shared" si="6"/>
        <v>2</v>
      </c>
      <c r="P201" s="10">
        <f t="shared" si="7"/>
        <v>2025</v>
      </c>
      <c r="Q201" t="str">
        <f>+VLOOKUP(O201,'COMISIONES ENERO-MARZO 2025 (2)'!$X:$Y,2,0)</f>
        <v>Febrero</v>
      </c>
    </row>
    <row r="202" spans="3:17" x14ac:dyDescent="0.35">
      <c r="C202" t="s">
        <v>326</v>
      </c>
      <c r="D202">
        <v>53059501</v>
      </c>
      <c r="E202" t="s">
        <v>327</v>
      </c>
      <c r="F202" s="26">
        <v>4925599.8099999996</v>
      </c>
      <c r="G202" t="s">
        <v>164</v>
      </c>
      <c r="H202" s="2">
        <v>45715</v>
      </c>
      <c r="I202" t="s">
        <v>688</v>
      </c>
      <c r="J202" t="s">
        <v>166</v>
      </c>
      <c r="K202" t="s">
        <v>42</v>
      </c>
      <c r="M202" t="s">
        <v>59</v>
      </c>
      <c r="O202" s="10">
        <f t="shared" si="6"/>
        <v>2</v>
      </c>
      <c r="P202" s="10">
        <f t="shared" si="7"/>
        <v>2025</v>
      </c>
      <c r="Q202" t="str">
        <f>+VLOOKUP(O202,'COMISIONES ENERO-MARZO 2025 (2)'!$X:$Y,2,0)</f>
        <v>Febrero</v>
      </c>
    </row>
    <row r="203" spans="3:17" x14ac:dyDescent="0.35">
      <c r="C203" t="s">
        <v>326</v>
      </c>
      <c r="D203">
        <v>53059501</v>
      </c>
      <c r="E203" t="s">
        <v>327</v>
      </c>
      <c r="F203" s="26">
        <v>4320989.6900000004</v>
      </c>
      <c r="G203" t="s">
        <v>164</v>
      </c>
      <c r="H203" s="2">
        <v>45715</v>
      </c>
      <c r="I203" t="s">
        <v>689</v>
      </c>
      <c r="J203" t="s">
        <v>166</v>
      </c>
      <c r="K203" t="s">
        <v>42</v>
      </c>
      <c r="M203" t="s">
        <v>59</v>
      </c>
      <c r="O203" s="10">
        <f t="shared" si="6"/>
        <v>2</v>
      </c>
      <c r="P203" s="10">
        <f t="shared" si="7"/>
        <v>2025</v>
      </c>
      <c r="Q203" t="str">
        <f>+VLOOKUP(O203,'COMISIONES ENERO-MARZO 2025 (2)'!$X:$Y,2,0)</f>
        <v>Febrero</v>
      </c>
    </row>
    <row r="204" spans="3:17" x14ac:dyDescent="0.35">
      <c r="C204" t="s">
        <v>326</v>
      </c>
      <c r="D204">
        <v>53059501</v>
      </c>
      <c r="E204" t="s">
        <v>327</v>
      </c>
      <c r="F204" s="26">
        <v>6188</v>
      </c>
      <c r="G204" t="s">
        <v>164</v>
      </c>
      <c r="H204" s="2">
        <v>45715</v>
      </c>
      <c r="I204" t="s">
        <v>690</v>
      </c>
      <c r="J204" t="s">
        <v>166</v>
      </c>
      <c r="K204" t="s">
        <v>75</v>
      </c>
      <c r="M204" t="s">
        <v>59</v>
      </c>
      <c r="O204" s="10">
        <f t="shared" si="6"/>
        <v>2</v>
      </c>
      <c r="P204" s="10">
        <f t="shared" si="7"/>
        <v>2025</v>
      </c>
      <c r="Q204" t="str">
        <f>+VLOOKUP(O204,'COMISIONES ENERO-MARZO 2025 (2)'!$X:$Y,2,0)</f>
        <v>Febrero</v>
      </c>
    </row>
    <row r="205" spans="3:17" x14ac:dyDescent="0.35">
      <c r="C205" t="s">
        <v>326</v>
      </c>
      <c r="D205">
        <v>53059501</v>
      </c>
      <c r="E205" t="s">
        <v>327</v>
      </c>
      <c r="F205" s="26">
        <v>54140</v>
      </c>
      <c r="G205" t="s">
        <v>164</v>
      </c>
      <c r="H205" s="2">
        <v>45715</v>
      </c>
      <c r="I205" t="s">
        <v>691</v>
      </c>
      <c r="J205" t="s">
        <v>166</v>
      </c>
      <c r="K205" t="s">
        <v>19</v>
      </c>
      <c r="M205" t="s">
        <v>59</v>
      </c>
      <c r="O205" s="10">
        <f t="shared" si="6"/>
        <v>2</v>
      </c>
      <c r="P205" s="10">
        <f t="shared" si="7"/>
        <v>2025</v>
      </c>
      <c r="Q205" t="str">
        <f>+VLOOKUP(O205,'COMISIONES ENERO-MARZO 2025 (2)'!$X:$Y,2,0)</f>
        <v>Febrero</v>
      </c>
    </row>
    <row r="206" spans="3:17" x14ac:dyDescent="0.35">
      <c r="C206" t="s">
        <v>326</v>
      </c>
      <c r="D206">
        <v>53059501</v>
      </c>
      <c r="E206" t="s">
        <v>327</v>
      </c>
      <c r="F206" s="26">
        <v>12376</v>
      </c>
      <c r="G206" t="s">
        <v>164</v>
      </c>
      <c r="H206" s="2">
        <v>45715</v>
      </c>
      <c r="I206" t="s">
        <v>692</v>
      </c>
      <c r="J206" t="s">
        <v>166</v>
      </c>
      <c r="K206" t="s">
        <v>75</v>
      </c>
      <c r="M206" t="s">
        <v>59</v>
      </c>
      <c r="O206" s="10">
        <f t="shared" si="6"/>
        <v>2</v>
      </c>
      <c r="P206" s="10">
        <f t="shared" si="7"/>
        <v>2025</v>
      </c>
      <c r="Q206" t="str">
        <f>+VLOOKUP(O206,'COMISIONES ENERO-MARZO 2025 (2)'!$X:$Y,2,0)</f>
        <v>Febrero</v>
      </c>
    </row>
    <row r="207" spans="3:17" x14ac:dyDescent="0.35">
      <c r="C207" t="s">
        <v>326</v>
      </c>
      <c r="D207">
        <v>53059501</v>
      </c>
      <c r="E207" t="s">
        <v>327</v>
      </c>
      <c r="F207" s="26">
        <v>1120018.3700000001</v>
      </c>
      <c r="G207" t="s">
        <v>693</v>
      </c>
      <c r="H207" s="2">
        <v>45747</v>
      </c>
      <c r="I207" t="s">
        <v>694</v>
      </c>
      <c r="J207" t="s">
        <v>694</v>
      </c>
      <c r="K207" t="s">
        <v>25</v>
      </c>
      <c r="M207" t="s">
        <v>59</v>
      </c>
      <c r="O207" s="10">
        <f t="shared" si="6"/>
        <v>3</v>
      </c>
      <c r="P207" s="10">
        <f t="shared" si="7"/>
        <v>2025</v>
      </c>
      <c r="Q207" t="str">
        <f>+VLOOKUP(O207,'COMISIONES ENERO-MARZO 2025 (2)'!$X:$Y,2,0)</f>
        <v>Marzo</v>
      </c>
    </row>
    <row r="208" spans="3:17" x14ac:dyDescent="0.35">
      <c r="C208" t="s">
        <v>326</v>
      </c>
      <c r="D208">
        <v>53059501</v>
      </c>
      <c r="E208" t="s">
        <v>327</v>
      </c>
      <c r="F208" s="26">
        <v>17929.84</v>
      </c>
      <c r="G208" t="s">
        <v>695</v>
      </c>
      <c r="H208" s="2">
        <v>45301</v>
      </c>
      <c r="I208" t="s">
        <v>696</v>
      </c>
      <c r="J208" t="s">
        <v>696</v>
      </c>
      <c r="K208" t="s">
        <v>29</v>
      </c>
      <c r="M208" t="s">
        <v>59</v>
      </c>
      <c r="O208" s="10">
        <f t="shared" si="6"/>
        <v>1</v>
      </c>
      <c r="P208" s="10">
        <f t="shared" si="7"/>
        <v>2024</v>
      </c>
      <c r="Q208" t="str">
        <f>+VLOOKUP(O208,'COMISIONES ENERO-MARZO 2025 (2)'!$X:$Y,2,0)</f>
        <v>Enero</v>
      </c>
    </row>
    <row r="209" spans="3:17" x14ac:dyDescent="0.35">
      <c r="C209" t="s">
        <v>326</v>
      </c>
      <c r="D209">
        <v>53059501</v>
      </c>
      <c r="E209" t="s">
        <v>327</v>
      </c>
      <c r="F209" s="26">
        <v>6593.22</v>
      </c>
      <c r="G209" t="s">
        <v>697</v>
      </c>
      <c r="H209" s="2">
        <v>45308</v>
      </c>
      <c r="I209" t="s">
        <v>698</v>
      </c>
      <c r="J209" t="s">
        <v>698</v>
      </c>
      <c r="K209" t="s">
        <v>29</v>
      </c>
      <c r="M209" t="s">
        <v>59</v>
      </c>
      <c r="O209" s="10">
        <f t="shared" si="6"/>
        <v>1</v>
      </c>
      <c r="P209" s="10">
        <f t="shared" si="7"/>
        <v>2024</v>
      </c>
      <c r="Q209" t="str">
        <f>+VLOOKUP(O209,'COMISIONES ENERO-MARZO 2025 (2)'!$X:$Y,2,0)</f>
        <v>Enero</v>
      </c>
    </row>
    <row r="210" spans="3:17" x14ac:dyDescent="0.35">
      <c r="C210" t="s">
        <v>326</v>
      </c>
      <c r="D210">
        <v>53059501</v>
      </c>
      <c r="E210" t="s">
        <v>327</v>
      </c>
      <c r="F210" s="26">
        <v>6113.22</v>
      </c>
      <c r="G210" t="s">
        <v>699</v>
      </c>
      <c r="H210" s="2">
        <v>45322</v>
      </c>
      <c r="I210" t="s">
        <v>700</v>
      </c>
      <c r="J210" t="s">
        <v>700</v>
      </c>
      <c r="K210" t="s">
        <v>29</v>
      </c>
      <c r="M210" t="s">
        <v>59</v>
      </c>
      <c r="O210" s="10">
        <f t="shared" si="6"/>
        <v>1</v>
      </c>
      <c r="P210" s="10">
        <f t="shared" si="7"/>
        <v>2024</v>
      </c>
      <c r="Q210" t="str">
        <f>+VLOOKUP(O210,'COMISIONES ENERO-MARZO 2025 (2)'!$X:$Y,2,0)</f>
        <v>Enero</v>
      </c>
    </row>
    <row r="211" spans="3:17" x14ac:dyDescent="0.35">
      <c r="C211" t="s">
        <v>326</v>
      </c>
      <c r="D211">
        <v>53059501</v>
      </c>
      <c r="E211" t="s">
        <v>327</v>
      </c>
      <c r="F211" s="26">
        <v>3245</v>
      </c>
      <c r="G211" t="s">
        <v>701</v>
      </c>
      <c r="H211" s="2">
        <v>45322</v>
      </c>
      <c r="I211" t="s">
        <v>702</v>
      </c>
      <c r="J211" t="s">
        <v>702</v>
      </c>
      <c r="K211" t="s">
        <v>35</v>
      </c>
      <c r="M211" t="s">
        <v>59</v>
      </c>
      <c r="O211" s="10">
        <f t="shared" si="6"/>
        <v>1</v>
      </c>
      <c r="P211" s="10">
        <f t="shared" si="7"/>
        <v>2024</v>
      </c>
      <c r="Q211" t="str">
        <f>+VLOOKUP(O211,'COMISIONES ENERO-MARZO 2025 (2)'!$X:$Y,2,0)</f>
        <v>Enero</v>
      </c>
    </row>
    <row r="212" spans="3:17" x14ac:dyDescent="0.35">
      <c r="C212" t="s">
        <v>326</v>
      </c>
      <c r="D212">
        <v>53059501</v>
      </c>
      <c r="E212" t="s">
        <v>327</v>
      </c>
      <c r="F212" s="26">
        <v>2856.61</v>
      </c>
      <c r="G212" t="s">
        <v>703</v>
      </c>
      <c r="H212" s="2">
        <v>45322</v>
      </c>
      <c r="I212" t="s">
        <v>704</v>
      </c>
      <c r="J212" t="s">
        <v>704</v>
      </c>
      <c r="K212" t="s">
        <v>29</v>
      </c>
      <c r="M212" t="s">
        <v>59</v>
      </c>
      <c r="O212" s="10">
        <f t="shared" si="6"/>
        <v>1</v>
      </c>
      <c r="P212" s="10">
        <f t="shared" si="7"/>
        <v>2024</v>
      </c>
      <c r="Q212" t="str">
        <f>+VLOOKUP(O212,'COMISIONES ENERO-MARZO 2025 (2)'!$X:$Y,2,0)</f>
        <v>Enero</v>
      </c>
    </row>
    <row r="213" spans="3:17" x14ac:dyDescent="0.35">
      <c r="C213" t="s">
        <v>326</v>
      </c>
      <c r="D213">
        <v>53059501</v>
      </c>
      <c r="E213" t="s">
        <v>327</v>
      </c>
      <c r="F213" s="26">
        <v>12193.22</v>
      </c>
      <c r="G213" t="s">
        <v>705</v>
      </c>
      <c r="H213" s="2">
        <v>45328</v>
      </c>
      <c r="I213" t="s">
        <v>706</v>
      </c>
      <c r="J213" t="s">
        <v>706</v>
      </c>
      <c r="K213" t="s">
        <v>29</v>
      </c>
      <c r="M213" t="s">
        <v>59</v>
      </c>
      <c r="O213" s="10">
        <f t="shared" si="6"/>
        <v>2</v>
      </c>
      <c r="P213" s="10">
        <f t="shared" si="7"/>
        <v>2024</v>
      </c>
      <c r="Q213" t="str">
        <f>+VLOOKUP(O213,'COMISIONES ENERO-MARZO 2025 (2)'!$X:$Y,2,0)</f>
        <v>Febrero</v>
      </c>
    </row>
    <row r="214" spans="3:17" x14ac:dyDescent="0.35">
      <c r="C214" t="s">
        <v>326</v>
      </c>
      <c r="D214">
        <v>53059501</v>
      </c>
      <c r="E214" t="s">
        <v>327</v>
      </c>
      <c r="F214" s="26">
        <v>9816.61</v>
      </c>
      <c r="G214" t="s">
        <v>707</v>
      </c>
      <c r="H214" s="2">
        <v>45334</v>
      </c>
      <c r="I214" t="s">
        <v>708</v>
      </c>
      <c r="J214" t="s">
        <v>708</v>
      </c>
      <c r="K214" t="s">
        <v>29</v>
      </c>
      <c r="M214" t="s">
        <v>59</v>
      </c>
      <c r="O214" s="10">
        <f t="shared" si="6"/>
        <v>2</v>
      </c>
      <c r="P214" s="10">
        <f t="shared" si="7"/>
        <v>2024</v>
      </c>
      <c r="Q214" t="str">
        <f>+VLOOKUP(O214,'COMISIONES ENERO-MARZO 2025 (2)'!$X:$Y,2,0)</f>
        <v>Febrero</v>
      </c>
    </row>
    <row r="215" spans="3:17" x14ac:dyDescent="0.35">
      <c r="C215" t="s">
        <v>326</v>
      </c>
      <c r="D215">
        <v>53059501</v>
      </c>
      <c r="E215" t="s">
        <v>327</v>
      </c>
      <c r="F215" s="26">
        <v>13241</v>
      </c>
      <c r="G215" t="s">
        <v>709</v>
      </c>
      <c r="H215" s="2">
        <v>45342</v>
      </c>
      <c r="I215" t="s">
        <v>710</v>
      </c>
      <c r="J215" t="s">
        <v>710</v>
      </c>
      <c r="K215" t="s">
        <v>19</v>
      </c>
      <c r="M215" t="s">
        <v>59</v>
      </c>
      <c r="O215" s="10">
        <f t="shared" si="6"/>
        <v>2</v>
      </c>
      <c r="P215" s="10">
        <f t="shared" si="7"/>
        <v>2024</v>
      </c>
      <c r="Q215" t="str">
        <f>+VLOOKUP(O215,'COMISIONES ENERO-MARZO 2025 (2)'!$X:$Y,2,0)</f>
        <v>Febrero</v>
      </c>
    </row>
    <row r="216" spans="3:17" x14ac:dyDescent="0.35">
      <c r="C216" t="s">
        <v>326</v>
      </c>
      <c r="D216">
        <v>53059501</v>
      </c>
      <c r="E216" t="s">
        <v>327</v>
      </c>
      <c r="F216" s="26">
        <v>5056.6099999999997</v>
      </c>
      <c r="G216" t="s">
        <v>711</v>
      </c>
      <c r="H216" s="2">
        <v>45343</v>
      </c>
      <c r="I216" t="s">
        <v>712</v>
      </c>
      <c r="J216" t="s">
        <v>712</v>
      </c>
      <c r="K216" t="s">
        <v>29</v>
      </c>
      <c r="M216" t="s">
        <v>59</v>
      </c>
      <c r="O216" s="10">
        <f t="shared" si="6"/>
        <v>2</v>
      </c>
      <c r="P216" s="10">
        <f t="shared" si="7"/>
        <v>2024</v>
      </c>
      <c r="Q216" t="str">
        <f>+VLOOKUP(O216,'COMISIONES ENERO-MARZO 2025 (2)'!$X:$Y,2,0)</f>
        <v>Febrero</v>
      </c>
    </row>
    <row r="217" spans="3:17" x14ac:dyDescent="0.35">
      <c r="C217" t="s">
        <v>326</v>
      </c>
      <c r="D217">
        <v>53059501</v>
      </c>
      <c r="E217" t="s">
        <v>327</v>
      </c>
      <c r="F217" s="26">
        <v>5167</v>
      </c>
      <c r="G217" t="s">
        <v>713</v>
      </c>
      <c r="H217" s="2">
        <v>45344</v>
      </c>
      <c r="I217" t="s">
        <v>714</v>
      </c>
      <c r="J217" t="s">
        <v>715</v>
      </c>
      <c r="K217" t="s">
        <v>35</v>
      </c>
      <c r="M217" t="s">
        <v>59</v>
      </c>
      <c r="O217" s="10">
        <f t="shared" si="6"/>
        <v>2</v>
      </c>
      <c r="P217" s="10">
        <f t="shared" si="7"/>
        <v>2024</v>
      </c>
      <c r="Q217" t="str">
        <f>+VLOOKUP(O217,'COMISIONES ENERO-MARZO 2025 (2)'!$X:$Y,2,0)</f>
        <v>Febrero</v>
      </c>
    </row>
    <row r="218" spans="3:17" x14ac:dyDescent="0.35">
      <c r="C218" t="s">
        <v>326</v>
      </c>
      <c r="D218">
        <v>53059501</v>
      </c>
      <c r="E218" t="s">
        <v>327</v>
      </c>
      <c r="F218" s="26">
        <v>400</v>
      </c>
      <c r="G218" t="s">
        <v>716</v>
      </c>
      <c r="H218" s="2">
        <v>45349</v>
      </c>
      <c r="I218" t="s">
        <v>717</v>
      </c>
      <c r="J218" t="s">
        <v>717</v>
      </c>
      <c r="K218" t="s">
        <v>35</v>
      </c>
      <c r="M218" t="s">
        <v>59</v>
      </c>
      <c r="O218" s="10">
        <f t="shared" si="6"/>
        <v>2</v>
      </c>
      <c r="P218" s="10">
        <f t="shared" si="7"/>
        <v>2024</v>
      </c>
      <c r="Q218" t="str">
        <f>+VLOOKUP(O218,'COMISIONES ENERO-MARZO 2025 (2)'!$X:$Y,2,0)</f>
        <v>Febrero</v>
      </c>
    </row>
    <row r="219" spans="3:17" x14ac:dyDescent="0.35">
      <c r="C219" t="s">
        <v>326</v>
      </c>
      <c r="D219">
        <v>53059501</v>
      </c>
      <c r="E219" t="s">
        <v>327</v>
      </c>
      <c r="F219" s="26">
        <v>50574</v>
      </c>
      <c r="G219" t="s">
        <v>718</v>
      </c>
      <c r="H219" s="2">
        <v>45349</v>
      </c>
      <c r="I219" t="s">
        <v>719</v>
      </c>
      <c r="J219" t="s">
        <v>719</v>
      </c>
      <c r="K219" t="s">
        <v>35</v>
      </c>
      <c r="M219" t="s">
        <v>59</v>
      </c>
      <c r="O219" s="10">
        <f t="shared" si="6"/>
        <v>2</v>
      </c>
      <c r="P219" s="10">
        <f t="shared" si="7"/>
        <v>2024</v>
      </c>
      <c r="Q219" t="str">
        <f>+VLOOKUP(O219,'COMISIONES ENERO-MARZO 2025 (2)'!$X:$Y,2,0)</f>
        <v>Febrero</v>
      </c>
    </row>
    <row r="220" spans="3:17" x14ac:dyDescent="0.35">
      <c r="C220" t="s">
        <v>326</v>
      </c>
      <c r="D220">
        <v>53059501</v>
      </c>
      <c r="E220" t="s">
        <v>327</v>
      </c>
      <c r="F220" s="26">
        <v>2016.61</v>
      </c>
      <c r="G220" t="s">
        <v>720</v>
      </c>
      <c r="H220" s="2">
        <v>45338</v>
      </c>
      <c r="I220" t="s">
        <v>721</v>
      </c>
      <c r="J220" t="s">
        <v>721</v>
      </c>
      <c r="K220" t="s">
        <v>29</v>
      </c>
      <c r="M220" t="s">
        <v>59</v>
      </c>
      <c r="O220" s="10">
        <f t="shared" si="6"/>
        <v>2</v>
      </c>
      <c r="P220" s="10">
        <f t="shared" si="7"/>
        <v>2024</v>
      </c>
      <c r="Q220" t="str">
        <f>+VLOOKUP(O220,'COMISIONES ENERO-MARZO 2025 (2)'!$X:$Y,2,0)</f>
        <v>Febrero</v>
      </c>
    </row>
    <row r="221" spans="3:17" x14ac:dyDescent="0.35">
      <c r="C221" t="s">
        <v>326</v>
      </c>
      <c r="D221">
        <v>53059501</v>
      </c>
      <c r="E221" t="s">
        <v>327</v>
      </c>
      <c r="F221" s="26">
        <v>3496.61</v>
      </c>
      <c r="G221" t="s">
        <v>722</v>
      </c>
      <c r="H221" s="2">
        <v>45351</v>
      </c>
      <c r="I221" t="s">
        <v>723</v>
      </c>
      <c r="J221" t="s">
        <v>723</v>
      </c>
      <c r="K221" t="s">
        <v>29</v>
      </c>
      <c r="M221" t="s">
        <v>59</v>
      </c>
      <c r="O221" s="10">
        <f t="shared" si="6"/>
        <v>2</v>
      </c>
      <c r="P221" s="10">
        <f t="shared" si="7"/>
        <v>2024</v>
      </c>
      <c r="Q221" t="str">
        <f>+VLOOKUP(O221,'COMISIONES ENERO-MARZO 2025 (2)'!$X:$Y,2,0)</f>
        <v>Febrero</v>
      </c>
    </row>
    <row r="222" spans="3:17" x14ac:dyDescent="0.35">
      <c r="C222" t="s">
        <v>326</v>
      </c>
      <c r="D222">
        <v>53059501</v>
      </c>
      <c r="E222" t="s">
        <v>327</v>
      </c>
      <c r="F222" s="26">
        <v>4656.6099999999997</v>
      </c>
      <c r="G222" t="s">
        <v>724</v>
      </c>
      <c r="H222" s="2">
        <v>45349</v>
      </c>
      <c r="I222" t="s">
        <v>725</v>
      </c>
      <c r="J222" t="s">
        <v>725</v>
      </c>
      <c r="K222" t="s">
        <v>29</v>
      </c>
      <c r="M222" t="s">
        <v>59</v>
      </c>
      <c r="O222" s="10">
        <f t="shared" si="6"/>
        <v>2</v>
      </c>
      <c r="P222" s="10">
        <f t="shared" si="7"/>
        <v>2024</v>
      </c>
      <c r="Q222" t="str">
        <f>+VLOOKUP(O222,'COMISIONES ENERO-MARZO 2025 (2)'!$X:$Y,2,0)</f>
        <v>Febrero</v>
      </c>
    </row>
    <row r="223" spans="3:17" x14ac:dyDescent="0.35">
      <c r="C223" t="s">
        <v>326</v>
      </c>
      <c r="D223">
        <v>53059501</v>
      </c>
      <c r="E223" t="s">
        <v>327</v>
      </c>
      <c r="F223" s="26">
        <v>4416.6099999999997</v>
      </c>
      <c r="G223" t="s">
        <v>726</v>
      </c>
      <c r="H223" s="2">
        <v>45351</v>
      </c>
      <c r="I223" t="s">
        <v>727</v>
      </c>
      <c r="J223" t="s">
        <v>727</v>
      </c>
      <c r="K223" t="s">
        <v>29</v>
      </c>
      <c r="M223" t="s">
        <v>59</v>
      </c>
      <c r="O223" s="10">
        <f t="shared" si="6"/>
        <v>2</v>
      </c>
      <c r="P223" s="10">
        <f t="shared" si="7"/>
        <v>2024</v>
      </c>
      <c r="Q223" t="str">
        <f>+VLOOKUP(O223,'COMISIONES ENERO-MARZO 2025 (2)'!$X:$Y,2,0)</f>
        <v>Febrero</v>
      </c>
    </row>
    <row r="224" spans="3:17" x14ac:dyDescent="0.35">
      <c r="C224" t="s">
        <v>326</v>
      </c>
      <c r="D224">
        <v>53059501</v>
      </c>
      <c r="E224" t="s">
        <v>327</v>
      </c>
      <c r="F224" s="26">
        <v>5099.7700000000004</v>
      </c>
      <c r="G224" t="s">
        <v>728</v>
      </c>
      <c r="H224" s="2">
        <v>45358</v>
      </c>
      <c r="I224" t="s">
        <v>729</v>
      </c>
      <c r="J224" t="s">
        <v>729</v>
      </c>
      <c r="K224" t="s">
        <v>29</v>
      </c>
      <c r="M224" t="s">
        <v>59</v>
      </c>
      <c r="O224" s="10">
        <f t="shared" si="6"/>
        <v>3</v>
      </c>
      <c r="P224" s="10">
        <f t="shared" si="7"/>
        <v>2024</v>
      </c>
      <c r="Q224" t="str">
        <f>+VLOOKUP(O224,'COMISIONES ENERO-MARZO 2025 (2)'!$X:$Y,2,0)</f>
        <v>Marzo</v>
      </c>
    </row>
    <row r="225" spans="3:17" x14ac:dyDescent="0.35">
      <c r="C225" t="s">
        <v>326</v>
      </c>
      <c r="D225">
        <v>53059501</v>
      </c>
      <c r="E225" t="s">
        <v>327</v>
      </c>
      <c r="F225" s="26">
        <v>14199.54</v>
      </c>
      <c r="G225" t="s">
        <v>730</v>
      </c>
      <c r="H225" s="2">
        <v>45358</v>
      </c>
      <c r="I225" t="s">
        <v>731</v>
      </c>
      <c r="J225" t="s">
        <v>731</v>
      </c>
      <c r="K225" t="s">
        <v>29</v>
      </c>
      <c r="M225" t="s">
        <v>59</v>
      </c>
      <c r="O225" s="10">
        <f t="shared" si="6"/>
        <v>3</v>
      </c>
      <c r="P225" s="10">
        <f t="shared" si="7"/>
        <v>2024</v>
      </c>
      <c r="Q225" t="str">
        <f>+VLOOKUP(O225,'COMISIONES ENERO-MARZO 2025 (2)'!$X:$Y,2,0)</f>
        <v>Marzo</v>
      </c>
    </row>
    <row r="226" spans="3:17" x14ac:dyDescent="0.35">
      <c r="C226" t="s">
        <v>326</v>
      </c>
      <c r="D226">
        <v>53059501</v>
      </c>
      <c r="E226" t="s">
        <v>327</v>
      </c>
      <c r="F226" s="26">
        <v>1499.77</v>
      </c>
      <c r="G226" t="s">
        <v>732</v>
      </c>
      <c r="H226" s="2">
        <v>45358</v>
      </c>
      <c r="I226" t="s">
        <v>733</v>
      </c>
      <c r="J226" t="s">
        <v>733</v>
      </c>
      <c r="K226" t="s">
        <v>29</v>
      </c>
      <c r="M226" t="s">
        <v>59</v>
      </c>
      <c r="O226" s="10">
        <f t="shared" si="6"/>
        <v>3</v>
      </c>
      <c r="P226" s="10">
        <f t="shared" si="7"/>
        <v>2024</v>
      </c>
      <c r="Q226" t="str">
        <f>+VLOOKUP(O226,'COMISIONES ENERO-MARZO 2025 (2)'!$X:$Y,2,0)</f>
        <v>Marzo</v>
      </c>
    </row>
    <row r="227" spans="3:17" x14ac:dyDescent="0.35">
      <c r="C227" t="s">
        <v>326</v>
      </c>
      <c r="D227">
        <v>53059501</v>
      </c>
      <c r="E227" t="s">
        <v>327</v>
      </c>
      <c r="F227" s="26">
        <v>5259.77</v>
      </c>
      <c r="G227" t="s">
        <v>734</v>
      </c>
      <c r="H227" s="2">
        <v>45366</v>
      </c>
      <c r="I227" t="s">
        <v>735</v>
      </c>
      <c r="J227" t="s">
        <v>736</v>
      </c>
      <c r="K227" t="s">
        <v>29</v>
      </c>
      <c r="M227" t="s">
        <v>59</v>
      </c>
      <c r="O227" s="10">
        <f t="shared" si="6"/>
        <v>3</v>
      </c>
      <c r="P227" s="10">
        <f t="shared" si="7"/>
        <v>2024</v>
      </c>
      <c r="Q227" t="str">
        <f>+VLOOKUP(O227,'COMISIONES ENERO-MARZO 2025 (2)'!$X:$Y,2,0)</f>
        <v>Marzo</v>
      </c>
    </row>
    <row r="228" spans="3:17" x14ac:dyDescent="0.35">
      <c r="C228" t="s">
        <v>326</v>
      </c>
      <c r="D228">
        <v>53059501</v>
      </c>
      <c r="E228" t="s">
        <v>327</v>
      </c>
      <c r="F228" s="26">
        <v>3539.77</v>
      </c>
      <c r="G228" t="s">
        <v>737</v>
      </c>
      <c r="H228" s="2">
        <v>45370</v>
      </c>
      <c r="I228" t="s">
        <v>738</v>
      </c>
      <c r="J228" t="s">
        <v>738</v>
      </c>
      <c r="K228" t="s">
        <v>29</v>
      </c>
      <c r="M228" t="s">
        <v>59</v>
      </c>
      <c r="O228" s="10">
        <f t="shared" si="6"/>
        <v>3</v>
      </c>
      <c r="P228" s="10">
        <f t="shared" si="7"/>
        <v>2024</v>
      </c>
      <c r="Q228" t="str">
        <f>+VLOOKUP(O228,'COMISIONES ENERO-MARZO 2025 (2)'!$X:$Y,2,0)</f>
        <v>Marzo</v>
      </c>
    </row>
    <row r="229" spans="3:17" x14ac:dyDescent="0.35">
      <c r="C229" t="s">
        <v>326</v>
      </c>
      <c r="D229">
        <v>53059501</v>
      </c>
      <c r="E229" t="s">
        <v>327</v>
      </c>
      <c r="F229" s="26">
        <v>2859.77</v>
      </c>
      <c r="G229" t="s">
        <v>739</v>
      </c>
      <c r="H229" s="2">
        <v>45371</v>
      </c>
      <c r="I229" t="s">
        <v>740</v>
      </c>
      <c r="J229" t="s">
        <v>740</v>
      </c>
      <c r="K229" t="s">
        <v>29</v>
      </c>
      <c r="M229" t="s">
        <v>59</v>
      </c>
      <c r="O229" s="10">
        <f t="shared" si="6"/>
        <v>3</v>
      </c>
      <c r="P229" s="10">
        <f t="shared" si="7"/>
        <v>2024</v>
      </c>
      <c r="Q229" t="str">
        <f>+VLOOKUP(O229,'COMISIONES ENERO-MARZO 2025 (2)'!$X:$Y,2,0)</f>
        <v>Marzo</v>
      </c>
    </row>
    <row r="230" spans="3:17" x14ac:dyDescent="0.35">
      <c r="C230" t="s">
        <v>326</v>
      </c>
      <c r="D230">
        <v>53059501</v>
      </c>
      <c r="E230" t="s">
        <v>327</v>
      </c>
      <c r="F230" s="26">
        <v>14475</v>
      </c>
      <c r="G230" t="s">
        <v>741</v>
      </c>
      <c r="H230" s="2">
        <v>45371</v>
      </c>
      <c r="I230" t="s">
        <v>742</v>
      </c>
      <c r="J230" t="s">
        <v>743</v>
      </c>
      <c r="K230" t="s">
        <v>19</v>
      </c>
      <c r="M230" t="s">
        <v>59</v>
      </c>
      <c r="O230" s="10">
        <f t="shared" si="6"/>
        <v>3</v>
      </c>
      <c r="P230" s="10">
        <f t="shared" si="7"/>
        <v>2024</v>
      </c>
      <c r="Q230" t="str">
        <f>+VLOOKUP(O230,'COMISIONES ENERO-MARZO 2025 (2)'!$X:$Y,2,0)</f>
        <v>Marzo</v>
      </c>
    </row>
    <row r="231" spans="3:17" x14ac:dyDescent="0.35">
      <c r="C231" t="s">
        <v>326</v>
      </c>
      <c r="D231">
        <v>53059501</v>
      </c>
      <c r="E231" t="s">
        <v>327</v>
      </c>
      <c r="F231" s="26">
        <v>3776</v>
      </c>
      <c r="G231" t="s">
        <v>744</v>
      </c>
      <c r="H231" s="2">
        <v>45372</v>
      </c>
      <c r="I231" t="s">
        <v>745</v>
      </c>
      <c r="J231" t="s">
        <v>746</v>
      </c>
      <c r="K231" t="s">
        <v>35</v>
      </c>
      <c r="M231" t="s">
        <v>59</v>
      </c>
      <c r="O231" s="10">
        <f t="shared" si="6"/>
        <v>3</v>
      </c>
      <c r="P231" s="10">
        <f t="shared" si="7"/>
        <v>2024</v>
      </c>
      <c r="Q231" t="str">
        <f>+VLOOKUP(O231,'COMISIONES ENERO-MARZO 2025 (2)'!$X:$Y,2,0)</f>
        <v>Marzo</v>
      </c>
    </row>
    <row r="232" spans="3:17" x14ac:dyDescent="0.35">
      <c r="C232" t="s">
        <v>326</v>
      </c>
      <c r="D232">
        <v>53059501</v>
      </c>
      <c r="E232" t="s">
        <v>327</v>
      </c>
      <c r="F232" s="26">
        <v>4795</v>
      </c>
      <c r="G232" t="s">
        <v>747</v>
      </c>
      <c r="H232" s="2">
        <v>45373</v>
      </c>
      <c r="I232" t="s">
        <v>679</v>
      </c>
      <c r="J232" t="s">
        <v>679</v>
      </c>
      <c r="K232" t="s">
        <v>35</v>
      </c>
      <c r="M232" t="s">
        <v>59</v>
      </c>
      <c r="O232" s="10">
        <f t="shared" si="6"/>
        <v>3</v>
      </c>
      <c r="P232" s="10">
        <f t="shared" si="7"/>
        <v>2024</v>
      </c>
      <c r="Q232" t="str">
        <f>+VLOOKUP(O232,'COMISIONES ENERO-MARZO 2025 (2)'!$X:$Y,2,0)</f>
        <v>Marzo</v>
      </c>
    </row>
    <row r="233" spans="3:17" x14ac:dyDescent="0.35">
      <c r="C233" t="s">
        <v>326</v>
      </c>
      <c r="D233">
        <v>53059501</v>
      </c>
      <c r="E233" t="s">
        <v>327</v>
      </c>
      <c r="F233" s="26">
        <v>6139.77</v>
      </c>
      <c r="G233" t="s">
        <v>748</v>
      </c>
      <c r="H233" s="2">
        <v>45385</v>
      </c>
      <c r="I233" t="s">
        <v>749</v>
      </c>
      <c r="J233" t="s">
        <v>749</v>
      </c>
      <c r="K233" t="s">
        <v>29</v>
      </c>
      <c r="M233" t="s">
        <v>59</v>
      </c>
      <c r="O233" s="10">
        <f t="shared" si="6"/>
        <v>4</v>
      </c>
      <c r="P233" s="10">
        <f t="shared" si="7"/>
        <v>2024</v>
      </c>
      <c r="Q233" t="str">
        <f>+VLOOKUP(O233,'COMISIONES ENERO-MARZO 2025 (2)'!$X:$Y,2,0)</f>
        <v>Abril</v>
      </c>
    </row>
    <row r="234" spans="3:17" x14ac:dyDescent="0.35">
      <c r="C234" t="s">
        <v>326</v>
      </c>
      <c r="D234">
        <v>53059501</v>
      </c>
      <c r="E234" t="s">
        <v>327</v>
      </c>
      <c r="F234" s="26">
        <v>1419.77</v>
      </c>
      <c r="G234" t="s">
        <v>750</v>
      </c>
      <c r="H234" s="2">
        <v>45385</v>
      </c>
      <c r="I234" t="s">
        <v>751</v>
      </c>
      <c r="J234" t="s">
        <v>751</v>
      </c>
      <c r="K234" t="s">
        <v>29</v>
      </c>
      <c r="M234" t="s">
        <v>59</v>
      </c>
      <c r="O234" s="10">
        <f t="shared" si="6"/>
        <v>4</v>
      </c>
      <c r="P234" s="10">
        <f t="shared" si="7"/>
        <v>2024</v>
      </c>
      <c r="Q234" t="str">
        <f>+VLOOKUP(O234,'COMISIONES ENERO-MARZO 2025 (2)'!$X:$Y,2,0)</f>
        <v>Abril</v>
      </c>
    </row>
    <row r="235" spans="3:17" x14ac:dyDescent="0.35">
      <c r="C235" t="s">
        <v>326</v>
      </c>
      <c r="D235">
        <v>53059501</v>
      </c>
      <c r="E235" t="s">
        <v>327</v>
      </c>
      <c r="F235" s="26">
        <v>4579.7700000000004</v>
      </c>
      <c r="G235" t="s">
        <v>752</v>
      </c>
      <c r="H235" s="2">
        <v>45393</v>
      </c>
      <c r="I235" t="s">
        <v>753</v>
      </c>
      <c r="J235" t="s">
        <v>753</v>
      </c>
      <c r="K235" t="s">
        <v>29</v>
      </c>
      <c r="M235" t="s">
        <v>59</v>
      </c>
      <c r="O235" s="10">
        <f t="shared" si="6"/>
        <v>4</v>
      </c>
      <c r="P235" s="10">
        <f t="shared" si="7"/>
        <v>2024</v>
      </c>
      <c r="Q235" t="str">
        <f>+VLOOKUP(O235,'COMISIONES ENERO-MARZO 2025 (2)'!$X:$Y,2,0)</f>
        <v>Abril</v>
      </c>
    </row>
    <row r="236" spans="3:17" x14ac:dyDescent="0.35">
      <c r="C236" t="s">
        <v>326</v>
      </c>
      <c r="D236">
        <v>53059501</v>
      </c>
      <c r="E236" t="s">
        <v>327</v>
      </c>
      <c r="F236" s="26">
        <v>3979.77</v>
      </c>
      <c r="G236" t="s">
        <v>754</v>
      </c>
      <c r="H236" s="2">
        <v>45393</v>
      </c>
      <c r="I236" t="s">
        <v>755</v>
      </c>
      <c r="J236" t="s">
        <v>755</v>
      </c>
      <c r="K236" t="s">
        <v>29</v>
      </c>
      <c r="M236" t="s">
        <v>59</v>
      </c>
      <c r="O236" s="10">
        <f t="shared" si="6"/>
        <v>4</v>
      </c>
      <c r="P236" s="10">
        <f t="shared" si="7"/>
        <v>2024</v>
      </c>
      <c r="Q236" t="str">
        <f>+VLOOKUP(O236,'COMISIONES ENERO-MARZO 2025 (2)'!$X:$Y,2,0)</f>
        <v>Abril</v>
      </c>
    </row>
    <row r="237" spans="3:17" x14ac:dyDescent="0.35">
      <c r="C237" t="s">
        <v>326</v>
      </c>
      <c r="D237">
        <v>53059501</v>
      </c>
      <c r="E237" t="s">
        <v>327</v>
      </c>
      <c r="F237" s="26">
        <v>6059.77</v>
      </c>
      <c r="G237" t="s">
        <v>756</v>
      </c>
      <c r="H237" s="2">
        <v>45394</v>
      </c>
      <c r="I237" t="s">
        <v>757</v>
      </c>
      <c r="J237" t="s">
        <v>757</v>
      </c>
      <c r="K237" t="s">
        <v>29</v>
      </c>
      <c r="M237" t="s">
        <v>59</v>
      </c>
      <c r="O237" s="10">
        <f t="shared" si="6"/>
        <v>4</v>
      </c>
      <c r="P237" s="10">
        <f t="shared" si="7"/>
        <v>2024</v>
      </c>
      <c r="Q237" t="str">
        <f>+VLOOKUP(O237,'COMISIONES ENERO-MARZO 2025 (2)'!$X:$Y,2,0)</f>
        <v>Abril</v>
      </c>
    </row>
    <row r="238" spans="3:17" x14ac:dyDescent="0.35">
      <c r="C238" t="s">
        <v>326</v>
      </c>
      <c r="D238">
        <v>53059501</v>
      </c>
      <c r="E238" t="s">
        <v>327</v>
      </c>
      <c r="F238" s="26">
        <v>2178</v>
      </c>
      <c r="G238" t="s">
        <v>758</v>
      </c>
      <c r="H238" s="2">
        <v>45394</v>
      </c>
      <c r="I238" t="s">
        <v>759</v>
      </c>
      <c r="J238" t="s">
        <v>759</v>
      </c>
      <c r="K238" t="s">
        <v>35</v>
      </c>
      <c r="M238" t="s">
        <v>59</v>
      </c>
      <c r="O238" s="10">
        <f t="shared" si="6"/>
        <v>4</v>
      </c>
      <c r="P238" s="10">
        <f t="shared" si="7"/>
        <v>2024</v>
      </c>
      <c r="Q238" t="str">
        <f>+VLOOKUP(O238,'COMISIONES ENERO-MARZO 2025 (2)'!$X:$Y,2,0)</f>
        <v>Abril</v>
      </c>
    </row>
    <row r="239" spans="3:17" x14ac:dyDescent="0.35">
      <c r="C239" t="s">
        <v>326</v>
      </c>
      <c r="D239">
        <v>53059501</v>
      </c>
      <c r="E239" t="s">
        <v>327</v>
      </c>
      <c r="F239" s="26">
        <v>5819.77</v>
      </c>
      <c r="G239" t="s">
        <v>760</v>
      </c>
      <c r="H239" s="2">
        <v>45397</v>
      </c>
      <c r="I239" t="s">
        <v>761</v>
      </c>
      <c r="J239" t="s">
        <v>761</v>
      </c>
      <c r="K239" t="s">
        <v>29</v>
      </c>
      <c r="M239" t="s">
        <v>59</v>
      </c>
      <c r="O239" s="10">
        <f t="shared" si="6"/>
        <v>4</v>
      </c>
      <c r="P239" s="10">
        <f t="shared" si="7"/>
        <v>2024</v>
      </c>
      <c r="Q239" t="str">
        <f>+VLOOKUP(O239,'COMISIONES ENERO-MARZO 2025 (2)'!$X:$Y,2,0)</f>
        <v>Abril</v>
      </c>
    </row>
    <row r="240" spans="3:17" x14ac:dyDescent="0.35">
      <c r="C240" t="s">
        <v>326</v>
      </c>
      <c r="D240">
        <v>53059501</v>
      </c>
      <c r="E240" t="s">
        <v>327</v>
      </c>
      <c r="F240" s="26">
        <v>30123</v>
      </c>
      <c r="G240" t="s">
        <v>762</v>
      </c>
      <c r="H240" s="2">
        <v>45397</v>
      </c>
      <c r="I240" t="s">
        <v>763</v>
      </c>
      <c r="J240" t="s">
        <v>763</v>
      </c>
      <c r="K240" t="s">
        <v>35</v>
      </c>
      <c r="M240" t="s">
        <v>59</v>
      </c>
      <c r="O240" s="10">
        <f t="shared" si="6"/>
        <v>4</v>
      </c>
      <c r="P240" s="10">
        <f t="shared" si="7"/>
        <v>2024</v>
      </c>
      <c r="Q240" t="str">
        <f>+VLOOKUP(O240,'COMISIONES ENERO-MARZO 2025 (2)'!$X:$Y,2,0)</f>
        <v>Abril</v>
      </c>
    </row>
    <row r="241" spans="3:17" x14ac:dyDescent="0.35">
      <c r="C241" t="s">
        <v>326</v>
      </c>
      <c r="D241">
        <v>53059501</v>
      </c>
      <c r="E241" t="s">
        <v>327</v>
      </c>
      <c r="F241" s="26">
        <v>7459.77</v>
      </c>
      <c r="G241" t="s">
        <v>764</v>
      </c>
      <c r="H241" s="2">
        <v>45397</v>
      </c>
      <c r="I241" t="s">
        <v>765</v>
      </c>
      <c r="J241" t="s">
        <v>765</v>
      </c>
      <c r="K241" t="s">
        <v>29</v>
      </c>
      <c r="M241" t="s">
        <v>59</v>
      </c>
      <c r="O241" s="10">
        <f t="shared" si="6"/>
        <v>4</v>
      </c>
      <c r="P241" s="10">
        <f t="shared" si="7"/>
        <v>2024</v>
      </c>
      <c r="Q241" t="str">
        <f>+VLOOKUP(O241,'COMISIONES ENERO-MARZO 2025 (2)'!$X:$Y,2,0)</f>
        <v>Abril</v>
      </c>
    </row>
    <row r="242" spans="3:17" x14ac:dyDescent="0.35">
      <c r="C242" t="s">
        <v>326</v>
      </c>
      <c r="D242">
        <v>53059501</v>
      </c>
      <c r="E242" t="s">
        <v>327</v>
      </c>
      <c r="F242" s="26">
        <v>5699.77</v>
      </c>
      <c r="G242" t="s">
        <v>766</v>
      </c>
      <c r="H242" s="2">
        <v>45399</v>
      </c>
      <c r="I242" t="s">
        <v>767</v>
      </c>
      <c r="J242" t="s">
        <v>767</v>
      </c>
      <c r="K242" t="s">
        <v>29</v>
      </c>
      <c r="M242" t="s">
        <v>59</v>
      </c>
      <c r="O242" s="10">
        <f t="shared" si="6"/>
        <v>4</v>
      </c>
      <c r="P242" s="10">
        <f t="shared" si="7"/>
        <v>2024</v>
      </c>
      <c r="Q242" t="str">
        <f>+VLOOKUP(O242,'COMISIONES ENERO-MARZO 2025 (2)'!$X:$Y,2,0)</f>
        <v>Abril</v>
      </c>
    </row>
    <row r="243" spans="3:17" x14ac:dyDescent="0.35">
      <c r="C243" t="s">
        <v>326</v>
      </c>
      <c r="D243">
        <v>53059501</v>
      </c>
      <c r="E243" t="s">
        <v>327</v>
      </c>
      <c r="F243" s="26">
        <v>3979.77</v>
      </c>
      <c r="G243" t="s">
        <v>768</v>
      </c>
      <c r="H243" s="2">
        <v>45399</v>
      </c>
      <c r="I243" t="s">
        <v>769</v>
      </c>
      <c r="J243" t="s">
        <v>769</v>
      </c>
      <c r="K243" t="s">
        <v>29</v>
      </c>
      <c r="M243" t="s">
        <v>59</v>
      </c>
      <c r="O243" s="10">
        <f t="shared" si="6"/>
        <v>4</v>
      </c>
      <c r="P243" s="10">
        <f t="shared" si="7"/>
        <v>2024</v>
      </c>
      <c r="Q243" t="str">
        <f>+VLOOKUP(O243,'COMISIONES ENERO-MARZO 2025 (2)'!$X:$Y,2,0)</f>
        <v>Abril</v>
      </c>
    </row>
    <row r="244" spans="3:17" x14ac:dyDescent="0.35">
      <c r="C244" t="s">
        <v>326</v>
      </c>
      <c r="D244">
        <v>53059501</v>
      </c>
      <c r="E244" t="s">
        <v>327</v>
      </c>
      <c r="F244" s="26">
        <v>4939.7700000000004</v>
      </c>
      <c r="G244" t="s">
        <v>770</v>
      </c>
      <c r="H244" s="2">
        <v>45405</v>
      </c>
      <c r="I244" t="s">
        <v>771</v>
      </c>
      <c r="J244" t="s">
        <v>771</v>
      </c>
      <c r="K244" t="s">
        <v>29</v>
      </c>
      <c r="M244" t="s">
        <v>59</v>
      </c>
      <c r="O244" s="10">
        <f t="shared" si="6"/>
        <v>4</v>
      </c>
      <c r="P244" s="10">
        <f t="shared" si="7"/>
        <v>2024</v>
      </c>
      <c r="Q244" t="str">
        <f>+VLOOKUP(O244,'COMISIONES ENERO-MARZO 2025 (2)'!$X:$Y,2,0)</f>
        <v>Abril</v>
      </c>
    </row>
    <row r="245" spans="3:17" x14ac:dyDescent="0.35">
      <c r="C245" t="s">
        <v>326</v>
      </c>
      <c r="D245">
        <v>53059501</v>
      </c>
      <c r="E245" t="s">
        <v>327</v>
      </c>
      <c r="F245" s="26">
        <v>5219.7700000000004</v>
      </c>
      <c r="G245" t="s">
        <v>772</v>
      </c>
      <c r="H245" s="2">
        <v>45407</v>
      </c>
      <c r="I245" t="s">
        <v>773</v>
      </c>
      <c r="J245" t="s">
        <v>773</v>
      </c>
      <c r="K245" t="s">
        <v>29</v>
      </c>
      <c r="M245" t="s">
        <v>59</v>
      </c>
      <c r="O245" s="10">
        <f t="shared" si="6"/>
        <v>4</v>
      </c>
      <c r="P245" s="10">
        <f t="shared" si="7"/>
        <v>2024</v>
      </c>
      <c r="Q245" t="str">
        <f>+VLOOKUP(O245,'COMISIONES ENERO-MARZO 2025 (2)'!$X:$Y,2,0)</f>
        <v>Abril</v>
      </c>
    </row>
    <row r="246" spans="3:17" x14ac:dyDescent="0.35">
      <c r="C246" t="s">
        <v>326</v>
      </c>
      <c r="D246">
        <v>53059501</v>
      </c>
      <c r="E246" t="s">
        <v>327</v>
      </c>
      <c r="F246" s="26">
        <v>2379.77</v>
      </c>
      <c r="G246" t="s">
        <v>774</v>
      </c>
      <c r="H246" s="2">
        <v>45408</v>
      </c>
      <c r="I246" t="s">
        <v>775</v>
      </c>
      <c r="J246" t="s">
        <v>775</v>
      </c>
      <c r="K246" t="s">
        <v>29</v>
      </c>
      <c r="M246" t="s">
        <v>59</v>
      </c>
      <c r="O246" s="10">
        <f t="shared" si="6"/>
        <v>4</v>
      </c>
      <c r="P246" s="10">
        <f t="shared" si="7"/>
        <v>2024</v>
      </c>
      <c r="Q246" t="str">
        <f>+VLOOKUP(O246,'COMISIONES ENERO-MARZO 2025 (2)'!$X:$Y,2,0)</f>
        <v>Abril</v>
      </c>
    </row>
    <row r="247" spans="3:17" x14ac:dyDescent="0.35">
      <c r="C247" t="s">
        <v>326</v>
      </c>
      <c r="D247">
        <v>53059501</v>
      </c>
      <c r="E247" t="s">
        <v>327</v>
      </c>
      <c r="F247" s="26">
        <v>33679.08</v>
      </c>
      <c r="G247" t="s">
        <v>776</v>
      </c>
      <c r="H247" s="2">
        <v>45408</v>
      </c>
      <c r="I247" t="s">
        <v>777</v>
      </c>
      <c r="J247" t="s">
        <v>777</v>
      </c>
      <c r="K247" t="s">
        <v>29</v>
      </c>
      <c r="M247" t="s">
        <v>59</v>
      </c>
      <c r="O247" s="10">
        <f t="shared" si="6"/>
        <v>4</v>
      </c>
      <c r="P247" s="10">
        <f t="shared" si="7"/>
        <v>2024</v>
      </c>
      <c r="Q247" t="str">
        <f>+VLOOKUP(O247,'COMISIONES ENERO-MARZO 2025 (2)'!$X:$Y,2,0)</f>
        <v>Abril</v>
      </c>
    </row>
    <row r="248" spans="3:17" x14ac:dyDescent="0.35">
      <c r="C248" t="s">
        <v>326</v>
      </c>
      <c r="D248">
        <v>53059501</v>
      </c>
      <c r="E248" t="s">
        <v>327</v>
      </c>
      <c r="F248" s="26">
        <v>3619.77</v>
      </c>
      <c r="G248" t="s">
        <v>778</v>
      </c>
      <c r="H248" s="2">
        <v>45408</v>
      </c>
      <c r="I248" t="s">
        <v>779</v>
      </c>
      <c r="J248" t="s">
        <v>779</v>
      </c>
      <c r="K248" t="s">
        <v>29</v>
      </c>
      <c r="M248" t="s">
        <v>59</v>
      </c>
      <c r="O248" s="10">
        <f t="shared" si="6"/>
        <v>4</v>
      </c>
      <c r="P248" s="10">
        <f t="shared" si="7"/>
        <v>2024</v>
      </c>
      <c r="Q248" t="str">
        <f>+VLOOKUP(O248,'COMISIONES ENERO-MARZO 2025 (2)'!$X:$Y,2,0)</f>
        <v>Abril</v>
      </c>
    </row>
    <row r="249" spans="3:17" x14ac:dyDescent="0.35">
      <c r="C249" t="s">
        <v>326</v>
      </c>
      <c r="D249">
        <v>53059501</v>
      </c>
      <c r="E249" t="s">
        <v>327</v>
      </c>
      <c r="F249" s="26">
        <v>5619.77</v>
      </c>
      <c r="G249" t="s">
        <v>780</v>
      </c>
      <c r="H249" s="2">
        <v>45421</v>
      </c>
      <c r="I249" t="s">
        <v>781</v>
      </c>
      <c r="J249" t="s">
        <v>781</v>
      </c>
      <c r="K249" t="s">
        <v>29</v>
      </c>
      <c r="M249" t="s">
        <v>59</v>
      </c>
      <c r="O249" s="10">
        <f t="shared" si="6"/>
        <v>5</v>
      </c>
      <c r="P249" s="10">
        <f t="shared" si="7"/>
        <v>2024</v>
      </c>
      <c r="Q249" t="str">
        <f>+VLOOKUP(O249,'COMISIONES ENERO-MARZO 2025 (2)'!$X:$Y,2,0)</f>
        <v>Mayo</v>
      </c>
    </row>
    <row r="250" spans="3:17" x14ac:dyDescent="0.35">
      <c r="C250" t="s">
        <v>326</v>
      </c>
      <c r="D250">
        <v>53059501</v>
      </c>
      <c r="E250" t="s">
        <v>327</v>
      </c>
      <c r="F250" s="26">
        <v>1459.77</v>
      </c>
      <c r="G250" t="s">
        <v>782</v>
      </c>
      <c r="H250" s="2">
        <v>45434</v>
      </c>
      <c r="I250" t="s">
        <v>783</v>
      </c>
      <c r="J250" t="s">
        <v>783</v>
      </c>
      <c r="K250" t="s">
        <v>29</v>
      </c>
      <c r="M250" t="s">
        <v>59</v>
      </c>
      <c r="O250" s="10">
        <f t="shared" si="6"/>
        <v>5</v>
      </c>
      <c r="P250" s="10">
        <f t="shared" si="7"/>
        <v>2024</v>
      </c>
      <c r="Q250" t="str">
        <f>+VLOOKUP(O250,'COMISIONES ENERO-MARZO 2025 (2)'!$X:$Y,2,0)</f>
        <v>Mayo</v>
      </c>
    </row>
    <row r="251" spans="3:17" x14ac:dyDescent="0.35">
      <c r="C251" t="s">
        <v>326</v>
      </c>
      <c r="D251">
        <v>53059501</v>
      </c>
      <c r="E251" t="s">
        <v>327</v>
      </c>
      <c r="F251" s="26">
        <v>2016.61</v>
      </c>
      <c r="G251" t="s">
        <v>784</v>
      </c>
      <c r="H251" s="2">
        <v>45434</v>
      </c>
      <c r="I251" t="s">
        <v>785</v>
      </c>
      <c r="J251" t="s">
        <v>785</v>
      </c>
      <c r="K251" t="s">
        <v>29</v>
      </c>
      <c r="M251" t="s">
        <v>59</v>
      </c>
      <c r="O251" s="10">
        <f t="shared" si="6"/>
        <v>5</v>
      </c>
      <c r="P251" s="10">
        <f t="shared" si="7"/>
        <v>2024</v>
      </c>
      <c r="Q251" t="str">
        <f>+VLOOKUP(O251,'COMISIONES ENERO-MARZO 2025 (2)'!$X:$Y,2,0)</f>
        <v>Mayo</v>
      </c>
    </row>
    <row r="252" spans="3:17" x14ac:dyDescent="0.35">
      <c r="C252" t="s">
        <v>326</v>
      </c>
      <c r="D252">
        <v>53059501</v>
      </c>
      <c r="E252" t="s">
        <v>327</v>
      </c>
      <c r="F252" s="26">
        <v>3419.77</v>
      </c>
      <c r="G252" t="s">
        <v>786</v>
      </c>
      <c r="H252" s="2">
        <v>45441</v>
      </c>
      <c r="I252" t="s">
        <v>787</v>
      </c>
      <c r="J252" t="s">
        <v>787</v>
      </c>
      <c r="K252" t="s">
        <v>29</v>
      </c>
      <c r="M252" t="s">
        <v>59</v>
      </c>
      <c r="O252" s="10">
        <f t="shared" si="6"/>
        <v>5</v>
      </c>
      <c r="P252" s="10">
        <f t="shared" si="7"/>
        <v>2024</v>
      </c>
      <c r="Q252" t="str">
        <f>+VLOOKUP(O252,'COMISIONES ENERO-MARZO 2025 (2)'!$X:$Y,2,0)</f>
        <v>Mayo</v>
      </c>
    </row>
    <row r="253" spans="3:17" x14ac:dyDescent="0.35">
      <c r="C253" t="s">
        <v>326</v>
      </c>
      <c r="D253">
        <v>53059501</v>
      </c>
      <c r="E253" t="s">
        <v>327</v>
      </c>
      <c r="F253" s="26">
        <v>30138</v>
      </c>
      <c r="G253" t="s">
        <v>788</v>
      </c>
      <c r="H253" s="2">
        <v>45443</v>
      </c>
      <c r="I253" t="s">
        <v>789</v>
      </c>
      <c r="J253" t="s">
        <v>789</v>
      </c>
      <c r="K253" t="s">
        <v>19</v>
      </c>
      <c r="M253" t="s">
        <v>59</v>
      </c>
      <c r="O253" s="10">
        <f t="shared" si="6"/>
        <v>5</v>
      </c>
      <c r="P253" s="10">
        <f t="shared" si="7"/>
        <v>2024</v>
      </c>
      <c r="Q253" t="str">
        <f>+VLOOKUP(O253,'COMISIONES ENERO-MARZO 2025 (2)'!$X:$Y,2,0)</f>
        <v>Mayo</v>
      </c>
    </row>
    <row r="254" spans="3:17" x14ac:dyDescent="0.35">
      <c r="C254" t="s">
        <v>326</v>
      </c>
      <c r="D254">
        <v>53059501</v>
      </c>
      <c r="E254" t="s">
        <v>327</v>
      </c>
      <c r="F254" s="26">
        <v>1037</v>
      </c>
      <c r="G254" t="s">
        <v>790</v>
      </c>
      <c r="H254" s="2">
        <v>45443</v>
      </c>
      <c r="I254" t="s">
        <v>791</v>
      </c>
      <c r="J254" t="s">
        <v>791</v>
      </c>
      <c r="K254" t="s">
        <v>35</v>
      </c>
      <c r="M254" t="s">
        <v>59</v>
      </c>
      <c r="O254" s="10">
        <f t="shared" si="6"/>
        <v>5</v>
      </c>
      <c r="P254" s="10">
        <f t="shared" si="7"/>
        <v>2024</v>
      </c>
      <c r="Q254" t="str">
        <f>+VLOOKUP(O254,'COMISIONES ENERO-MARZO 2025 (2)'!$X:$Y,2,0)</f>
        <v>Mayo</v>
      </c>
    </row>
    <row r="255" spans="3:17" x14ac:dyDescent="0.35">
      <c r="C255" t="s">
        <v>326</v>
      </c>
      <c r="D255">
        <v>53059501</v>
      </c>
      <c r="E255" t="s">
        <v>327</v>
      </c>
      <c r="F255" s="26">
        <v>4988.1400000000003</v>
      </c>
      <c r="G255" t="s">
        <v>792</v>
      </c>
      <c r="H255" s="2">
        <v>45443</v>
      </c>
      <c r="I255" t="s">
        <v>684</v>
      </c>
      <c r="J255" t="s">
        <v>684</v>
      </c>
      <c r="K255" t="s">
        <v>685</v>
      </c>
      <c r="M255" t="s">
        <v>59</v>
      </c>
      <c r="O255" s="10">
        <f t="shared" si="6"/>
        <v>5</v>
      </c>
      <c r="P255" s="10">
        <f t="shared" si="7"/>
        <v>2024</v>
      </c>
      <c r="Q255" t="str">
        <f>+VLOOKUP(O255,'COMISIONES ENERO-MARZO 2025 (2)'!$X:$Y,2,0)</f>
        <v>Mayo</v>
      </c>
    </row>
    <row r="256" spans="3:17" x14ac:dyDescent="0.35">
      <c r="C256" t="s">
        <v>326</v>
      </c>
      <c r="D256">
        <v>53059501</v>
      </c>
      <c r="E256" t="s">
        <v>327</v>
      </c>
      <c r="F256" s="26">
        <v>28913</v>
      </c>
      <c r="G256" t="s">
        <v>793</v>
      </c>
      <c r="H256" s="2">
        <v>45443</v>
      </c>
      <c r="I256" t="s">
        <v>746</v>
      </c>
      <c r="J256" t="s">
        <v>746</v>
      </c>
      <c r="K256" t="s">
        <v>35</v>
      </c>
      <c r="M256" t="s">
        <v>59</v>
      </c>
      <c r="O256" s="10">
        <f t="shared" si="6"/>
        <v>5</v>
      </c>
      <c r="P256" s="10">
        <f t="shared" si="7"/>
        <v>2024</v>
      </c>
      <c r="Q256" t="str">
        <f>+VLOOKUP(O256,'COMISIONES ENERO-MARZO 2025 (2)'!$X:$Y,2,0)</f>
        <v>Mayo</v>
      </c>
    </row>
    <row r="257" spans="3:17" x14ac:dyDescent="0.35">
      <c r="C257" t="s">
        <v>326</v>
      </c>
      <c r="D257">
        <v>53059501</v>
      </c>
      <c r="E257" t="s">
        <v>327</v>
      </c>
      <c r="F257" s="26">
        <v>7939.77</v>
      </c>
      <c r="G257" t="s">
        <v>794</v>
      </c>
      <c r="H257" s="2">
        <v>45443</v>
      </c>
      <c r="I257" t="s">
        <v>795</v>
      </c>
      <c r="J257" t="s">
        <v>795</v>
      </c>
      <c r="K257" t="s">
        <v>29</v>
      </c>
      <c r="M257" t="s">
        <v>59</v>
      </c>
      <c r="O257" s="10">
        <f t="shared" si="6"/>
        <v>5</v>
      </c>
      <c r="P257" s="10">
        <f t="shared" si="7"/>
        <v>2024</v>
      </c>
      <c r="Q257" t="str">
        <f>+VLOOKUP(O257,'COMISIONES ENERO-MARZO 2025 (2)'!$X:$Y,2,0)</f>
        <v>Mayo</v>
      </c>
    </row>
    <row r="258" spans="3:17" x14ac:dyDescent="0.35">
      <c r="C258" t="s">
        <v>326</v>
      </c>
      <c r="D258">
        <v>53059501</v>
      </c>
      <c r="E258" t="s">
        <v>327</v>
      </c>
      <c r="F258" s="26">
        <v>5419.77</v>
      </c>
      <c r="G258" t="s">
        <v>796</v>
      </c>
      <c r="H258" s="2">
        <v>45448</v>
      </c>
      <c r="I258" t="s">
        <v>797</v>
      </c>
      <c r="J258" t="s">
        <v>797</v>
      </c>
      <c r="K258" t="s">
        <v>29</v>
      </c>
      <c r="M258" t="s">
        <v>59</v>
      </c>
      <c r="O258" s="10">
        <f t="shared" si="6"/>
        <v>6</v>
      </c>
      <c r="P258" s="10">
        <f t="shared" si="7"/>
        <v>2024</v>
      </c>
      <c r="Q258" t="str">
        <f>+VLOOKUP(O258,'COMISIONES ENERO-MARZO 2025 (2)'!$X:$Y,2,0)</f>
        <v>Junio</v>
      </c>
    </row>
    <row r="259" spans="3:17" x14ac:dyDescent="0.35">
      <c r="C259" t="s">
        <v>326</v>
      </c>
      <c r="D259">
        <v>53059501</v>
      </c>
      <c r="E259" t="s">
        <v>327</v>
      </c>
      <c r="F259" s="26">
        <v>1339.77</v>
      </c>
      <c r="G259" t="s">
        <v>798</v>
      </c>
      <c r="H259" s="2">
        <v>45454</v>
      </c>
      <c r="I259" t="s">
        <v>799</v>
      </c>
      <c r="J259" t="s">
        <v>799</v>
      </c>
      <c r="K259" t="s">
        <v>29</v>
      </c>
      <c r="M259" t="s">
        <v>59</v>
      </c>
      <c r="O259" s="10">
        <f t="shared" ref="O259:O322" si="8">+MONTH(H259)</f>
        <v>6</v>
      </c>
      <c r="P259" s="10">
        <f t="shared" ref="P259:P322" si="9">+YEAR(H259)</f>
        <v>2024</v>
      </c>
      <c r="Q259" t="str">
        <f>+VLOOKUP(O259,'COMISIONES ENERO-MARZO 2025 (2)'!$X:$Y,2,0)</f>
        <v>Junio</v>
      </c>
    </row>
    <row r="260" spans="3:17" x14ac:dyDescent="0.35">
      <c r="C260" t="s">
        <v>326</v>
      </c>
      <c r="D260">
        <v>53059501</v>
      </c>
      <c r="E260" t="s">
        <v>327</v>
      </c>
      <c r="F260" s="26">
        <v>2016.61</v>
      </c>
      <c r="G260" t="s">
        <v>800</v>
      </c>
      <c r="H260" s="2">
        <v>45454</v>
      </c>
      <c r="I260" t="s">
        <v>801</v>
      </c>
      <c r="J260" t="s">
        <v>801</v>
      </c>
      <c r="K260" t="s">
        <v>29</v>
      </c>
      <c r="M260" t="s">
        <v>59</v>
      </c>
      <c r="O260" s="10">
        <f t="shared" si="8"/>
        <v>6</v>
      </c>
      <c r="P260" s="10">
        <f t="shared" si="9"/>
        <v>2024</v>
      </c>
      <c r="Q260" t="str">
        <f>+VLOOKUP(O260,'COMISIONES ENERO-MARZO 2025 (2)'!$X:$Y,2,0)</f>
        <v>Junio</v>
      </c>
    </row>
    <row r="261" spans="3:17" x14ac:dyDescent="0.35">
      <c r="C261" t="s">
        <v>326</v>
      </c>
      <c r="D261">
        <v>53059501</v>
      </c>
      <c r="E261" t="s">
        <v>327</v>
      </c>
      <c r="F261" s="26">
        <v>4499.7700000000004</v>
      </c>
      <c r="G261" t="s">
        <v>802</v>
      </c>
      <c r="H261" s="2">
        <v>45455</v>
      </c>
      <c r="I261" t="s">
        <v>803</v>
      </c>
      <c r="J261" t="s">
        <v>803</v>
      </c>
      <c r="K261" t="s">
        <v>29</v>
      </c>
      <c r="M261" t="s">
        <v>59</v>
      </c>
      <c r="O261" s="10">
        <f t="shared" si="8"/>
        <v>6</v>
      </c>
      <c r="P261" s="10">
        <f t="shared" si="9"/>
        <v>2024</v>
      </c>
      <c r="Q261" t="str">
        <f>+VLOOKUP(O261,'COMISIONES ENERO-MARZO 2025 (2)'!$X:$Y,2,0)</f>
        <v>Junio</v>
      </c>
    </row>
    <row r="262" spans="3:17" x14ac:dyDescent="0.35">
      <c r="C262" t="s">
        <v>326</v>
      </c>
      <c r="D262">
        <v>53059501</v>
      </c>
      <c r="E262" t="s">
        <v>327</v>
      </c>
      <c r="F262" s="26">
        <v>51695</v>
      </c>
      <c r="G262" t="s">
        <v>804</v>
      </c>
      <c r="H262" s="2">
        <v>45457</v>
      </c>
      <c r="I262" t="s">
        <v>805</v>
      </c>
      <c r="J262" t="s">
        <v>805</v>
      </c>
      <c r="K262" t="s">
        <v>19</v>
      </c>
      <c r="M262" t="s">
        <v>59</v>
      </c>
      <c r="O262" s="10">
        <f t="shared" si="8"/>
        <v>6</v>
      </c>
      <c r="P262" s="10">
        <f t="shared" si="9"/>
        <v>2024</v>
      </c>
      <c r="Q262" t="str">
        <f>+VLOOKUP(O262,'COMISIONES ENERO-MARZO 2025 (2)'!$X:$Y,2,0)</f>
        <v>Junio</v>
      </c>
    </row>
    <row r="263" spans="3:17" x14ac:dyDescent="0.35">
      <c r="C263" t="s">
        <v>326</v>
      </c>
      <c r="D263">
        <v>53059501</v>
      </c>
      <c r="E263" t="s">
        <v>327</v>
      </c>
      <c r="F263" s="26">
        <v>8219.77</v>
      </c>
      <c r="G263" t="s">
        <v>806</v>
      </c>
      <c r="H263" s="2">
        <v>45464</v>
      </c>
      <c r="I263" t="s">
        <v>807</v>
      </c>
      <c r="J263" t="s">
        <v>807</v>
      </c>
      <c r="K263" t="s">
        <v>29</v>
      </c>
      <c r="M263" t="s">
        <v>59</v>
      </c>
      <c r="O263" s="10">
        <f t="shared" si="8"/>
        <v>6</v>
      </c>
      <c r="P263" s="10">
        <f t="shared" si="9"/>
        <v>2024</v>
      </c>
      <c r="Q263" t="str">
        <f>+VLOOKUP(O263,'COMISIONES ENERO-MARZO 2025 (2)'!$X:$Y,2,0)</f>
        <v>Junio</v>
      </c>
    </row>
    <row r="264" spans="3:17" x14ac:dyDescent="0.35">
      <c r="C264" t="s">
        <v>326</v>
      </c>
      <c r="D264">
        <v>53059501</v>
      </c>
      <c r="E264" t="s">
        <v>327</v>
      </c>
      <c r="F264" s="26">
        <v>3619.77</v>
      </c>
      <c r="G264" t="s">
        <v>808</v>
      </c>
      <c r="H264" s="2">
        <v>45464</v>
      </c>
      <c r="I264" t="s">
        <v>809</v>
      </c>
      <c r="J264" t="s">
        <v>809</v>
      </c>
      <c r="K264" t="s">
        <v>29</v>
      </c>
      <c r="M264" t="s">
        <v>59</v>
      </c>
      <c r="O264" s="10">
        <f t="shared" si="8"/>
        <v>6</v>
      </c>
      <c r="P264" s="10">
        <f t="shared" si="9"/>
        <v>2024</v>
      </c>
      <c r="Q264" t="str">
        <f>+VLOOKUP(O264,'COMISIONES ENERO-MARZO 2025 (2)'!$X:$Y,2,0)</f>
        <v>Junio</v>
      </c>
    </row>
    <row r="265" spans="3:17" x14ac:dyDescent="0.35">
      <c r="C265" t="s">
        <v>326</v>
      </c>
      <c r="D265">
        <v>53059501</v>
      </c>
      <c r="E265" t="s">
        <v>327</v>
      </c>
      <c r="F265" s="26">
        <v>4179.7700000000004</v>
      </c>
      <c r="G265" t="s">
        <v>810</v>
      </c>
      <c r="H265" s="2">
        <v>45468</v>
      </c>
      <c r="I265" t="s">
        <v>811</v>
      </c>
      <c r="J265" t="s">
        <v>811</v>
      </c>
      <c r="K265" t="s">
        <v>29</v>
      </c>
      <c r="M265" t="s">
        <v>59</v>
      </c>
      <c r="O265" s="10">
        <f t="shared" si="8"/>
        <v>6</v>
      </c>
      <c r="P265" s="10">
        <f t="shared" si="9"/>
        <v>2024</v>
      </c>
      <c r="Q265" t="str">
        <f>+VLOOKUP(O265,'COMISIONES ENERO-MARZO 2025 (2)'!$X:$Y,2,0)</f>
        <v>Junio</v>
      </c>
    </row>
    <row r="266" spans="3:17" x14ac:dyDescent="0.35">
      <c r="C266" t="s">
        <v>326</v>
      </c>
      <c r="D266">
        <v>53059501</v>
      </c>
      <c r="E266" t="s">
        <v>327</v>
      </c>
      <c r="F266" s="26">
        <v>7179.77</v>
      </c>
      <c r="G266" t="s">
        <v>812</v>
      </c>
      <c r="H266" s="2">
        <v>45468</v>
      </c>
      <c r="I266" t="s">
        <v>813</v>
      </c>
      <c r="J266" t="s">
        <v>813</v>
      </c>
      <c r="K266" t="s">
        <v>29</v>
      </c>
      <c r="M266" t="s">
        <v>59</v>
      </c>
      <c r="O266" s="10">
        <f t="shared" si="8"/>
        <v>6</v>
      </c>
      <c r="P266" s="10">
        <f t="shared" si="9"/>
        <v>2024</v>
      </c>
      <c r="Q266" t="str">
        <f>+VLOOKUP(O266,'COMISIONES ENERO-MARZO 2025 (2)'!$X:$Y,2,0)</f>
        <v>Junio</v>
      </c>
    </row>
    <row r="267" spans="3:17" x14ac:dyDescent="0.35">
      <c r="C267" t="s">
        <v>326</v>
      </c>
      <c r="D267">
        <v>53059501</v>
      </c>
      <c r="E267" t="s">
        <v>327</v>
      </c>
      <c r="F267" s="26">
        <v>14799.54</v>
      </c>
      <c r="G267" t="s">
        <v>814</v>
      </c>
      <c r="H267" s="2">
        <v>45475</v>
      </c>
      <c r="I267" t="s">
        <v>815</v>
      </c>
      <c r="J267" t="s">
        <v>815</v>
      </c>
      <c r="K267" t="s">
        <v>29</v>
      </c>
      <c r="M267" t="s">
        <v>59</v>
      </c>
      <c r="O267" s="10">
        <f t="shared" si="8"/>
        <v>7</v>
      </c>
      <c r="P267" s="10">
        <f t="shared" si="9"/>
        <v>2024</v>
      </c>
      <c r="Q267" t="str">
        <f>+VLOOKUP(O267,'COMISIONES ENERO-MARZO 2025 (2)'!$X:$Y,2,0)</f>
        <v>Julio</v>
      </c>
    </row>
    <row r="268" spans="3:17" x14ac:dyDescent="0.35">
      <c r="C268" t="s">
        <v>326</v>
      </c>
      <c r="D268">
        <v>53059501</v>
      </c>
      <c r="E268" t="s">
        <v>327</v>
      </c>
      <c r="F268" s="26">
        <v>1779.77</v>
      </c>
      <c r="G268" t="s">
        <v>816</v>
      </c>
      <c r="H268" s="2">
        <v>45475</v>
      </c>
      <c r="I268" t="s">
        <v>817</v>
      </c>
      <c r="J268" t="s">
        <v>817</v>
      </c>
      <c r="K268" t="s">
        <v>29</v>
      </c>
      <c r="M268" t="s">
        <v>59</v>
      </c>
      <c r="O268" s="10">
        <f t="shared" si="8"/>
        <v>7</v>
      </c>
      <c r="P268" s="10">
        <f t="shared" si="9"/>
        <v>2024</v>
      </c>
      <c r="Q268" t="str">
        <f>+VLOOKUP(O268,'COMISIONES ENERO-MARZO 2025 (2)'!$X:$Y,2,0)</f>
        <v>Julio</v>
      </c>
    </row>
    <row r="269" spans="3:17" x14ac:dyDescent="0.35">
      <c r="C269" t="s">
        <v>326</v>
      </c>
      <c r="D269">
        <v>53059501</v>
      </c>
      <c r="E269" t="s">
        <v>327</v>
      </c>
      <c r="F269" s="26">
        <v>6859.77</v>
      </c>
      <c r="G269" t="s">
        <v>818</v>
      </c>
      <c r="H269" s="2">
        <v>45471</v>
      </c>
      <c r="I269" t="s">
        <v>819</v>
      </c>
      <c r="J269" t="s">
        <v>819</v>
      </c>
      <c r="K269" t="s">
        <v>29</v>
      </c>
      <c r="M269" t="s">
        <v>59</v>
      </c>
      <c r="O269" s="10">
        <f t="shared" si="8"/>
        <v>6</v>
      </c>
      <c r="P269" s="10">
        <f t="shared" si="9"/>
        <v>2024</v>
      </c>
      <c r="Q269" t="str">
        <f>+VLOOKUP(O269,'COMISIONES ENERO-MARZO 2025 (2)'!$X:$Y,2,0)</f>
        <v>Junio</v>
      </c>
    </row>
    <row r="270" spans="3:17" x14ac:dyDescent="0.35">
      <c r="C270" t="s">
        <v>326</v>
      </c>
      <c r="D270">
        <v>53059501</v>
      </c>
      <c r="E270" t="s">
        <v>327</v>
      </c>
      <c r="F270" s="26">
        <v>24610</v>
      </c>
      <c r="G270" t="s">
        <v>820</v>
      </c>
      <c r="H270" s="2">
        <v>45473</v>
      </c>
      <c r="I270" t="s">
        <v>746</v>
      </c>
      <c r="J270" t="s">
        <v>746</v>
      </c>
      <c r="K270" t="s">
        <v>35</v>
      </c>
      <c r="M270" t="s">
        <v>59</v>
      </c>
      <c r="O270" s="10">
        <f t="shared" si="8"/>
        <v>6</v>
      </c>
      <c r="P270" s="10">
        <f t="shared" si="9"/>
        <v>2024</v>
      </c>
      <c r="Q270" t="str">
        <f>+VLOOKUP(O270,'COMISIONES ENERO-MARZO 2025 (2)'!$X:$Y,2,0)</f>
        <v>Junio</v>
      </c>
    </row>
    <row r="271" spans="3:17" x14ac:dyDescent="0.35">
      <c r="C271" t="s">
        <v>326</v>
      </c>
      <c r="D271">
        <v>53059501</v>
      </c>
      <c r="E271" t="s">
        <v>327</v>
      </c>
      <c r="F271" s="26">
        <v>2639.98</v>
      </c>
      <c r="G271" t="s">
        <v>821</v>
      </c>
      <c r="H271" s="2">
        <v>45473</v>
      </c>
      <c r="I271" t="s">
        <v>822</v>
      </c>
      <c r="J271" t="s">
        <v>684</v>
      </c>
      <c r="K271" t="s">
        <v>29</v>
      </c>
      <c r="M271" t="s">
        <v>59</v>
      </c>
      <c r="O271" s="10">
        <f t="shared" si="8"/>
        <v>6</v>
      </c>
      <c r="P271" s="10">
        <f t="shared" si="9"/>
        <v>2024</v>
      </c>
      <c r="Q271" t="str">
        <f>+VLOOKUP(O271,'COMISIONES ENERO-MARZO 2025 (2)'!$X:$Y,2,0)</f>
        <v>Junio</v>
      </c>
    </row>
    <row r="272" spans="3:17" x14ac:dyDescent="0.35">
      <c r="C272" t="s">
        <v>326</v>
      </c>
      <c r="D272">
        <v>53059501</v>
      </c>
      <c r="E272" t="s">
        <v>327</v>
      </c>
      <c r="F272" s="26">
        <v>9179.77</v>
      </c>
      <c r="G272" t="s">
        <v>823</v>
      </c>
      <c r="H272" s="2">
        <v>45481</v>
      </c>
      <c r="I272" t="s">
        <v>824</v>
      </c>
      <c r="J272" t="s">
        <v>824</v>
      </c>
      <c r="K272" t="s">
        <v>29</v>
      </c>
      <c r="M272" t="s">
        <v>59</v>
      </c>
      <c r="O272" s="10">
        <f t="shared" si="8"/>
        <v>7</v>
      </c>
      <c r="P272" s="10">
        <f t="shared" si="9"/>
        <v>2024</v>
      </c>
      <c r="Q272" t="str">
        <f>+VLOOKUP(O272,'COMISIONES ENERO-MARZO 2025 (2)'!$X:$Y,2,0)</f>
        <v>Julio</v>
      </c>
    </row>
    <row r="273" spans="3:17" x14ac:dyDescent="0.35">
      <c r="C273" t="s">
        <v>326</v>
      </c>
      <c r="D273">
        <v>53059501</v>
      </c>
      <c r="E273" t="s">
        <v>327</v>
      </c>
      <c r="F273" s="26">
        <v>4259.7700000000004</v>
      </c>
      <c r="G273" t="s">
        <v>825</v>
      </c>
      <c r="H273" s="2">
        <v>45482</v>
      </c>
      <c r="I273" t="s">
        <v>826</v>
      </c>
      <c r="J273" t="s">
        <v>826</v>
      </c>
      <c r="K273" t="s">
        <v>29</v>
      </c>
      <c r="M273" t="s">
        <v>59</v>
      </c>
      <c r="O273" s="10">
        <f t="shared" si="8"/>
        <v>7</v>
      </c>
      <c r="P273" s="10">
        <f t="shared" si="9"/>
        <v>2024</v>
      </c>
      <c r="Q273" t="str">
        <f>+VLOOKUP(O273,'COMISIONES ENERO-MARZO 2025 (2)'!$X:$Y,2,0)</f>
        <v>Julio</v>
      </c>
    </row>
    <row r="274" spans="3:17" x14ac:dyDescent="0.35">
      <c r="C274" t="s">
        <v>326</v>
      </c>
      <c r="D274">
        <v>53059501</v>
      </c>
      <c r="E274" t="s">
        <v>327</v>
      </c>
      <c r="F274" s="26">
        <v>20079.54</v>
      </c>
      <c r="G274" t="s">
        <v>827</v>
      </c>
      <c r="H274" s="2">
        <v>45484</v>
      </c>
      <c r="I274" t="s">
        <v>828</v>
      </c>
      <c r="J274" t="s">
        <v>828</v>
      </c>
      <c r="K274" t="s">
        <v>29</v>
      </c>
      <c r="M274" t="s">
        <v>59</v>
      </c>
      <c r="O274" s="10">
        <f t="shared" si="8"/>
        <v>7</v>
      </c>
      <c r="P274" s="10">
        <f t="shared" si="9"/>
        <v>2024</v>
      </c>
      <c r="Q274" t="str">
        <f>+VLOOKUP(O274,'COMISIONES ENERO-MARZO 2025 (2)'!$X:$Y,2,0)</f>
        <v>Julio</v>
      </c>
    </row>
    <row r="275" spans="3:17" x14ac:dyDescent="0.35">
      <c r="C275" t="s">
        <v>326</v>
      </c>
      <c r="D275">
        <v>53059501</v>
      </c>
      <c r="E275" t="s">
        <v>327</v>
      </c>
      <c r="F275" s="26">
        <v>16339</v>
      </c>
      <c r="G275" t="s">
        <v>829</v>
      </c>
      <c r="H275" s="2">
        <v>45489</v>
      </c>
      <c r="I275" t="s">
        <v>830</v>
      </c>
      <c r="J275" t="s">
        <v>830</v>
      </c>
      <c r="K275" t="s">
        <v>831</v>
      </c>
      <c r="M275" t="s">
        <v>59</v>
      </c>
      <c r="O275" s="10">
        <f t="shared" si="8"/>
        <v>7</v>
      </c>
      <c r="P275" s="10">
        <f t="shared" si="9"/>
        <v>2024</v>
      </c>
      <c r="Q275" t="str">
        <f>+VLOOKUP(O275,'COMISIONES ENERO-MARZO 2025 (2)'!$X:$Y,2,0)</f>
        <v>Julio</v>
      </c>
    </row>
    <row r="276" spans="3:17" x14ac:dyDescent="0.35">
      <c r="C276" t="s">
        <v>326</v>
      </c>
      <c r="D276">
        <v>53059501</v>
      </c>
      <c r="E276" t="s">
        <v>327</v>
      </c>
      <c r="F276" s="26">
        <v>4180</v>
      </c>
      <c r="G276" t="s">
        <v>832</v>
      </c>
      <c r="H276" s="2">
        <v>45490</v>
      </c>
      <c r="I276" t="s">
        <v>833</v>
      </c>
      <c r="J276" t="s">
        <v>833</v>
      </c>
      <c r="K276" t="s">
        <v>35</v>
      </c>
      <c r="M276" t="s">
        <v>59</v>
      </c>
      <c r="O276" s="10">
        <f t="shared" si="8"/>
        <v>7</v>
      </c>
      <c r="P276" s="10">
        <f t="shared" si="9"/>
        <v>2024</v>
      </c>
      <c r="Q276" t="str">
        <f>+VLOOKUP(O276,'COMISIONES ENERO-MARZO 2025 (2)'!$X:$Y,2,0)</f>
        <v>Julio</v>
      </c>
    </row>
    <row r="277" spans="3:17" x14ac:dyDescent="0.35">
      <c r="C277" t="s">
        <v>326</v>
      </c>
      <c r="D277">
        <v>53059501</v>
      </c>
      <c r="E277" t="s">
        <v>327</v>
      </c>
      <c r="F277" s="26">
        <v>162</v>
      </c>
      <c r="G277" t="s">
        <v>834</v>
      </c>
      <c r="H277" s="2">
        <v>45488</v>
      </c>
      <c r="I277" t="s">
        <v>835</v>
      </c>
      <c r="J277" t="s">
        <v>836</v>
      </c>
      <c r="K277" t="s">
        <v>35</v>
      </c>
      <c r="M277" t="s">
        <v>59</v>
      </c>
      <c r="O277" s="10">
        <f t="shared" si="8"/>
        <v>7</v>
      </c>
      <c r="P277" s="10">
        <f t="shared" si="9"/>
        <v>2024</v>
      </c>
      <c r="Q277" t="str">
        <f>+VLOOKUP(O277,'COMISIONES ENERO-MARZO 2025 (2)'!$X:$Y,2,0)</f>
        <v>Julio</v>
      </c>
    </row>
    <row r="278" spans="3:17" x14ac:dyDescent="0.35">
      <c r="C278" t="s">
        <v>326</v>
      </c>
      <c r="D278">
        <v>53059501</v>
      </c>
      <c r="E278" t="s">
        <v>327</v>
      </c>
      <c r="F278" s="26">
        <v>4019.77</v>
      </c>
      <c r="G278" t="s">
        <v>837</v>
      </c>
      <c r="H278" s="2">
        <v>45503</v>
      </c>
      <c r="I278" t="s">
        <v>838</v>
      </c>
      <c r="J278" t="s">
        <v>838</v>
      </c>
      <c r="K278" t="s">
        <v>29</v>
      </c>
      <c r="M278" t="s">
        <v>59</v>
      </c>
      <c r="O278" s="10">
        <f t="shared" si="8"/>
        <v>7</v>
      </c>
      <c r="P278" s="10">
        <f t="shared" si="9"/>
        <v>2024</v>
      </c>
      <c r="Q278" t="str">
        <f>+VLOOKUP(O278,'COMISIONES ENERO-MARZO 2025 (2)'!$X:$Y,2,0)</f>
        <v>Julio</v>
      </c>
    </row>
    <row r="279" spans="3:17" x14ac:dyDescent="0.35">
      <c r="C279" t="s">
        <v>326</v>
      </c>
      <c r="D279">
        <v>53059501</v>
      </c>
      <c r="E279" t="s">
        <v>327</v>
      </c>
      <c r="F279" s="26">
        <v>5819.77</v>
      </c>
      <c r="G279" t="s">
        <v>839</v>
      </c>
      <c r="H279" s="2">
        <v>45503</v>
      </c>
      <c r="I279" t="s">
        <v>840</v>
      </c>
      <c r="J279" t="s">
        <v>840</v>
      </c>
      <c r="K279" t="s">
        <v>29</v>
      </c>
      <c r="M279" t="s">
        <v>59</v>
      </c>
      <c r="O279" s="10">
        <f t="shared" si="8"/>
        <v>7</v>
      </c>
      <c r="P279" s="10">
        <f t="shared" si="9"/>
        <v>2024</v>
      </c>
      <c r="Q279" t="str">
        <f>+VLOOKUP(O279,'COMISIONES ENERO-MARZO 2025 (2)'!$X:$Y,2,0)</f>
        <v>Julio</v>
      </c>
    </row>
    <row r="280" spans="3:17" x14ac:dyDescent="0.35">
      <c r="C280" t="s">
        <v>326</v>
      </c>
      <c r="D280">
        <v>53059501</v>
      </c>
      <c r="E280" t="s">
        <v>327</v>
      </c>
      <c r="F280" s="26">
        <v>4019.77</v>
      </c>
      <c r="G280" t="s">
        <v>841</v>
      </c>
      <c r="H280" s="2">
        <v>45503</v>
      </c>
      <c r="I280" t="s">
        <v>842</v>
      </c>
      <c r="J280" t="s">
        <v>842</v>
      </c>
      <c r="K280" t="s">
        <v>29</v>
      </c>
      <c r="M280" t="s">
        <v>59</v>
      </c>
      <c r="O280" s="10">
        <f t="shared" si="8"/>
        <v>7</v>
      </c>
      <c r="P280" s="10">
        <f t="shared" si="9"/>
        <v>2024</v>
      </c>
      <c r="Q280" t="str">
        <f>+VLOOKUP(O280,'COMISIONES ENERO-MARZO 2025 (2)'!$X:$Y,2,0)</f>
        <v>Julio</v>
      </c>
    </row>
    <row r="281" spans="3:17" x14ac:dyDescent="0.35">
      <c r="C281" t="s">
        <v>326</v>
      </c>
      <c r="D281">
        <v>53059501</v>
      </c>
      <c r="E281" t="s">
        <v>327</v>
      </c>
      <c r="F281" s="26">
        <v>2016.61</v>
      </c>
      <c r="G281" t="s">
        <v>843</v>
      </c>
      <c r="H281" s="2">
        <v>45503</v>
      </c>
      <c r="I281" t="s">
        <v>844</v>
      </c>
      <c r="J281" t="s">
        <v>844</v>
      </c>
      <c r="K281" t="s">
        <v>29</v>
      </c>
      <c r="M281" t="s">
        <v>59</v>
      </c>
      <c r="O281" s="10">
        <f t="shared" si="8"/>
        <v>7</v>
      </c>
      <c r="P281" s="10">
        <f t="shared" si="9"/>
        <v>2024</v>
      </c>
      <c r="Q281" t="str">
        <f>+VLOOKUP(O281,'COMISIONES ENERO-MARZO 2025 (2)'!$X:$Y,2,0)</f>
        <v>Julio</v>
      </c>
    </row>
    <row r="282" spans="3:17" x14ac:dyDescent="0.35">
      <c r="C282" t="s">
        <v>326</v>
      </c>
      <c r="D282">
        <v>53059501</v>
      </c>
      <c r="E282" t="s">
        <v>327</v>
      </c>
      <c r="F282" s="26">
        <v>101143</v>
      </c>
      <c r="G282" t="s">
        <v>845</v>
      </c>
      <c r="H282" s="2">
        <v>45503</v>
      </c>
      <c r="I282" t="s">
        <v>846</v>
      </c>
      <c r="J282" t="s">
        <v>847</v>
      </c>
      <c r="K282" t="s">
        <v>35</v>
      </c>
      <c r="M282" t="s">
        <v>59</v>
      </c>
      <c r="O282" s="10">
        <f t="shared" si="8"/>
        <v>7</v>
      </c>
      <c r="P282" s="10">
        <f t="shared" si="9"/>
        <v>2024</v>
      </c>
      <c r="Q282" t="str">
        <f>+VLOOKUP(O282,'COMISIONES ENERO-MARZO 2025 (2)'!$X:$Y,2,0)</f>
        <v>Julio</v>
      </c>
    </row>
    <row r="283" spans="3:17" x14ac:dyDescent="0.35">
      <c r="C283" t="s">
        <v>326</v>
      </c>
      <c r="D283">
        <v>53059501</v>
      </c>
      <c r="E283" t="s">
        <v>327</v>
      </c>
      <c r="F283" s="26">
        <v>56297</v>
      </c>
      <c r="G283" t="s">
        <v>848</v>
      </c>
      <c r="H283" s="2">
        <v>45503</v>
      </c>
      <c r="I283" t="s">
        <v>702</v>
      </c>
      <c r="J283" t="s">
        <v>702</v>
      </c>
      <c r="K283" t="s">
        <v>35</v>
      </c>
      <c r="M283" t="s">
        <v>59</v>
      </c>
      <c r="O283" s="10">
        <f t="shared" si="8"/>
        <v>7</v>
      </c>
      <c r="P283" s="10">
        <f t="shared" si="9"/>
        <v>2024</v>
      </c>
      <c r="Q283" t="str">
        <f>+VLOOKUP(O283,'COMISIONES ENERO-MARZO 2025 (2)'!$X:$Y,2,0)</f>
        <v>Julio</v>
      </c>
    </row>
    <row r="284" spans="3:17" x14ac:dyDescent="0.35">
      <c r="C284" t="s">
        <v>326</v>
      </c>
      <c r="D284">
        <v>53059501</v>
      </c>
      <c r="E284" t="s">
        <v>327</v>
      </c>
      <c r="F284" s="26">
        <v>27</v>
      </c>
      <c r="G284" t="s">
        <v>849</v>
      </c>
      <c r="H284" s="2">
        <v>45503</v>
      </c>
      <c r="I284" t="s">
        <v>850</v>
      </c>
      <c r="J284" t="s">
        <v>850</v>
      </c>
      <c r="K284" t="s">
        <v>534</v>
      </c>
      <c r="M284" t="s">
        <v>59</v>
      </c>
      <c r="O284" s="10">
        <f t="shared" si="8"/>
        <v>7</v>
      </c>
      <c r="P284" s="10">
        <f t="shared" si="9"/>
        <v>2024</v>
      </c>
      <c r="Q284" t="str">
        <f>+VLOOKUP(O284,'COMISIONES ENERO-MARZO 2025 (2)'!$X:$Y,2,0)</f>
        <v>Julio</v>
      </c>
    </row>
    <row r="285" spans="3:17" x14ac:dyDescent="0.35">
      <c r="C285" t="s">
        <v>326</v>
      </c>
      <c r="D285">
        <v>53059501</v>
      </c>
      <c r="E285" t="s">
        <v>327</v>
      </c>
      <c r="F285" s="26">
        <v>1629.92</v>
      </c>
      <c r="G285" t="s">
        <v>851</v>
      </c>
      <c r="H285" s="2">
        <v>45503</v>
      </c>
      <c r="I285" t="s">
        <v>852</v>
      </c>
      <c r="J285" t="s">
        <v>853</v>
      </c>
      <c r="K285" t="s">
        <v>29</v>
      </c>
      <c r="M285" t="s">
        <v>59</v>
      </c>
      <c r="O285" s="10">
        <f t="shared" si="8"/>
        <v>7</v>
      </c>
      <c r="P285" s="10">
        <f t="shared" si="9"/>
        <v>2024</v>
      </c>
      <c r="Q285" t="str">
        <f>+VLOOKUP(O285,'COMISIONES ENERO-MARZO 2025 (2)'!$X:$Y,2,0)</f>
        <v>Julio</v>
      </c>
    </row>
    <row r="286" spans="3:17" x14ac:dyDescent="0.35">
      <c r="C286" t="s">
        <v>326</v>
      </c>
      <c r="D286">
        <v>53059501</v>
      </c>
      <c r="E286" t="s">
        <v>327</v>
      </c>
      <c r="F286" s="26">
        <v>400</v>
      </c>
      <c r="G286" t="s">
        <v>854</v>
      </c>
      <c r="H286" s="2">
        <v>45504</v>
      </c>
      <c r="I286" t="s">
        <v>855</v>
      </c>
      <c r="J286" t="s">
        <v>855</v>
      </c>
      <c r="K286" t="s">
        <v>29</v>
      </c>
      <c r="M286" t="s">
        <v>59</v>
      </c>
      <c r="O286" s="10">
        <f t="shared" si="8"/>
        <v>7</v>
      </c>
      <c r="P286" s="10">
        <f t="shared" si="9"/>
        <v>2024</v>
      </c>
      <c r="Q286" t="str">
        <f>+VLOOKUP(O286,'COMISIONES ENERO-MARZO 2025 (2)'!$X:$Y,2,0)</f>
        <v>Julio</v>
      </c>
    </row>
    <row r="287" spans="3:17" x14ac:dyDescent="0.35">
      <c r="C287" t="s">
        <v>326</v>
      </c>
      <c r="D287">
        <v>53059501</v>
      </c>
      <c r="E287" t="s">
        <v>327</v>
      </c>
      <c r="F287" s="26">
        <v>2016.61</v>
      </c>
      <c r="G287" t="s">
        <v>856</v>
      </c>
      <c r="H287" s="2">
        <v>45506</v>
      </c>
      <c r="I287" t="s">
        <v>151</v>
      </c>
      <c r="J287" t="s">
        <v>151</v>
      </c>
      <c r="K287" t="s">
        <v>29</v>
      </c>
      <c r="M287" t="s">
        <v>59</v>
      </c>
      <c r="O287" s="10">
        <f t="shared" si="8"/>
        <v>8</v>
      </c>
      <c r="P287" s="10">
        <f t="shared" si="9"/>
        <v>2024</v>
      </c>
      <c r="Q287" t="str">
        <f>+VLOOKUP(O287,'COMISIONES ENERO-MARZO 2025 (2)'!$X:$Y,2,0)</f>
        <v>Agosto</v>
      </c>
    </row>
    <row r="288" spans="3:17" x14ac:dyDescent="0.35">
      <c r="C288" t="s">
        <v>326</v>
      </c>
      <c r="D288">
        <v>53059501</v>
      </c>
      <c r="E288" t="s">
        <v>327</v>
      </c>
      <c r="F288" s="26">
        <v>4459.7700000000004</v>
      </c>
      <c r="G288" t="s">
        <v>857</v>
      </c>
      <c r="H288" s="2">
        <v>45510</v>
      </c>
      <c r="I288" t="s">
        <v>858</v>
      </c>
      <c r="J288" t="s">
        <v>858</v>
      </c>
      <c r="K288" t="s">
        <v>29</v>
      </c>
      <c r="M288" t="s">
        <v>59</v>
      </c>
      <c r="O288" s="10">
        <f t="shared" si="8"/>
        <v>8</v>
      </c>
      <c r="P288" s="10">
        <f t="shared" si="9"/>
        <v>2024</v>
      </c>
      <c r="Q288" t="str">
        <f>+VLOOKUP(O288,'COMISIONES ENERO-MARZO 2025 (2)'!$X:$Y,2,0)</f>
        <v>Agosto</v>
      </c>
    </row>
    <row r="289" spans="3:17" x14ac:dyDescent="0.35">
      <c r="C289" t="s">
        <v>326</v>
      </c>
      <c r="D289">
        <v>53059501</v>
      </c>
      <c r="E289" t="s">
        <v>327</v>
      </c>
      <c r="F289" s="26">
        <v>13559.54</v>
      </c>
      <c r="G289" t="s">
        <v>859</v>
      </c>
      <c r="H289" s="2">
        <v>45516</v>
      </c>
      <c r="I289" t="s">
        <v>860</v>
      </c>
      <c r="J289" t="s">
        <v>860</v>
      </c>
      <c r="K289" t="s">
        <v>29</v>
      </c>
      <c r="M289" t="s">
        <v>59</v>
      </c>
      <c r="O289" s="10">
        <f t="shared" si="8"/>
        <v>8</v>
      </c>
      <c r="P289" s="10">
        <f t="shared" si="9"/>
        <v>2024</v>
      </c>
      <c r="Q289" t="str">
        <f>+VLOOKUP(O289,'COMISIONES ENERO-MARZO 2025 (2)'!$X:$Y,2,0)</f>
        <v>Agosto</v>
      </c>
    </row>
    <row r="290" spans="3:17" x14ac:dyDescent="0.35">
      <c r="C290" t="s">
        <v>326</v>
      </c>
      <c r="D290">
        <v>53059501</v>
      </c>
      <c r="E290" t="s">
        <v>327</v>
      </c>
      <c r="F290" s="26">
        <v>2016.61</v>
      </c>
      <c r="G290" t="s">
        <v>861</v>
      </c>
      <c r="H290" s="2">
        <v>45516</v>
      </c>
      <c r="I290" t="s">
        <v>862</v>
      </c>
      <c r="J290" t="s">
        <v>862</v>
      </c>
      <c r="K290" t="s">
        <v>29</v>
      </c>
      <c r="M290" t="s">
        <v>59</v>
      </c>
      <c r="O290" s="10">
        <f t="shared" si="8"/>
        <v>8</v>
      </c>
      <c r="P290" s="10">
        <f t="shared" si="9"/>
        <v>2024</v>
      </c>
      <c r="Q290" t="str">
        <f>+VLOOKUP(O290,'COMISIONES ENERO-MARZO 2025 (2)'!$X:$Y,2,0)</f>
        <v>Agosto</v>
      </c>
    </row>
    <row r="291" spans="3:17" x14ac:dyDescent="0.35">
      <c r="C291" t="s">
        <v>326</v>
      </c>
      <c r="D291">
        <v>53059501</v>
      </c>
      <c r="E291" t="s">
        <v>327</v>
      </c>
      <c r="F291" s="26">
        <v>7939.77</v>
      </c>
      <c r="G291" t="s">
        <v>863</v>
      </c>
      <c r="H291" s="2">
        <v>45516</v>
      </c>
      <c r="I291" t="s">
        <v>151</v>
      </c>
      <c r="J291" t="s">
        <v>151</v>
      </c>
      <c r="K291" t="s">
        <v>29</v>
      </c>
      <c r="M291" t="s">
        <v>59</v>
      </c>
      <c r="O291" s="10">
        <f t="shared" si="8"/>
        <v>8</v>
      </c>
      <c r="P291" s="10">
        <f t="shared" si="9"/>
        <v>2024</v>
      </c>
      <c r="Q291" t="str">
        <f>+VLOOKUP(O291,'COMISIONES ENERO-MARZO 2025 (2)'!$X:$Y,2,0)</f>
        <v>Agosto</v>
      </c>
    </row>
    <row r="292" spans="3:17" x14ac:dyDescent="0.35">
      <c r="C292" t="s">
        <v>326</v>
      </c>
      <c r="D292">
        <v>53059501</v>
      </c>
      <c r="E292" t="s">
        <v>327</v>
      </c>
      <c r="F292" s="26">
        <v>619.77</v>
      </c>
      <c r="G292" t="s">
        <v>864</v>
      </c>
      <c r="H292" s="2">
        <v>45516</v>
      </c>
      <c r="I292" t="s">
        <v>865</v>
      </c>
      <c r="J292" t="s">
        <v>865</v>
      </c>
      <c r="K292" t="s">
        <v>29</v>
      </c>
      <c r="M292" t="s">
        <v>59</v>
      </c>
      <c r="O292" s="10">
        <f t="shared" si="8"/>
        <v>8</v>
      </c>
      <c r="P292" s="10">
        <f t="shared" si="9"/>
        <v>2024</v>
      </c>
      <c r="Q292" t="str">
        <f>+VLOOKUP(O292,'COMISIONES ENERO-MARZO 2025 (2)'!$X:$Y,2,0)</f>
        <v>Agosto</v>
      </c>
    </row>
    <row r="293" spans="3:17" x14ac:dyDescent="0.35">
      <c r="C293" t="s">
        <v>326</v>
      </c>
      <c r="D293">
        <v>53059501</v>
      </c>
      <c r="E293" t="s">
        <v>327</v>
      </c>
      <c r="F293" s="26">
        <v>1937.27</v>
      </c>
      <c r="G293" t="s">
        <v>866</v>
      </c>
      <c r="H293" s="2">
        <v>45518</v>
      </c>
      <c r="I293" t="s">
        <v>151</v>
      </c>
      <c r="J293" t="s">
        <v>151</v>
      </c>
      <c r="K293" t="s">
        <v>29</v>
      </c>
      <c r="M293" t="s">
        <v>59</v>
      </c>
      <c r="O293" s="10">
        <f t="shared" si="8"/>
        <v>8</v>
      </c>
      <c r="P293" s="10">
        <f t="shared" si="9"/>
        <v>2024</v>
      </c>
      <c r="Q293" t="str">
        <f>+VLOOKUP(O293,'COMISIONES ENERO-MARZO 2025 (2)'!$X:$Y,2,0)</f>
        <v>Agosto</v>
      </c>
    </row>
    <row r="294" spans="3:17" x14ac:dyDescent="0.35">
      <c r="C294" t="s">
        <v>326</v>
      </c>
      <c r="D294">
        <v>53059501</v>
      </c>
      <c r="E294" t="s">
        <v>327</v>
      </c>
      <c r="F294" s="26">
        <v>2176.8000000000002</v>
      </c>
      <c r="G294" t="s">
        <v>867</v>
      </c>
      <c r="H294" s="2">
        <v>45524</v>
      </c>
      <c r="I294" t="s">
        <v>208</v>
      </c>
      <c r="J294" t="s">
        <v>208</v>
      </c>
      <c r="K294" t="s">
        <v>29</v>
      </c>
      <c r="M294" t="s">
        <v>59</v>
      </c>
      <c r="O294" s="10">
        <f t="shared" si="8"/>
        <v>8</v>
      </c>
      <c r="P294" s="10">
        <f t="shared" si="9"/>
        <v>2024</v>
      </c>
      <c r="Q294" t="str">
        <f>+VLOOKUP(O294,'COMISIONES ENERO-MARZO 2025 (2)'!$X:$Y,2,0)</f>
        <v>Agosto</v>
      </c>
    </row>
    <row r="295" spans="3:17" x14ac:dyDescent="0.35">
      <c r="C295" t="s">
        <v>326</v>
      </c>
      <c r="D295">
        <v>53059501</v>
      </c>
      <c r="E295" t="s">
        <v>327</v>
      </c>
      <c r="F295" s="26">
        <v>40743</v>
      </c>
      <c r="G295" t="s">
        <v>868</v>
      </c>
      <c r="H295" s="2">
        <v>45525</v>
      </c>
      <c r="I295" t="s">
        <v>869</v>
      </c>
      <c r="J295" t="s">
        <v>869</v>
      </c>
      <c r="K295" t="s">
        <v>19</v>
      </c>
      <c r="M295" t="s">
        <v>59</v>
      </c>
      <c r="O295" s="10">
        <f t="shared" si="8"/>
        <v>8</v>
      </c>
      <c r="P295" s="10">
        <f t="shared" si="9"/>
        <v>2024</v>
      </c>
      <c r="Q295" t="str">
        <f>+VLOOKUP(O295,'COMISIONES ENERO-MARZO 2025 (2)'!$X:$Y,2,0)</f>
        <v>Agosto</v>
      </c>
    </row>
    <row r="296" spans="3:17" x14ac:dyDescent="0.35">
      <c r="C296" t="s">
        <v>326</v>
      </c>
      <c r="D296">
        <v>53059501</v>
      </c>
      <c r="E296" t="s">
        <v>327</v>
      </c>
      <c r="F296" s="26">
        <v>5536.8</v>
      </c>
      <c r="G296" t="s">
        <v>870</v>
      </c>
      <c r="H296" s="2">
        <v>45525</v>
      </c>
      <c r="I296" t="s">
        <v>151</v>
      </c>
      <c r="J296" t="s">
        <v>151</v>
      </c>
      <c r="K296" t="s">
        <v>29</v>
      </c>
      <c r="M296" t="s">
        <v>59</v>
      </c>
      <c r="O296" s="10">
        <f t="shared" si="8"/>
        <v>8</v>
      </c>
      <c r="P296" s="10">
        <f t="shared" si="9"/>
        <v>2024</v>
      </c>
      <c r="Q296" t="str">
        <f>+VLOOKUP(O296,'COMISIONES ENERO-MARZO 2025 (2)'!$X:$Y,2,0)</f>
        <v>Agosto</v>
      </c>
    </row>
    <row r="297" spans="3:17" x14ac:dyDescent="0.35">
      <c r="C297" t="s">
        <v>326</v>
      </c>
      <c r="D297">
        <v>53059501</v>
      </c>
      <c r="E297" t="s">
        <v>327</v>
      </c>
      <c r="F297" s="26">
        <v>8257.27</v>
      </c>
      <c r="G297" t="s">
        <v>871</v>
      </c>
      <c r="H297" s="2">
        <v>45525</v>
      </c>
      <c r="I297" t="s">
        <v>151</v>
      </c>
      <c r="J297" t="s">
        <v>151</v>
      </c>
      <c r="K297" t="s">
        <v>29</v>
      </c>
      <c r="M297" t="s">
        <v>59</v>
      </c>
      <c r="O297" s="10">
        <f t="shared" si="8"/>
        <v>8</v>
      </c>
      <c r="P297" s="10">
        <f t="shared" si="9"/>
        <v>2024</v>
      </c>
      <c r="Q297" t="str">
        <f>+VLOOKUP(O297,'COMISIONES ENERO-MARZO 2025 (2)'!$X:$Y,2,0)</f>
        <v>Agosto</v>
      </c>
    </row>
    <row r="298" spans="3:17" x14ac:dyDescent="0.35">
      <c r="C298" t="s">
        <v>326</v>
      </c>
      <c r="D298">
        <v>53059501</v>
      </c>
      <c r="E298" t="s">
        <v>327</v>
      </c>
      <c r="F298" s="26">
        <v>10496.8</v>
      </c>
      <c r="G298" t="s">
        <v>872</v>
      </c>
      <c r="H298" s="2">
        <v>45526</v>
      </c>
      <c r="I298" t="s">
        <v>873</v>
      </c>
      <c r="J298" t="s">
        <v>873</v>
      </c>
      <c r="K298" t="s">
        <v>29</v>
      </c>
      <c r="M298" t="s">
        <v>59</v>
      </c>
      <c r="O298" s="10">
        <f t="shared" si="8"/>
        <v>8</v>
      </c>
      <c r="P298" s="10">
        <f t="shared" si="9"/>
        <v>2024</v>
      </c>
      <c r="Q298" t="str">
        <f>+VLOOKUP(O298,'COMISIONES ENERO-MARZO 2025 (2)'!$X:$Y,2,0)</f>
        <v>Agosto</v>
      </c>
    </row>
    <row r="299" spans="3:17" x14ac:dyDescent="0.35">
      <c r="C299" t="s">
        <v>326</v>
      </c>
      <c r="D299">
        <v>53059501</v>
      </c>
      <c r="E299" t="s">
        <v>327</v>
      </c>
      <c r="F299" s="26">
        <v>8457.27</v>
      </c>
      <c r="G299" t="s">
        <v>874</v>
      </c>
      <c r="H299" s="2">
        <v>45530</v>
      </c>
      <c r="I299" t="s">
        <v>875</v>
      </c>
      <c r="J299" t="s">
        <v>875</v>
      </c>
      <c r="K299" t="s">
        <v>29</v>
      </c>
      <c r="M299" t="s">
        <v>59</v>
      </c>
      <c r="O299" s="10">
        <f t="shared" si="8"/>
        <v>8</v>
      </c>
      <c r="P299" s="10">
        <f t="shared" si="9"/>
        <v>2024</v>
      </c>
      <c r="Q299" t="str">
        <f>+VLOOKUP(O299,'COMISIONES ENERO-MARZO 2025 (2)'!$X:$Y,2,0)</f>
        <v>Agosto</v>
      </c>
    </row>
    <row r="300" spans="3:17" x14ac:dyDescent="0.35">
      <c r="C300" t="s">
        <v>326</v>
      </c>
      <c r="D300">
        <v>53059501</v>
      </c>
      <c r="E300" t="s">
        <v>327</v>
      </c>
      <c r="F300" s="26">
        <v>95630</v>
      </c>
      <c r="G300" t="s">
        <v>876</v>
      </c>
      <c r="H300" s="2">
        <v>45531</v>
      </c>
      <c r="I300" t="s">
        <v>877</v>
      </c>
      <c r="J300" t="s">
        <v>877</v>
      </c>
      <c r="K300" t="s">
        <v>35</v>
      </c>
      <c r="M300" t="s">
        <v>59</v>
      </c>
      <c r="O300" s="10">
        <f t="shared" si="8"/>
        <v>8</v>
      </c>
      <c r="P300" s="10">
        <f t="shared" si="9"/>
        <v>2024</v>
      </c>
      <c r="Q300" t="str">
        <f>+VLOOKUP(O300,'COMISIONES ENERO-MARZO 2025 (2)'!$X:$Y,2,0)</f>
        <v>Agosto</v>
      </c>
    </row>
    <row r="301" spans="3:17" x14ac:dyDescent="0.35">
      <c r="C301" t="s">
        <v>326</v>
      </c>
      <c r="D301">
        <v>53059501</v>
      </c>
      <c r="E301" t="s">
        <v>327</v>
      </c>
      <c r="F301" s="26">
        <v>943</v>
      </c>
      <c r="G301" t="s">
        <v>878</v>
      </c>
      <c r="H301" s="2">
        <v>45531</v>
      </c>
      <c r="I301" t="s">
        <v>879</v>
      </c>
      <c r="J301" t="s">
        <v>879</v>
      </c>
      <c r="K301" t="s">
        <v>35</v>
      </c>
      <c r="M301" t="s">
        <v>59</v>
      </c>
      <c r="O301" s="10">
        <f t="shared" si="8"/>
        <v>8</v>
      </c>
      <c r="P301" s="10">
        <f t="shared" si="9"/>
        <v>2024</v>
      </c>
      <c r="Q301" t="str">
        <f>+VLOOKUP(O301,'COMISIONES ENERO-MARZO 2025 (2)'!$X:$Y,2,0)</f>
        <v>Agosto</v>
      </c>
    </row>
    <row r="302" spans="3:17" x14ac:dyDescent="0.35">
      <c r="C302" t="s">
        <v>326</v>
      </c>
      <c r="D302">
        <v>53059501</v>
      </c>
      <c r="E302" t="s">
        <v>327</v>
      </c>
      <c r="F302" s="26">
        <v>343</v>
      </c>
      <c r="G302" t="s">
        <v>880</v>
      </c>
      <c r="H302" s="2">
        <v>45531</v>
      </c>
      <c r="I302" t="s">
        <v>881</v>
      </c>
      <c r="J302" t="s">
        <v>881</v>
      </c>
      <c r="K302" t="s">
        <v>29</v>
      </c>
      <c r="M302" t="s">
        <v>59</v>
      </c>
      <c r="O302" s="10">
        <f t="shared" si="8"/>
        <v>8</v>
      </c>
      <c r="P302" s="10">
        <f t="shared" si="9"/>
        <v>2024</v>
      </c>
      <c r="Q302" t="str">
        <f>+VLOOKUP(O302,'COMISIONES ENERO-MARZO 2025 (2)'!$X:$Y,2,0)</f>
        <v>Agosto</v>
      </c>
    </row>
    <row r="303" spans="3:17" x14ac:dyDescent="0.35">
      <c r="C303" t="s">
        <v>326</v>
      </c>
      <c r="D303">
        <v>53059501</v>
      </c>
      <c r="E303" t="s">
        <v>327</v>
      </c>
      <c r="F303" s="26">
        <v>3856.8</v>
      </c>
      <c r="G303" t="s">
        <v>882</v>
      </c>
      <c r="H303" s="2">
        <v>45538</v>
      </c>
      <c r="I303" t="s">
        <v>883</v>
      </c>
      <c r="J303" t="s">
        <v>883</v>
      </c>
      <c r="K303" t="s">
        <v>29</v>
      </c>
      <c r="M303" t="s">
        <v>59</v>
      </c>
      <c r="O303" s="10">
        <f t="shared" si="8"/>
        <v>9</v>
      </c>
      <c r="P303" s="10">
        <f t="shared" si="9"/>
        <v>2024</v>
      </c>
      <c r="Q303" t="str">
        <f>+VLOOKUP(O303,'COMISIONES ENERO-MARZO 2025 (2)'!$X:$Y,2,0)</f>
        <v>Septiembre</v>
      </c>
    </row>
    <row r="304" spans="3:17" x14ac:dyDescent="0.35">
      <c r="C304" t="s">
        <v>326</v>
      </c>
      <c r="D304">
        <v>53059501</v>
      </c>
      <c r="E304" t="s">
        <v>327</v>
      </c>
      <c r="F304" s="26">
        <v>5016.8</v>
      </c>
      <c r="G304" t="s">
        <v>884</v>
      </c>
      <c r="H304" s="2">
        <v>45538</v>
      </c>
      <c r="I304" t="s">
        <v>885</v>
      </c>
      <c r="J304" t="s">
        <v>885</v>
      </c>
      <c r="K304" t="s">
        <v>29</v>
      </c>
      <c r="M304" t="s">
        <v>59</v>
      </c>
      <c r="O304" s="10">
        <f t="shared" si="8"/>
        <v>9</v>
      </c>
      <c r="P304" s="10">
        <f t="shared" si="9"/>
        <v>2024</v>
      </c>
      <c r="Q304" t="str">
        <f>+VLOOKUP(O304,'COMISIONES ENERO-MARZO 2025 (2)'!$X:$Y,2,0)</f>
        <v>Septiembre</v>
      </c>
    </row>
    <row r="305" spans="3:17" x14ac:dyDescent="0.35">
      <c r="C305" t="s">
        <v>326</v>
      </c>
      <c r="D305">
        <v>53059501</v>
      </c>
      <c r="E305" t="s">
        <v>327</v>
      </c>
      <c r="F305" s="26">
        <v>30484</v>
      </c>
      <c r="G305" t="s">
        <v>886</v>
      </c>
      <c r="H305" s="2">
        <v>45535</v>
      </c>
      <c r="I305" t="s">
        <v>877</v>
      </c>
      <c r="J305" t="s">
        <v>877</v>
      </c>
      <c r="K305" t="s">
        <v>35</v>
      </c>
      <c r="M305" t="s">
        <v>59</v>
      </c>
      <c r="O305" s="10">
        <f t="shared" si="8"/>
        <v>8</v>
      </c>
      <c r="P305" s="10">
        <f t="shared" si="9"/>
        <v>2024</v>
      </c>
      <c r="Q305" t="str">
        <f>+VLOOKUP(O305,'COMISIONES ENERO-MARZO 2025 (2)'!$X:$Y,2,0)</f>
        <v>Agosto</v>
      </c>
    </row>
    <row r="306" spans="3:17" x14ac:dyDescent="0.35">
      <c r="C306" t="s">
        <v>326</v>
      </c>
      <c r="D306">
        <v>53059501</v>
      </c>
      <c r="E306" t="s">
        <v>327</v>
      </c>
      <c r="F306" s="26">
        <v>346</v>
      </c>
      <c r="G306" t="s">
        <v>887</v>
      </c>
      <c r="H306" s="2">
        <v>45535</v>
      </c>
      <c r="I306" t="s">
        <v>888</v>
      </c>
      <c r="J306" t="s">
        <v>888</v>
      </c>
      <c r="K306" t="s">
        <v>35</v>
      </c>
      <c r="M306" t="s">
        <v>59</v>
      </c>
      <c r="O306" s="10">
        <f t="shared" si="8"/>
        <v>8</v>
      </c>
      <c r="P306" s="10">
        <f t="shared" si="9"/>
        <v>2024</v>
      </c>
      <c r="Q306" t="str">
        <f>+VLOOKUP(O306,'COMISIONES ENERO-MARZO 2025 (2)'!$X:$Y,2,0)</f>
        <v>Agosto</v>
      </c>
    </row>
    <row r="307" spans="3:17" x14ac:dyDescent="0.35">
      <c r="C307" t="s">
        <v>326</v>
      </c>
      <c r="D307">
        <v>53059501</v>
      </c>
      <c r="E307" t="s">
        <v>327</v>
      </c>
      <c r="F307" s="26">
        <v>4656.8</v>
      </c>
      <c r="G307" t="s">
        <v>889</v>
      </c>
      <c r="H307" s="2">
        <v>45547</v>
      </c>
      <c r="I307" t="s">
        <v>890</v>
      </c>
      <c r="J307" t="s">
        <v>890</v>
      </c>
      <c r="K307" t="s">
        <v>29</v>
      </c>
      <c r="M307" t="s">
        <v>59</v>
      </c>
      <c r="O307" s="10">
        <f t="shared" si="8"/>
        <v>9</v>
      </c>
      <c r="P307" s="10">
        <f t="shared" si="9"/>
        <v>2024</v>
      </c>
      <c r="Q307" t="str">
        <f>+VLOOKUP(O307,'COMISIONES ENERO-MARZO 2025 (2)'!$X:$Y,2,0)</f>
        <v>Septiembre</v>
      </c>
    </row>
    <row r="308" spans="3:17" x14ac:dyDescent="0.35">
      <c r="C308" t="s">
        <v>326</v>
      </c>
      <c r="D308">
        <v>53059501</v>
      </c>
      <c r="E308" t="s">
        <v>327</v>
      </c>
      <c r="F308" s="26">
        <v>9510</v>
      </c>
      <c r="G308" t="s">
        <v>891</v>
      </c>
      <c r="H308" s="2">
        <v>45548</v>
      </c>
      <c r="I308" t="s">
        <v>892</v>
      </c>
      <c r="J308" t="s">
        <v>892</v>
      </c>
      <c r="K308" t="s">
        <v>19</v>
      </c>
      <c r="M308" t="s">
        <v>59</v>
      </c>
      <c r="O308" s="10">
        <f t="shared" si="8"/>
        <v>9</v>
      </c>
      <c r="P308" s="10">
        <f t="shared" si="9"/>
        <v>2024</v>
      </c>
      <c r="Q308" t="str">
        <f>+VLOOKUP(O308,'COMISIONES ENERO-MARZO 2025 (2)'!$X:$Y,2,0)</f>
        <v>Septiembre</v>
      </c>
    </row>
    <row r="309" spans="3:17" x14ac:dyDescent="0.35">
      <c r="C309" t="s">
        <v>326</v>
      </c>
      <c r="D309">
        <v>53059501</v>
      </c>
      <c r="E309" t="s">
        <v>327</v>
      </c>
      <c r="F309" s="26">
        <v>12673.6</v>
      </c>
      <c r="G309" t="s">
        <v>893</v>
      </c>
      <c r="H309" s="2">
        <v>45552</v>
      </c>
      <c r="I309" t="s">
        <v>828</v>
      </c>
      <c r="J309" t="s">
        <v>828</v>
      </c>
      <c r="K309" t="s">
        <v>29</v>
      </c>
      <c r="M309" t="s">
        <v>59</v>
      </c>
      <c r="O309" s="10">
        <f t="shared" si="8"/>
        <v>9</v>
      </c>
      <c r="P309" s="10">
        <f t="shared" si="9"/>
        <v>2024</v>
      </c>
      <c r="Q309" t="str">
        <f>+VLOOKUP(O309,'COMISIONES ENERO-MARZO 2025 (2)'!$X:$Y,2,0)</f>
        <v>Septiembre</v>
      </c>
    </row>
    <row r="310" spans="3:17" x14ac:dyDescent="0.35">
      <c r="C310" t="s">
        <v>326</v>
      </c>
      <c r="D310">
        <v>53059501</v>
      </c>
      <c r="E310" t="s">
        <v>327</v>
      </c>
      <c r="F310" s="26">
        <v>6216.8</v>
      </c>
      <c r="G310" t="s">
        <v>894</v>
      </c>
      <c r="H310" s="2">
        <v>45552</v>
      </c>
      <c r="I310" t="s">
        <v>151</v>
      </c>
      <c r="J310" t="s">
        <v>151</v>
      </c>
      <c r="K310" t="s">
        <v>29</v>
      </c>
      <c r="M310" t="s">
        <v>59</v>
      </c>
      <c r="O310" s="10">
        <f t="shared" si="8"/>
        <v>9</v>
      </c>
      <c r="P310" s="10">
        <f t="shared" si="9"/>
        <v>2024</v>
      </c>
      <c r="Q310" t="str">
        <f>+VLOOKUP(O310,'COMISIONES ENERO-MARZO 2025 (2)'!$X:$Y,2,0)</f>
        <v>Septiembre</v>
      </c>
    </row>
    <row r="311" spans="3:17" x14ac:dyDescent="0.35">
      <c r="C311" t="s">
        <v>326</v>
      </c>
      <c r="D311">
        <v>53059501</v>
      </c>
      <c r="E311" t="s">
        <v>327</v>
      </c>
      <c r="F311" s="26">
        <v>3456.8</v>
      </c>
      <c r="G311" t="s">
        <v>895</v>
      </c>
      <c r="H311" s="2">
        <v>45559</v>
      </c>
      <c r="I311" t="s">
        <v>896</v>
      </c>
      <c r="J311" t="s">
        <v>896</v>
      </c>
      <c r="K311" t="s">
        <v>29</v>
      </c>
      <c r="M311" t="s">
        <v>59</v>
      </c>
      <c r="O311" s="10">
        <f t="shared" si="8"/>
        <v>9</v>
      </c>
      <c r="P311" s="10">
        <f t="shared" si="9"/>
        <v>2024</v>
      </c>
      <c r="Q311" t="str">
        <f>+VLOOKUP(O311,'COMISIONES ENERO-MARZO 2025 (2)'!$X:$Y,2,0)</f>
        <v>Septiembre</v>
      </c>
    </row>
    <row r="312" spans="3:17" x14ac:dyDescent="0.35">
      <c r="C312" t="s">
        <v>326</v>
      </c>
      <c r="D312">
        <v>53059501</v>
      </c>
      <c r="E312" t="s">
        <v>327</v>
      </c>
      <c r="F312" s="26">
        <v>6856.8</v>
      </c>
      <c r="G312" t="s">
        <v>897</v>
      </c>
      <c r="H312" s="2">
        <v>45559</v>
      </c>
      <c r="I312" t="s">
        <v>898</v>
      </c>
      <c r="J312" t="s">
        <v>898</v>
      </c>
      <c r="K312" t="s">
        <v>29</v>
      </c>
      <c r="M312" t="s">
        <v>59</v>
      </c>
      <c r="O312" s="10">
        <f t="shared" si="8"/>
        <v>9</v>
      </c>
      <c r="P312" s="10">
        <f t="shared" si="9"/>
        <v>2024</v>
      </c>
      <c r="Q312" t="str">
        <f>+VLOOKUP(O312,'COMISIONES ENERO-MARZO 2025 (2)'!$X:$Y,2,0)</f>
        <v>Septiembre</v>
      </c>
    </row>
    <row r="313" spans="3:17" x14ac:dyDescent="0.35">
      <c r="C313" t="s">
        <v>326</v>
      </c>
      <c r="D313">
        <v>53059501</v>
      </c>
      <c r="E313" t="s">
        <v>327</v>
      </c>
      <c r="F313" s="26">
        <v>7576.8</v>
      </c>
      <c r="G313" t="s">
        <v>899</v>
      </c>
      <c r="H313" s="2">
        <v>45559</v>
      </c>
      <c r="I313" t="s">
        <v>151</v>
      </c>
      <c r="J313" t="s">
        <v>151</v>
      </c>
      <c r="K313" t="s">
        <v>29</v>
      </c>
      <c r="M313" t="s">
        <v>59</v>
      </c>
      <c r="O313" s="10">
        <f t="shared" si="8"/>
        <v>9</v>
      </c>
      <c r="P313" s="10">
        <f t="shared" si="9"/>
        <v>2024</v>
      </c>
      <c r="Q313" t="str">
        <f>+VLOOKUP(O313,'COMISIONES ENERO-MARZO 2025 (2)'!$X:$Y,2,0)</f>
        <v>Septiembre</v>
      </c>
    </row>
    <row r="314" spans="3:17" x14ac:dyDescent="0.35">
      <c r="C314" t="s">
        <v>326</v>
      </c>
      <c r="D314">
        <v>53059501</v>
      </c>
      <c r="E314" t="s">
        <v>327</v>
      </c>
      <c r="F314" s="26">
        <v>3816.8</v>
      </c>
      <c r="G314" t="s">
        <v>900</v>
      </c>
      <c r="H314" s="2">
        <v>45567</v>
      </c>
      <c r="I314" t="s">
        <v>151</v>
      </c>
      <c r="J314" t="s">
        <v>151</v>
      </c>
      <c r="K314" t="s">
        <v>29</v>
      </c>
      <c r="M314" t="s">
        <v>59</v>
      </c>
      <c r="O314" s="10">
        <f t="shared" si="8"/>
        <v>10</v>
      </c>
      <c r="P314" s="10">
        <f t="shared" si="9"/>
        <v>2024</v>
      </c>
      <c r="Q314" t="str">
        <f>+VLOOKUP(O314,'COMISIONES ENERO-MARZO 2025 (2)'!$X:$Y,2,0)</f>
        <v>Octubre</v>
      </c>
    </row>
    <row r="315" spans="3:17" x14ac:dyDescent="0.35">
      <c r="C315" t="s">
        <v>326</v>
      </c>
      <c r="D315">
        <v>53059501</v>
      </c>
      <c r="E315" t="s">
        <v>327</v>
      </c>
      <c r="F315" s="26">
        <v>2096.8000000000002</v>
      </c>
      <c r="G315" t="s">
        <v>901</v>
      </c>
      <c r="H315" s="2">
        <v>45567</v>
      </c>
      <c r="I315" t="s">
        <v>151</v>
      </c>
      <c r="J315" t="s">
        <v>151</v>
      </c>
      <c r="K315" t="s">
        <v>29</v>
      </c>
      <c r="M315" t="s">
        <v>59</v>
      </c>
      <c r="O315" s="10">
        <f t="shared" si="8"/>
        <v>10</v>
      </c>
      <c r="P315" s="10">
        <f t="shared" si="9"/>
        <v>2024</v>
      </c>
      <c r="Q315" t="str">
        <f>+VLOOKUP(O315,'COMISIONES ENERO-MARZO 2025 (2)'!$X:$Y,2,0)</f>
        <v>Octubre</v>
      </c>
    </row>
    <row r="316" spans="3:17" x14ac:dyDescent="0.35">
      <c r="C316" t="s">
        <v>326</v>
      </c>
      <c r="D316">
        <v>53059501</v>
      </c>
      <c r="E316" t="s">
        <v>327</v>
      </c>
      <c r="F316" s="26">
        <v>7696.8</v>
      </c>
      <c r="G316" t="s">
        <v>902</v>
      </c>
      <c r="H316" s="2">
        <v>45567</v>
      </c>
      <c r="I316" t="s">
        <v>903</v>
      </c>
      <c r="J316" t="s">
        <v>903</v>
      </c>
      <c r="K316" t="s">
        <v>29</v>
      </c>
      <c r="M316" t="s">
        <v>59</v>
      </c>
      <c r="O316" s="10">
        <f t="shared" si="8"/>
        <v>10</v>
      </c>
      <c r="P316" s="10">
        <f t="shared" si="9"/>
        <v>2024</v>
      </c>
      <c r="Q316" t="str">
        <f>+VLOOKUP(O316,'COMISIONES ENERO-MARZO 2025 (2)'!$X:$Y,2,0)</f>
        <v>Octubre</v>
      </c>
    </row>
    <row r="317" spans="3:17" x14ac:dyDescent="0.35">
      <c r="C317" t="s">
        <v>326</v>
      </c>
      <c r="D317">
        <v>53059501</v>
      </c>
      <c r="E317" t="s">
        <v>327</v>
      </c>
      <c r="F317" s="26">
        <v>2014.12</v>
      </c>
      <c r="G317" t="s">
        <v>904</v>
      </c>
      <c r="H317" s="2">
        <v>45567</v>
      </c>
      <c r="I317" t="s">
        <v>151</v>
      </c>
      <c r="J317" t="s">
        <v>151</v>
      </c>
      <c r="K317" t="s">
        <v>29</v>
      </c>
      <c r="M317" t="s">
        <v>59</v>
      </c>
      <c r="O317" s="10">
        <f t="shared" si="8"/>
        <v>10</v>
      </c>
      <c r="P317" s="10">
        <f t="shared" si="9"/>
        <v>2024</v>
      </c>
      <c r="Q317" t="str">
        <f>+VLOOKUP(O317,'COMISIONES ENERO-MARZO 2025 (2)'!$X:$Y,2,0)</f>
        <v>Octubre</v>
      </c>
    </row>
    <row r="318" spans="3:17" x14ac:dyDescent="0.35">
      <c r="C318" t="s">
        <v>326</v>
      </c>
      <c r="D318">
        <v>53059501</v>
      </c>
      <c r="E318" t="s">
        <v>327</v>
      </c>
      <c r="F318" s="26">
        <v>3576.8</v>
      </c>
      <c r="G318" t="s">
        <v>905</v>
      </c>
      <c r="H318" s="2">
        <v>45575</v>
      </c>
      <c r="I318" t="s">
        <v>151</v>
      </c>
      <c r="J318" t="s">
        <v>151</v>
      </c>
      <c r="K318" t="s">
        <v>29</v>
      </c>
      <c r="M318" t="s">
        <v>59</v>
      </c>
      <c r="O318" s="10">
        <f t="shared" si="8"/>
        <v>10</v>
      </c>
      <c r="P318" s="10">
        <f t="shared" si="9"/>
        <v>2024</v>
      </c>
      <c r="Q318" t="str">
        <f>+VLOOKUP(O318,'COMISIONES ENERO-MARZO 2025 (2)'!$X:$Y,2,0)</f>
        <v>Octubre</v>
      </c>
    </row>
    <row r="319" spans="3:17" x14ac:dyDescent="0.35">
      <c r="C319" t="s">
        <v>326</v>
      </c>
      <c r="D319">
        <v>53059501</v>
      </c>
      <c r="E319" t="s">
        <v>327</v>
      </c>
      <c r="F319" s="26">
        <v>12193</v>
      </c>
      <c r="G319" t="s">
        <v>906</v>
      </c>
      <c r="H319" s="2">
        <v>45582</v>
      </c>
      <c r="I319" t="s">
        <v>151</v>
      </c>
      <c r="J319" t="s">
        <v>151</v>
      </c>
      <c r="K319" t="s">
        <v>29</v>
      </c>
      <c r="M319" t="s">
        <v>59</v>
      </c>
      <c r="O319" s="10">
        <f t="shared" si="8"/>
        <v>10</v>
      </c>
      <c r="P319" s="10">
        <f t="shared" si="9"/>
        <v>2024</v>
      </c>
      <c r="Q319" t="str">
        <f>+VLOOKUP(O319,'COMISIONES ENERO-MARZO 2025 (2)'!$X:$Y,2,0)</f>
        <v>Octubre</v>
      </c>
    </row>
    <row r="320" spans="3:17" x14ac:dyDescent="0.35">
      <c r="C320" t="s">
        <v>326</v>
      </c>
      <c r="D320">
        <v>53059501</v>
      </c>
      <c r="E320" t="s">
        <v>327</v>
      </c>
      <c r="F320" s="26">
        <v>2483</v>
      </c>
      <c r="G320" t="s">
        <v>907</v>
      </c>
      <c r="H320" s="2">
        <v>45586</v>
      </c>
      <c r="I320" t="s">
        <v>763</v>
      </c>
      <c r="J320" t="s">
        <v>763</v>
      </c>
      <c r="K320" t="s">
        <v>35</v>
      </c>
      <c r="M320" t="s">
        <v>59</v>
      </c>
      <c r="O320" s="10">
        <f t="shared" si="8"/>
        <v>10</v>
      </c>
      <c r="P320" s="10">
        <f t="shared" si="9"/>
        <v>2024</v>
      </c>
      <c r="Q320" t="str">
        <f>+VLOOKUP(O320,'COMISIONES ENERO-MARZO 2025 (2)'!$X:$Y,2,0)</f>
        <v>Octubre</v>
      </c>
    </row>
    <row r="321" spans="3:17" x14ac:dyDescent="0.35">
      <c r="C321" t="s">
        <v>326</v>
      </c>
      <c r="D321">
        <v>53059501</v>
      </c>
      <c r="E321" t="s">
        <v>327</v>
      </c>
      <c r="F321" s="26">
        <v>452</v>
      </c>
      <c r="G321" t="s">
        <v>908</v>
      </c>
      <c r="H321" s="2">
        <v>45586</v>
      </c>
      <c r="I321" t="s">
        <v>791</v>
      </c>
      <c r="J321" t="s">
        <v>791</v>
      </c>
      <c r="K321" t="s">
        <v>909</v>
      </c>
      <c r="M321" t="s">
        <v>59</v>
      </c>
      <c r="O321" s="10">
        <f t="shared" si="8"/>
        <v>10</v>
      </c>
      <c r="P321" s="10">
        <f t="shared" si="9"/>
        <v>2024</v>
      </c>
      <c r="Q321" t="str">
        <f>+VLOOKUP(O321,'COMISIONES ENERO-MARZO 2025 (2)'!$X:$Y,2,0)</f>
        <v>Octubre</v>
      </c>
    </row>
    <row r="322" spans="3:17" x14ac:dyDescent="0.35">
      <c r="C322" t="s">
        <v>326</v>
      </c>
      <c r="D322">
        <v>53059501</v>
      </c>
      <c r="E322" t="s">
        <v>327</v>
      </c>
      <c r="F322" s="26">
        <v>6696.8</v>
      </c>
      <c r="G322" t="s">
        <v>910</v>
      </c>
      <c r="H322" s="2">
        <v>45587</v>
      </c>
      <c r="I322" t="s">
        <v>911</v>
      </c>
      <c r="J322" t="s">
        <v>911</v>
      </c>
      <c r="K322" t="s">
        <v>29</v>
      </c>
      <c r="M322" t="s">
        <v>59</v>
      </c>
      <c r="O322" s="10">
        <f t="shared" si="8"/>
        <v>10</v>
      </c>
      <c r="P322" s="10">
        <f t="shared" si="9"/>
        <v>2024</v>
      </c>
      <c r="Q322" t="str">
        <f>+VLOOKUP(O322,'COMISIONES ENERO-MARZO 2025 (2)'!$X:$Y,2,0)</f>
        <v>Octubre</v>
      </c>
    </row>
    <row r="323" spans="3:17" x14ac:dyDescent="0.35">
      <c r="C323" t="s">
        <v>326</v>
      </c>
      <c r="D323">
        <v>53059501</v>
      </c>
      <c r="E323" t="s">
        <v>327</v>
      </c>
      <c r="F323" s="26">
        <v>3896.8</v>
      </c>
      <c r="G323" t="s">
        <v>912</v>
      </c>
      <c r="H323" s="2">
        <v>45596</v>
      </c>
      <c r="I323" t="s">
        <v>151</v>
      </c>
      <c r="J323" t="s">
        <v>151</v>
      </c>
      <c r="K323" t="s">
        <v>29</v>
      </c>
      <c r="M323" t="s">
        <v>59</v>
      </c>
      <c r="O323" s="10">
        <f t="shared" ref="O323:O384" si="10">+MONTH(H323)</f>
        <v>10</v>
      </c>
      <c r="P323" s="10">
        <f t="shared" ref="P323:P384" si="11">+YEAR(H323)</f>
        <v>2024</v>
      </c>
      <c r="Q323" t="str">
        <f>+VLOOKUP(O323,'COMISIONES ENERO-MARZO 2025 (2)'!$X:$Y,2,0)</f>
        <v>Octubre</v>
      </c>
    </row>
    <row r="324" spans="3:17" x14ac:dyDescent="0.35">
      <c r="C324" t="s">
        <v>326</v>
      </c>
      <c r="D324">
        <v>53059501</v>
      </c>
      <c r="E324" t="s">
        <v>327</v>
      </c>
      <c r="F324" s="26">
        <v>7136.8</v>
      </c>
      <c r="G324" t="s">
        <v>913</v>
      </c>
      <c r="H324" s="2">
        <v>45596</v>
      </c>
      <c r="I324" t="s">
        <v>828</v>
      </c>
      <c r="J324" t="s">
        <v>828</v>
      </c>
      <c r="K324" t="s">
        <v>29</v>
      </c>
      <c r="M324" t="s">
        <v>59</v>
      </c>
      <c r="O324" s="10">
        <f t="shared" si="10"/>
        <v>10</v>
      </c>
      <c r="P324" s="10">
        <f t="shared" si="11"/>
        <v>2024</v>
      </c>
      <c r="Q324" t="str">
        <f>+VLOOKUP(O324,'COMISIONES ENERO-MARZO 2025 (2)'!$X:$Y,2,0)</f>
        <v>Octubre</v>
      </c>
    </row>
    <row r="325" spans="3:17" x14ac:dyDescent="0.35">
      <c r="C325" t="s">
        <v>326</v>
      </c>
      <c r="D325">
        <v>53059501</v>
      </c>
      <c r="E325" t="s">
        <v>327</v>
      </c>
      <c r="F325" s="26">
        <v>4208738.83</v>
      </c>
      <c r="G325" t="s">
        <v>914</v>
      </c>
      <c r="H325" s="2">
        <v>45596</v>
      </c>
      <c r="I325" t="s">
        <v>915</v>
      </c>
      <c r="J325" t="s">
        <v>915</v>
      </c>
      <c r="K325" t="s">
        <v>25</v>
      </c>
      <c r="M325" t="s">
        <v>59</v>
      </c>
      <c r="O325" s="10">
        <f t="shared" si="10"/>
        <v>10</v>
      </c>
      <c r="P325" s="10">
        <f t="shared" si="11"/>
        <v>2024</v>
      </c>
      <c r="Q325" t="str">
        <f>+VLOOKUP(O325,'COMISIONES ENERO-MARZO 2025 (2)'!$X:$Y,2,0)</f>
        <v>Octubre</v>
      </c>
    </row>
    <row r="326" spans="3:17" x14ac:dyDescent="0.35">
      <c r="C326" t="s">
        <v>326</v>
      </c>
      <c r="D326">
        <v>53059501</v>
      </c>
      <c r="E326" t="s">
        <v>327</v>
      </c>
      <c r="F326" s="26">
        <v>6136.8</v>
      </c>
      <c r="G326" t="s">
        <v>916</v>
      </c>
      <c r="H326" s="2">
        <v>45609</v>
      </c>
      <c r="I326" t="s">
        <v>151</v>
      </c>
      <c r="J326" t="s">
        <v>151</v>
      </c>
      <c r="K326" t="s">
        <v>29</v>
      </c>
      <c r="M326" t="s">
        <v>59</v>
      </c>
      <c r="O326" s="10">
        <f t="shared" si="10"/>
        <v>11</v>
      </c>
      <c r="P326" s="10">
        <f t="shared" si="11"/>
        <v>2024</v>
      </c>
      <c r="Q326" t="str">
        <f>+VLOOKUP(O326,'COMISIONES ENERO-MARZO 2025 (2)'!$X:$Y,2,0)</f>
        <v>Noviembre</v>
      </c>
    </row>
    <row r="327" spans="3:17" x14ac:dyDescent="0.35">
      <c r="C327" t="s">
        <v>326</v>
      </c>
      <c r="D327">
        <v>53059501</v>
      </c>
      <c r="E327" t="s">
        <v>327</v>
      </c>
      <c r="F327" s="26">
        <v>75155</v>
      </c>
      <c r="G327" t="s">
        <v>917</v>
      </c>
      <c r="H327" s="2">
        <v>45621</v>
      </c>
      <c r="I327" t="s">
        <v>918</v>
      </c>
      <c r="J327" t="s">
        <v>919</v>
      </c>
      <c r="K327" t="s">
        <v>920</v>
      </c>
      <c r="M327" t="s">
        <v>59</v>
      </c>
      <c r="O327" s="10">
        <f t="shared" si="10"/>
        <v>11</v>
      </c>
      <c r="P327" s="10">
        <f t="shared" si="11"/>
        <v>2024</v>
      </c>
      <c r="Q327" t="str">
        <f>+VLOOKUP(O327,'COMISIONES ENERO-MARZO 2025 (2)'!$X:$Y,2,0)</f>
        <v>Noviembre</v>
      </c>
    </row>
    <row r="328" spans="3:17" x14ac:dyDescent="0.35">
      <c r="C328" t="s">
        <v>326</v>
      </c>
      <c r="D328">
        <v>53059501</v>
      </c>
      <c r="E328" t="s">
        <v>327</v>
      </c>
      <c r="F328" s="26">
        <v>10976.8</v>
      </c>
      <c r="G328" t="s">
        <v>921</v>
      </c>
      <c r="H328" s="2">
        <v>45626</v>
      </c>
      <c r="I328" t="s">
        <v>153</v>
      </c>
      <c r="J328" t="s">
        <v>153</v>
      </c>
      <c r="K328" t="s">
        <v>29</v>
      </c>
      <c r="M328" t="s">
        <v>59</v>
      </c>
      <c r="O328" s="10">
        <f t="shared" si="10"/>
        <v>11</v>
      </c>
      <c r="P328" s="10">
        <f t="shared" si="11"/>
        <v>2024</v>
      </c>
      <c r="Q328" t="str">
        <f>+VLOOKUP(O328,'COMISIONES ENERO-MARZO 2025 (2)'!$X:$Y,2,0)</f>
        <v>Noviembre</v>
      </c>
    </row>
    <row r="329" spans="3:17" x14ac:dyDescent="0.35">
      <c r="C329" t="s">
        <v>326</v>
      </c>
      <c r="D329">
        <v>53059501</v>
      </c>
      <c r="E329" t="s">
        <v>327</v>
      </c>
      <c r="F329" s="26">
        <v>4936.8</v>
      </c>
      <c r="G329" t="s">
        <v>922</v>
      </c>
      <c r="H329" s="2">
        <v>45626</v>
      </c>
      <c r="I329" t="s">
        <v>151</v>
      </c>
      <c r="J329" t="s">
        <v>151</v>
      </c>
      <c r="K329" t="s">
        <v>29</v>
      </c>
      <c r="M329" t="s">
        <v>59</v>
      </c>
      <c r="O329" s="10">
        <f t="shared" si="10"/>
        <v>11</v>
      </c>
      <c r="P329" s="10">
        <f t="shared" si="11"/>
        <v>2024</v>
      </c>
      <c r="Q329" t="str">
        <f>+VLOOKUP(O329,'COMISIONES ENERO-MARZO 2025 (2)'!$X:$Y,2,0)</f>
        <v>Noviembre</v>
      </c>
    </row>
    <row r="330" spans="3:17" x14ac:dyDescent="0.35">
      <c r="C330" t="s">
        <v>326</v>
      </c>
      <c r="D330">
        <v>53059501</v>
      </c>
      <c r="E330" t="s">
        <v>327</v>
      </c>
      <c r="F330" s="26">
        <v>4816.8</v>
      </c>
      <c r="G330" t="s">
        <v>923</v>
      </c>
      <c r="H330" s="2">
        <v>45626</v>
      </c>
      <c r="I330" t="s">
        <v>924</v>
      </c>
      <c r="J330" t="s">
        <v>924</v>
      </c>
      <c r="K330" t="s">
        <v>29</v>
      </c>
      <c r="M330" t="s">
        <v>59</v>
      </c>
      <c r="O330" s="10">
        <f t="shared" si="10"/>
        <v>11</v>
      </c>
      <c r="P330" s="10">
        <f t="shared" si="11"/>
        <v>2024</v>
      </c>
      <c r="Q330" t="str">
        <f>+VLOOKUP(O330,'COMISIONES ENERO-MARZO 2025 (2)'!$X:$Y,2,0)</f>
        <v>Noviembre</v>
      </c>
    </row>
    <row r="331" spans="3:17" x14ac:dyDescent="0.35">
      <c r="C331" t="s">
        <v>326</v>
      </c>
      <c r="D331">
        <v>53059501</v>
      </c>
      <c r="E331" t="s">
        <v>327</v>
      </c>
      <c r="F331" s="26">
        <v>4176.8</v>
      </c>
      <c r="G331" t="s">
        <v>925</v>
      </c>
      <c r="H331" s="2">
        <v>45626</v>
      </c>
      <c r="I331" t="s">
        <v>151</v>
      </c>
      <c r="J331" t="s">
        <v>151</v>
      </c>
      <c r="K331" t="s">
        <v>29</v>
      </c>
      <c r="M331" t="s">
        <v>59</v>
      </c>
      <c r="O331" s="10">
        <f t="shared" si="10"/>
        <v>11</v>
      </c>
      <c r="P331" s="10">
        <f t="shared" si="11"/>
        <v>2024</v>
      </c>
      <c r="Q331" t="str">
        <f>+VLOOKUP(O331,'COMISIONES ENERO-MARZO 2025 (2)'!$X:$Y,2,0)</f>
        <v>Noviembre</v>
      </c>
    </row>
    <row r="332" spans="3:17" x14ac:dyDescent="0.35">
      <c r="C332" t="s">
        <v>326</v>
      </c>
      <c r="D332">
        <v>53059501</v>
      </c>
      <c r="E332" t="s">
        <v>327</v>
      </c>
      <c r="F332" s="26">
        <v>7576.8</v>
      </c>
      <c r="G332" t="s">
        <v>926</v>
      </c>
      <c r="H332" s="2">
        <v>45626</v>
      </c>
      <c r="I332" t="s">
        <v>151</v>
      </c>
      <c r="J332" t="s">
        <v>151</v>
      </c>
      <c r="K332" t="s">
        <v>29</v>
      </c>
      <c r="M332" t="s">
        <v>59</v>
      </c>
      <c r="O332" s="10">
        <f t="shared" si="10"/>
        <v>11</v>
      </c>
      <c r="P332" s="10">
        <f t="shared" si="11"/>
        <v>2024</v>
      </c>
      <c r="Q332" t="str">
        <f>+VLOOKUP(O332,'COMISIONES ENERO-MARZO 2025 (2)'!$X:$Y,2,0)</f>
        <v>Noviembre</v>
      </c>
    </row>
    <row r="333" spans="3:17" x14ac:dyDescent="0.35">
      <c r="C333" t="s">
        <v>326</v>
      </c>
      <c r="D333">
        <v>53059501</v>
      </c>
      <c r="E333" t="s">
        <v>327</v>
      </c>
      <c r="F333" s="26">
        <v>5736.8</v>
      </c>
      <c r="G333" t="s">
        <v>927</v>
      </c>
      <c r="H333" s="2">
        <v>45630</v>
      </c>
      <c r="I333" t="s">
        <v>151</v>
      </c>
      <c r="J333" t="s">
        <v>151</v>
      </c>
      <c r="K333" t="s">
        <v>29</v>
      </c>
      <c r="M333" t="s">
        <v>59</v>
      </c>
      <c r="O333" s="10">
        <f t="shared" si="10"/>
        <v>12</v>
      </c>
      <c r="P333" s="10">
        <f t="shared" si="11"/>
        <v>2024</v>
      </c>
      <c r="Q333" t="str">
        <f>+VLOOKUP(O333,'COMISIONES ENERO-MARZO 2025 (2)'!$X:$Y,2,0)</f>
        <v>Diciembre</v>
      </c>
    </row>
    <row r="334" spans="3:17" x14ac:dyDescent="0.35">
      <c r="C334" t="s">
        <v>326</v>
      </c>
      <c r="D334">
        <v>53059501</v>
      </c>
      <c r="E334" t="s">
        <v>327</v>
      </c>
      <c r="F334" s="26">
        <v>5656.8</v>
      </c>
      <c r="G334" t="s">
        <v>928</v>
      </c>
      <c r="H334" s="2">
        <v>45630</v>
      </c>
      <c r="I334" t="s">
        <v>151</v>
      </c>
      <c r="J334" t="s">
        <v>151</v>
      </c>
      <c r="K334" t="s">
        <v>29</v>
      </c>
      <c r="M334" t="s">
        <v>59</v>
      </c>
      <c r="O334" s="10">
        <f t="shared" si="10"/>
        <v>12</v>
      </c>
      <c r="P334" s="10">
        <f t="shared" si="11"/>
        <v>2024</v>
      </c>
      <c r="Q334" t="str">
        <f>+VLOOKUP(O334,'COMISIONES ENERO-MARZO 2025 (2)'!$X:$Y,2,0)</f>
        <v>Diciembre</v>
      </c>
    </row>
    <row r="335" spans="3:17" x14ac:dyDescent="0.35">
      <c r="C335" t="s">
        <v>326</v>
      </c>
      <c r="D335">
        <v>53059501</v>
      </c>
      <c r="E335" t="s">
        <v>327</v>
      </c>
      <c r="F335" s="26">
        <v>21928</v>
      </c>
      <c r="G335" t="s">
        <v>929</v>
      </c>
      <c r="H335" s="2">
        <v>45626</v>
      </c>
      <c r="I335" t="s">
        <v>930</v>
      </c>
      <c r="J335" t="s">
        <v>930</v>
      </c>
      <c r="K335" t="s">
        <v>35</v>
      </c>
      <c r="M335" t="s">
        <v>59</v>
      </c>
      <c r="O335" s="10">
        <f t="shared" si="10"/>
        <v>11</v>
      </c>
      <c r="P335" s="10">
        <f t="shared" si="11"/>
        <v>2024</v>
      </c>
      <c r="Q335" t="str">
        <f>+VLOOKUP(O335,'COMISIONES ENERO-MARZO 2025 (2)'!$X:$Y,2,0)</f>
        <v>Noviembre</v>
      </c>
    </row>
    <row r="336" spans="3:17" x14ac:dyDescent="0.35">
      <c r="C336" t="s">
        <v>326</v>
      </c>
      <c r="D336">
        <v>53059501</v>
      </c>
      <c r="E336" t="s">
        <v>327</v>
      </c>
      <c r="F336" s="26">
        <v>5256.8</v>
      </c>
      <c r="G336" t="s">
        <v>931</v>
      </c>
      <c r="H336" s="2">
        <v>45637</v>
      </c>
      <c r="I336" t="s">
        <v>151</v>
      </c>
      <c r="J336" t="s">
        <v>151</v>
      </c>
      <c r="K336" t="s">
        <v>29</v>
      </c>
      <c r="M336" t="s">
        <v>59</v>
      </c>
      <c r="O336" s="10">
        <f t="shared" si="10"/>
        <v>12</v>
      </c>
      <c r="P336" s="10">
        <f t="shared" si="11"/>
        <v>2024</v>
      </c>
      <c r="Q336" t="str">
        <f>+VLOOKUP(O336,'COMISIONES ENERO-MARZO 2025 (2)'!$X:$Y,2,0)</f>
        <v>Diciembre</v>
      </c>
    </row>
    <row r="337" spans="3:17" x14ac:dyDescent="0.35">
      <c r="C337" t="s">
        <v>326</v>
      </c>
      <c r="D337">
        <v>53059501</v>
      </c>
      <c r="E337" t="s">
        <v>327</v>
      </c>
      <c r="F337" s="26">
        <v>10393.6</v>
      </c>
      <c r="G337" t="s">
        <v>932</v>
      </c>
      <c r="H337" s="2">
        <v>45652</v>
      </c>
      <c r="I337" t="s">
        <v>933</v>
      </c>
      <c r="J337" t="s">
        <v>933</v>
      </c>
      <c r="K337" t="s">
        <v>29</v>
      </c>
      <c r="M337" t="s">
        <v>59</v>
      </c>
      <c r="O337" s="10">
        <f t="shared" si="10"/>
        <v>12</v>
      </c>
      <c r="P337" s="10">
        <f t="shared" si="11"/>
        <v>2024</v>
      </c>
      <c r="Q337" t="str">
        <f>+VLOOKUP(O337,'COMISIONES ENERO-MARZO 2025 (2)'!$X:$Y,2,0)</f>
        <v>Diciembre</v>
      </c>
    </row>
    <row r="338" spans="3:17" x14ac:dyDescent="0.35">
      <c r="C338" t="s">
        <v>326</v>
      </c>
      <c r="D338">
        <v>53059501</v>
      </c>
      <c r="E338" t="s">
        <v>327</v>
      </c>
      <c r="F338" s="26">
        <v>4416.8</v>
      </c>
      <c r="G338" t="s">
        <v>934</v>
      </c>
      <c r="H338" s="2">
        <v>45652</v>
      </c>
      <c r="I338" t="s">
        <v>208</v>
      </c>
      <c r="J338" t="s">
        <v>208</v>
      </c>
      <c r="K338" t="s">
        <v>29</v>
      </c>
      <c r="M338" t="s">
        <v>59</v>
      </c>
      <c r="O338" s="10">
        <f t="shared" si="10"/>
        <v>12</v>
      </c>
      <c r="P338" s="10">
        <f t="shared" si="11"/>
        <v>2024</v>
      </c>
      <c r="Q338" t="str">
        <f>+VLOOKUP(O338,'COMISIONES ENERO-MARZO 2025 (2)'!$X:$Y,2,0)</f>
        <v>Diciembre</v>
      </c>
    </row>
    <row r="339" spans="3:17" x14ac:dyDescent="0.35">
      <c r="C339" t="s">
        <v>326</v>
      </c>
      <c r="D339">
        <v>53059501</v>
      </c>
      <c r="E339" t="s">
        <v>327</v>
      </c>
      <c r="F339" s="26">
        <v>22740</v>
      </c>
      <c r="G339" t="s">
        <v>935</v>
      </c>
      <c r="H339" s="2">
        <v>45656</v>
      </c>
      <c r="I339" t="s">
        <v>936</v>
      </c>
      <c r="J339" t="s">
        <v>936</v>
      </c>
      <c r="K339" t="s">
        <v>19</v>
      </c>
      <c r="M339" t="s">
        <v>59</v>
      </c>
      <c r="O339" s="10">
        <f t="shared" si="10"/>
        <v>12</v>
      </c>
      <c r="P339" s="10">
        <f t="shared" si="11"/>
        <v>2024</v>
      </c>
      <c r="Q339" t="str">
        <f>+VLOOKUP(O339,'COMISIONES ENERO-MARZO 2025 (2)'!$X:$Y,2,0)</f>
        <v>Diciembre</v>
      </c>
    </row>
    <row r="340" spans="3:17" x14ac:dyDescent="0.35">
      <c r="C340" t="s">
        <v>326</v>
      </c>
      <c r="D340">
        <v>53059501</v>
      </c>
      <c r="E340" t="s">
        <v>327</v>
      </c>
      <c r="F340" s="26">
        <v>4296.8</v>
      </c>
      <c r="G340" t="s">
        <v>937</v>
      </c>
      <c r="H340" s="2">
        <v>45656</v>
      </c>
      <c r="I340" t="s">
        <v>151</v>
      </c>
      <c r="J340" t="s">
        <v>151</v>
      </c>
      <c r="K340" t="s">
        <v>29</v>
      </c>
      <c r="M340" t="s">
        <v>59</v>
      </c>
      <c r="O340" s="10">
        <f t="shared" si="10"/>
        <v>12</v>
      </c>
      <c r="P340" s="10">
        <f t="shared" si="11"/>
        <v>2024</v>
      </c>
      <c r="Q340" t="str">
        <f>+VLOOKUP(O340,'COMISIONES ENERO-MARZO 2025 (2)'!$X:$Y,2,0)</f>
        <v>Diciembre</v>
      </c>
    </row>
    <row r="341" spans="3:17" x14ac:dyDescent="0.35">
      <c r="C341" t="s">
        <v>326</v>
      </c>
      <c r="D341">
        <v>53059501</v>
      </c>
      <c r="E341" t="s">
        <v>327</v>
      </c>
      <c r="F341" s="26">
        <v>4536.8</v>
      </c>
      <c r="G341" t="s">
        <v>938</v>
      </c>
      <c r="H341" s="2">
        <v>45656</v>
      </c>
      <c r="I341" t="s">
        <v>151</v>
      </c>
      <c r="J341" t="s">
        <v>151</v>
      </c>
      <c r="K341" t="s">
        <v>29</v>
      </c>
      <c r="M341" t="s">
        <v>59</v>
      </c>
      <c r="O341" s="10">
        <f t="shared" si="10"/>
        <v>12</v>
      </c>
      <c r="P341" s="10">
        <f t="shared" si="11"/>
        <v>2024</v>
      </c>
      <c r="Q341" t="str">
        <f>+VLOOKUP(O341,'COMISIONES ENERO-MARZO 2025 (2)'!$X:$Y,2,0)</f>
        <v>Diciembre</v>
      </c>
    </row>
    <row r="342" spans="3:17" x14ac:dyDescent="0.35">
      <c r="C342" t="s">
        <v>326</v>
      </c>
      <c r="D342">
        <v>53059501</v>
      </c>
      <c r="E342" t="s">
        <v>327</v>
      </c>
      <c r="F342" s="26">
        <v>7576.8</v>
      </c>
      <c r="G342" t="s">
        <v>188</v>
      </c>
      <c r="H342" s="2">
        <v>45665</v>
      </c>
      <c r="I342" t="s">
        <v>153</v>
      </c>
      <c r="J342" t="s">
        <v>153</v>
      </c>
      <c r="K342" t="s">
        <v>29</v>
      </c>
      <c r="M342" t="s">
        <v>59</v>
      </c>
      <c r="O342" s="10">
        <f t="shared" si="10"/>
        <v>1</v>
      </c>
      <c r="P342" s="10">
        <f t="shared" si="11"/>
        <v>2025</v>
      </c>
      <c r="Q342" t="str">
        <f>+VLOOKUP(O342,'COMISIONES ENERO-MARZO 2025 (2)'!$X:$Y,2,0)</f>
        <v>Enero</v>
      </c>
    </row>
    <row r="343" spans="3:17" x14ac:dyDescent="0.35">
      <c r="C343" t="s">
        <v>326</v>
      </c>
      <c r="D343">
        <v>53059501</v>
      </c>
      <c r="E343" t="s">
        <v>327</v>
      </c>
      <c r="F343" s="26">
        <v>12673.6</v>
      </c>
      <c r="G343" t="s">
        <v>189</v>
      </c>
      <c r="H343" s="2">
        <v>45665</v>
      </c>
      <c r="I343" t="s">
        <v>153</v>
      </c>
      <c r="J343" t="s">
        <v>153</v>
      </c>
      <c r="K343" t="s">
        <v>29</v>
      </c>
      <c r="M343" t="s">
        <v>59</v>
      </c>
      <c r="O343" s="10">
        <f t="shared" si="10"/>
        <v>1</v>
      </c>
      <c r="P343" s="10">
        <f t="shared" si="11"/>
        <v>2025</v>
      </c>
      <c r="Q343" t="str">
        <f>+VLOOKUP(O343,'COMISIONES ENERO-MARZO 2025 (2)'!$X:$Y,2,0)</f>
        <v>Enero</v>
      </c>
    </row>
    <row r="344" spans="3:17" x14ac:dyDescent="0.35">
      <c r="C344" t="s">
        <v>326</v>
      </c>
      <c r="D344">
        <v>53059501</v>
      </c>
      <c r="E344" t="s">
        <v>327</v>
      </c>
      <c r="F344" s="26">
        <v>30537</v>
      </c>
      <c r="G344" t="s">
        <v>939</v>
      </c>
      <c r="H344" s="2">
        <v>45657</v>
      </c>
      <c r="I344" t="s">
        <v>940</v>
      </c>
      <c r="J344" t="s">
        <v>940</v>
      </c>
      <c r="K344" t="s">
        <v>35</v>
      </c>
      <c r="M344" t="s">
        <v>59</v>
      </c>
      <c r="O344" s="10">
        <f t="shared" si="10"/>
        <v>12</v>
      </c>
      <c r="P344" s="10">
        <f t="shared" si="11"/>
        <v>2024</v>
      </c>
      <c r="Q344" t="str">
        <f>+VLOOKUP(O344,'COMISIONES ENERO-MARZO 2025 (2)'!$X:$Y,2,0)</f>
        <v>Diciembre</v>
      </c>
    </row>
    <row r="345" spans="3:17" x14ac:dyDescent="0.35">
      <c r="C345" t="s">
        <v>326</v>
      </c>
      <c r="D345">
        <v>53059501</v>
      </c>
      <c r="E345" t="s">
        <v>327</v>
      </c>
      <c r="F345" s="26">
        <v>4656.8</v>
      </c>
      <c r="G345" t="s">
        <v>190</v>
      </c>
      <c r="H345" s="2">
        <v>45671</v>
      </c>
      <c r="I345" t="s">
        <v>151</v>
      </c>
      <c r="J345" t="s">
        <v>151</v>
      </c>
      <c r="K345" t="s">
        <v>29</v>
      </c>
      <c r="M345" t="s">
        <v>59</v>
      </c>
      <c r="O345" s="10">
        <f t="shared" si="10"/>
        <v>1</v>
      </c>
      <c r="P345" s="10">
        <f t="shared" si="11"/>
        <v>2025</v>
      </c>
      <c r="Q345" t="str">
        <f>+VLOOKUP(O345,'COMISIONES ENERO-MARZO 2025 (2)'!$X:$Y,2,0)</f>
        <v>Enero</v>
      </c>
    </row>
    <row r="346" spans="3:17" x14ac:dyDescent="0.35">
      <c r="C346" t="s">
        <v>326</v>
      </c>
      <c r="D346">
        <v>53059501</v>
      </c>
      <c r="E346" t="s">
        <v>327</v>
      </c>
      <c r="F346" s="26">
        <v>6296.8</v>
      </c>
      <c r="G346" t="s">
        <v>191</v>
      </c>
      <c r="H346" s="2">
        <v>45678</v>
      </c>
      <c r="I346" t="s">
        <v>192</v>
      </c>
      <c r="J346" t="s">
        <v>192</v>
      </c>
      <c r="K346" t="s">
        <v>29</v>
      </c>
      <c r="M346" t="s">
        <v>59</v>
      </c>
      <c r="O346" s="10">
        <f t="shared" si="10"/>
        <v>1</v>
      </c>
      <c r="P346" s="10">
        <f t="shared" si="11"/>
        <v>2025</v>
      </c>
      <c r="Q346" t="str">
        <f>+VLOOKUP(O346,'COMISIONES ENERO-MARZO 2025 (2)'!$X:$Y,2,0)</f>
        <v>Enero</v>
      </c>
    </row>
    <row r="347" spans="3:17" x14ac:dyDescent="0.35">
      <c r="C347" t="s">
        <v>326</v>
      </c>
      <c r="D347">
        <v>53059501</v>
      </c>
      <c r="E347" t="s">
        <v>327</v>
      </c>
      <c r="F347" s="26">
        <v>4014.12</v>
      </c>
      <c r="G347" t="s">
        <v>193</v>
      </c>
      <c r="H347" s="2">
        <v>45679</v>
      </c>
      <c r="I347" t="s">
        <v>194</v>
      </c>
      <c r="J347" t="s">
        <v>194</v>
      </c>
      <c r="K347" t="s">
        <v>29</v>
      </c>
      <c r="M347" t="s">
        <v>59</v>
      </c>
      <c r="O347" s="10">
        <f t="shared" si="10"/>
        <v>1</v>
      </c>
      <c r="P347" s="10">
        <f t="shared" si="11"/>
        <v>2025</v>
      </c>
      <c r="Q347" t="str">
        <f>+VLOOKUP(O347,'COMISIONES ENERO-MARZO 2025 (2)'!$X:$Y,2,0)</f>
        <v>Enero</v>
      </c>
    </row>
    <row r="348" spans="3:17" x14ac:dyDescent="0.35">
      <c r="C348" t="s">
        <v>326</v>
      </c>
      <c r="D348">
        <v>53059501</v>
      </c>
      <c r="E348" t="s">
        <v>327</v>
      </c>
      <c r="F348" s="26">
        <v>7966</v>
      </c>
      <c r="G348" t="s">
        <v>941</v>
      </c>
      <c r="H348" s="2">
        <v>45678</v>
      </c>
      <c r="I348" t="s">
        <v>942</v>
      </c>
      <c r="J348" t="s">
        <v>942</v>
      </c>
      <c r="K348" t="s">
        <v>19</v>
      </c>
      <c r="M348" t="s">
        <v>59</v>
      </c>
      <c r="O348" s="10">
        <f t="shared" si="10"/>
        <v>1</v>
      </c>
      <c r="P348" s="10">
        <f t="shared" si="11"/>
        <v>2025</v>
      </c>
      <c r="Q348" t="str">
        <f>+VLOOKUP(O348,'COMISIONES ENERO-MARZO 2025 (2)'!$X:$Y,2,0)</f>
        <v>Enero</v>
      </c>
    </row>
    <row r="349" spans="3:17" x14ac:dyDescent="0.35">
      <c r="C349" t="s">
        <v>326</v>
      </c>
      <c r="D349">
        <v>53059501</v>
      </c>
      <c r="E349" t="s">
        <v>327</v>
      </c>
      <c r="F349" s="26">
        <v>3016.8</v>
      </c>
      <c r="G349" t="s">
        <v>195</v>
      </c>
      <c r="H349" s="2">
        <v>45684</v>
      </c>
      <c r="I349" t="s">
        <v>151</v>
      </c>
      <c r="J349" t="s">
        <v>151</v>
      </c>
      <c r="K349" t="s">
        <v>29</v>
      </c>
      <c r="M349" t="s">
        <v>59</v>
      </c>
      <c r="O349" s="10">
        <f t="shared" si="10"/>
        <v>1</v>
      </c>
      <c r="P349" s="10">
        <f t="shared" si="11"/>
        <v>2025</v>
      </c>
      <c r="Q349" t="str">
        <f>+VLOOKUP(O349,'COMISIONES ENERO-MARZO 2025 (2)'!$X:$Y,2,0)</f>
        <v>Enero</v>
      </c>
    </row>
    <row r="350" spans="3:17" x14ac:dyDescent="0.35">
      <c r="C350" t="s">
        <v>326</v>
      </c>
      <c r="D350">
        <v>53059501</v>
      </c>
      <c r="E350" t="s">
        <v>327</v>
      </c>
      <c r="F350" s="26">
        <v>6256.8</v>
      </c>
      <c r="G350" t="s">
        <v>196</v>
      </c>
      <c r="H350" s="2">
        <v>45686</v>
      </c>
      <c r="I350" t="s">
        <v>197</v>
      </c>
      <c r="J350" t="s">
        <v>197</v>
      </c>
      <c r="K350" t="s">
        <v>29</v>
      </c>
      <c r="M350" t="s">
        <v>59</v>
      </c>
      <c r="O350" s="10">
        <f t="shared" si="10"/>
        <v>1</v>
      </c>
      <c r="P350" s="10">
        <f t="shared" si="11"/>
        <v>2025</v>
      </c>
      <c r="Q350" t="str">
        <f>+VLOOKUP(O350,'COMISIONES ENERO-MARZO 2025 (2)'!$X:$Y,2,0)</f>
        <v>Enero</v>
      </c>
    </row>
    <row r="351" spans="3:17" x14ac:dyDescent="0.35">
      <c r="C351" t="s">
        <v>326</v>
      </c>
      <c r="D351">
        <v>53059501</v>
      </c>
      <c r="E351" t="s">
        <v>327</v>
      </c>
      <c r="F351" s="26">
        <v>110694.73</v>
      </c>
      <c r="G351" t="s">
        <v>943</v>
      </c>
      <c r="H351" s="2">
        <v>45688</v>
      </c>
      <c r="I351" t="s">
        <v>944</v>
      </c>
      <c r="J351" t="s">
        <v>944</v>
      </c>
      <c r="K351" t="s">
        <v>35</v>
      </c>
      <c r="M351" t="s">
        <v>59</v>
      </c>
      <c r="O351" s="10">
        <f t="shared" si="10"/>
        <v>1</v>
      </c>
      <c r="P351" s="10">
        <f t="shared" si="11"/>
        <v>2025</v>
      </c>
      <c r="Q351" t="str">
        <f>+VLOOKUP(O351,'COMISIONES ENERO-MARZO 2025 (2)'!$X:$Y,2,0)</f>
        <v>Enero</v>
      </c>
    </row>
    <row r="352" spans="3:17" x14ac:dyDescent="0.35">
      <c r="C352" t="s">
        <v>326</v>
      </c>
      <c r="D352">
        <v>53059501</v>
      </c>
      <c r="E352" t="s">
        <v>327</v>
      </c>
      <c r="F352" s="26">
        <v>9739.7000000000007</v>
      </c>
      <c r="G352" t="s">
        <v>945</v>
      </c>
      <c r="H352" s="2">
        <v>45688</v>
      </c>
      <c r="I352" t="s">
        <v>946</v>
      </c>
      <c r="J352" t="s">
        <v>946</v>
      </c>
      <c r="K352" t="s">
        <v>35</v>
      </c>
      <c r="M352" t="s">
        <v>59</v>
      </c>
      <c r="O352" s="10">
        <f t="shared" si="10"/>
        <v>1</v>
      </c>
      <c r="P352" s="10">
        <f t="shared" si="11"/>
        <v>2025</v>
      </c>
      <c r="Q352" t="str">
        <f>+VLOOKUP(O352,'COMISIONES ENERO-MARZO 2025 (2)'!$X:$Y,2,0)</f>
        <v>Enero</v>
      </c>
    </row>
    <row r="353" spans="3:17" x14ac:dyDescent="0.35">
      <c r="C353" t="s">
        <v>326</v>
      </c>
      <c r="D353">
        <v>53059501</v>
      </c>
      <c r="E353" t="s">
        <v>327</v>
      </c>
      <c r="F353" s="26">
        <v>5696.8</v>
      </c>
      <c r="G353" t="s">
        <v>198</v>
      </c>
      <c r="H353" s="2">
        <v>45702</v>
      </c>
      <c r="I353" t="s">
        <v>151</v>
      </c>
      <c r="J353" t="s">
        <v>151</v>
      </c>
      <c r="K353" t="s">
        <v>29</v>
      </c>
      <c r="M353" t="s">
        <v>59</v>
      </c>
      <c r="O353" s="10">
        <f t="shared" si="10"/>
        <v>2</v>
      </c>
      <c r="P353" s="10">
        <f t="shared" si="11"/>
        <v>2025</v>
      </c>
      <c r="Q353" t="str">
        <f>+VLOOKUP(O353,'COMISIONES ENERO-MARZO 2025 (2)'!$X:$Y,2,0)</f>
        <v>Febrero</v>
      </c>
    </row>
    <row r="354" spans="3:17" x14ac:dyDescent="0.35">
      <c r="C354" t="s">
        <v>326</v>
      </c>
      <c r="D354">
        <v>53059501</v>
      </c>
      <c r="E354" t="s">
        <v>327</v>
      </c>
      <c r="F354" s="26">
        <v>22553</v>
      </c>
      <c r="G354" t="s">
        <v>947</v>
      </c>
      <c r="H354" s="2">
        <v>45705</v>
      </c>
      <c r="I354" t="s">
        <v>948</v>
      </c>
      <c r="J354" t="s">
        <v>949</v>
      </c>
      <c r="K354" t="s">
        <v>19</v>
      </c>
      <c r="M354" t="s">
        <v>59</v>
      </c>
      <c r="O354" s="10">
        <f t="shared" si="10"/>
        <v>2</v>
      </c>
      <c r="P354" s="10">
        <f t="shared" si="11"/>
        <v>2025</v>
      </c>
      <c r="Q354" t="str">
        <f>+VLOOKUP(O354,'COMISIONES ENERO-MARZO 2025 (2)'!$X:$Y,2,0)</f>
        <v>Febrero</v>
      </c>
    </row>
    <row r="355" spans="3:17" x14ac:dyDescent="0.35">
      <c r="C355" t="s">
        <v>326</v>
      </c>
      <c r="D355">
        <v>53059501</v>
      </c>
      <c r="E355" t="s">
        <v>327</v>
      </c>
      <c r="F355" s="26">
        <v>4816.8</v>
      </c>
      <c r="G355" t="s">
        <v>199</v>
      </c>
      <c r="H355" s="2">
        <v>45706</v>
      </c>
      <c r="I355" t="s">
        <v>153</v>
      </c>
      <c r="J355" t="s">
        <v>153</v>
      </c>
      <c r="K355" t="s">
        <v>29</v>
      </c>
      <c r="M355" t="s">
        <v>59</v>
      </c>
      <c r="O355" s="10">
        <f t="shared" si="10"/>
        <v>2</v>
      </c>
      <c r="P355" s="10">
        <f t="shared" si="11"/>
        <v>2025</v>
      </c>
      <c r="Q355" t="str">
        <f>+VLOOKUP(O355,'COMISIONES ENERO-MARZO 2025 (2)'!$X:$Y,2,0)</f>
        <v>Febrero</v>
      </c>
    </row>
    <row r="356" spans="3:17" x14ac:dyDescent="0.35">
      <c r="C356" t="s">
        <v>326</v>
      </c>
      <c r="D356">
        <v>53059501</v>
      </c>
      <c r="E356" t="s">
        <v>327</v>
      </c>
      <c r="F356" s="26">
        <v>3683</v>
      </c>
      <c r="G356" t="s">
        <v>950</v>
      </c>
      <c r="H356" s="2">
        <v>45708</v>
      </c>
      <c r="I356" t="s">
        <v>951</v>
      </c>
      <c r="J356" t="s">
        <v>951</v>
      </c>
      <c r="K356" t="s">
        <v>35</v>
      </c>
      <c r="M356" t="s">
        <v>59</v>
      </c>
      <c r="O356" s="10">
        <f t="shared" si="10"/>
        <v>2</v>
      </c>
      <c r="P356" s="10">
        <f t="shared" si="11"/>
        <v>2025</v>
      </c>
      <c r="Q356" t="str">
        <f>+VLOOKUP(O356,'COMISIONES ENERO-MARZO 2025 (2)'!$X:$Y,2,0)</f>
        <v>Febrero</v>
      </c>
    </row>
    <row r="357" spans="3:17" x14ac:dyDescent="0.35">
      <c r="C357" t="s">
        <v>326</v>
      </c>
      <c r="D357">
        <v>53059501</v>
      </c>
      <c r="E357" t="s">
        <v>327</v>
      </c>
      <c r="F357" s="26">
        <v>6382</v>
      </c>
      <c r="G357" t="s">
        <v>952</v>
      </c>
      <c r="H357" s="2">
        <v>45708</v>
      </c>
      <c r="I357" t="s">
        <v>953</v>
      </c>
      <c r="J357" t="s">
        <v>953</v>
      </c>
      <c r="K357" t="s">
        <v>35</v>
      </c>
      <c r="M357" t="s">
        <v>59</v>
      </c>
      <c r="O357" s="10">
        <f t="shared" si="10"/>
        <v>2</v>
      </c>
      <c r="P357" s="10">
        <f t="shared" si="11"/>
        <v>2025</v>
      </c>
      <c r="Q357" t="str">
        <f>+VLOOKUP(O357,'COMISIONES ENERO-MARZO 2025 (2)'!$X:$Y,2,0)</f>
        <v>Febrero</v>
      </c>
    </row>
    <row r="358" spans="3:17" x14ac:dyDescent="0.35">
      <c r="C358" t="s">
        <v>326</v>
      </c>
      <c r="D358">
        <v>53059501</v>
      </c>
      <c r="E358" t="s">
        <v>327</v>
      </c>
      <c r="F358" s="26">
        <v>44710</v>
      </c>
      <c r="G358" t="s">
        <v>954</v>
      </c>
      <c r="H358" s="2">
        <v>45708</v>
      </c>
      <c r="I358" t="s">
        <v>955</v>
      </c>
      <c r="J358" t="s">
        <v>955</v>
      </c>
      <c r="K358" t="s">
        <v>35</v>
      </c>
      <c r="M358" t="s">
        <v>59</v>
      </c>
      <c r="O358" s="10">
        <f t="shared" si="10"/>
        <v>2</v>
      </c>
      <c r="P358" s="10">
        <f t="shared" si="11"/>
        <v>2025</v>
      </c>
      <c r="Q358" t="str">
        <f>+VLOOKUP(O358,'COMISIONES ENERO-MARZO 2025 (2)'!$X:$Y,2,0)</f>
        <v>Febrero</v>
      </c>
    </row>
    <row r="359" spans="3:17" x14ac:dyDescent="0.35">
      <c r="C359" t="s">
        <v>326</v>
      </c>
      <c r="D359">
        <v>53059501</v>
      </c>
      <c r="E359" t="s">
        <v>327</v>
      </c>
      <c r="F359" s="26">
        <v>21923</v>
      </c>
      <c r="G359" t="s">
        <v>956</v>
      </c>
      <c r="H359" s="2">
        <v>45708</v>
      </c>
      <c r="I359" t="s">
        <v>957</v>
      </c>
      <c r="J359" t="s">
        <v>957</v>
      </c>
      <c r="K359" t="s">
        <v>35</v>
      </c>
      <c r="M359" t="s">
        <v>59</v>
      </c>
      <c r="O359" s="10">
        <f t="shared" si="10"/>
        <v>2</v>
      </c>
      <c r="P359" s="10">
        <f t="shared" si="11"/>
        <v>2025</v>
      </c>
      <c r="Q359" t="str">
        <f>+VLOOKUP(O359,'COMISIONES ENERO-MARZO 2025 (2)'!$X:$Y,2,0)</f>
        <v>Febrero</v>
      </c>
    </row>
    <row r="360" spans="3:17" x14ac:dyDescent="0.35">
      <c r="C360" t="s">
        <v>326</v>
      </c>
      <c r="D360">
        <v>53059501</v>
      </c>
      <c r="E360" t="s">
        <v>327</v>
      </c>
      <c r="F360" s="26">
        <v>5016.8</v>
      </c>
      <c r="G360" t="s">
        <v>200</v>
      </c>
      <c r="H360" s="2">
        <v>45713</v>
      </c>
      <c r="I360" t="s">
        <v>153</v>
      </c>
      <c r="J360" t="s">
        <v>153</v>
      </c>
      <c r="K360" t="s">
        <v>29</v>
      </c>
      <c r="M360" t="s">
        <v>59</v>
      </c>
      <c r="O360" s="10">
        <f t="shared" si="10"/>
        <v>2</v>
      </c>
      <c r="P360" s="10">
        <f t="shared" si="11"/>
        <v>2025</v>
      </c>
      <c r="Q360" t="str">
        <f>+VLOOKUP(O360,'COMISIONES ENERO-MARZO 2025 (2)'!$X:$Y,2,0)</f>
        <v>Febrero</v>
      </c>
    </row>
    <row r="361" spans="3:17" x14ac:dyDescent="0.35">
      <c r="C361" t="s">
        <v>326</v>
      </c>
      <c r="D361">
        <v>53059501</v>
      </c>
      <c r="E361" t="s">
        <v>327</v>
      </c>
      <c r="F361" s="26">
        <v>3176.8</v>
      </c>
      <c r="G361" t="s">
        <v>206</v>
      </c>
      <c r="H361" s="2">
        <v>45720</v>
      </c>
      <c r="I361" t="s">
        <v>151</v>
      </c>
      <c r="J361" t="s">
        <v>151</v>
      </c>
      <c r="K361" t="s">
        <v>29</v>
      </c>
      <c r="M361" t="s">
        <v>59</v>
      </c>
      <c r="O361" s="10">
        <f t="shared" si="10"/>
        <v>3</v>
      </c>
      <c r="P361" s="10">
        <f t="shared" si="11"/>
        <v>2025</v>
      </c>
      <c r="Q361" t="str">
        <f>+VLOOKUP(O361,'COMISIONES ENERO-MARZO 2025 (2)'!$X:$Y,2,0)</f>
        <v>Marzo</v>
      </c>
    </row>
    <row r="362" spans="3:17" x14ac:dyDescent="0.35">
      <c r="C362" t="s">
        <v>326</v>
      </c>
      <c r="D362">
        <v>53059501</v>
      </c>
      <c r="E362" t="s">
        <v>327</v>
      </c>
      <c r="F362" s="26">
        <v>4936.8</v>
      </c>
      <c r="G362" t="s">
        <v>207</v>
      </c>
      <c r="H362" s="2">
        <v>45720</v>
      </c>
      <c r="I362" t="s">
        <v>208</v>
      </c>
      <c r="J362" t="s">
        <v>208</v>
      </c>
      <c r="K362" t="s">
        <v>29</v>
      </c>
      <c r="M362" t="s">
        <v>59</v>
      </c>
      <c r="O362" s="10">
        <f t="shared" si="10"/>
        <v>3</v>
      </c>
      <c r="P362" s="10">
        <f t="shared" si="11"/>
        <v>2025</v>
      </c>
      <c r="Q362" t="str">
        <f>+VLOOKUP(O362,'COMISIONES ENERO-MARZO 2025 (2)'!$X:$Y,2,0)</f>
        <v>Marzo</v>
      </c>
    </row>
    <row r="363" spans="3:17" x14ac:dyDescent="0.35">
      <c r="C363" t="s">
        <v>326</v>
      </c>
      <c r="D363">
        <v>53059501</v>
      </c>
      <c r="E363" t="s">
        <v>327</v>
      </c>
      <c r="F363" s="26">
        <v>9336.7999999999993</v>
      </c>
      <c r="G363" t="s">
        <v>209</v>
      </c>
      <c r="H363" s="2">
        <v>45721</v>
      </c>
      <c r="I363" t="s">
        <v>151</v>
      </c>
      <c r="J363" t="s">
        <v>151</v>
      </c>
      <c r="K363" t="s">
        <v>29</v>
      </c>
      <c r="M363" t="s">
        <v>59</v>
      </c>
      <c r="O363" s="10">
        <f t="shared" si="10"/>
        <v>3</v>
      </c>
      <c r="P363" s="10">
        <f t="shared" si="11"/>
        <v>2025</v>
      </c>
      <c r="Q363" t="str">
        <f>+VLOOKUP(O363,'COMISIONES ENERO-MARZO 2025 (2)'!$X:$Y,2,0)</f>
        <v>Marzo</v>
      </c>
    </row>
    <row r="364" spans="3:17" x14ac:dyDescent="0.35">
      <c r="C364" t="s">
        <v>326</v>
      </c>
      <c r="D364">
        <v>53059501</v>
      </c>
      <c r="E364" t="s">
        <v>327</v>
      </c>
      <c r="F364" s="26">
        <v>4016.8</v>
      </c>
      <c r="G364" t="s">
        <v>210</v>
      </c>
      <c r="H364" s="2">
        <v>45721</v>
      </c>
      <c r="I364" t="s">
        <v>194</v>
      </c>
      <c r="J364" t="s">
        <v>194</v>
      </c>
      <c r="K364" t="s">
        <v>29</v>
      </c>
      <c r="M364" t="s">
        <v>59</v>
      </c>
      <c r="O364" s="10">
        <f t="shared" si="10"/>
        <v>3</v>
      </c>
      <c r="P364" s="10">
        <f t="shared" si="11"/>
        <v>2025</v>
      </c>
      <c r="Q364" t="str">
        <f>+VLOOKUP(O364,'COMISIONES ENERO-MARZO 2025 (2)'!$X:$Y,2,0)</f>
        <v>Marzo</v>
      </c>
    </row>
    <row r="365" spans="3:17" x14ac:dyDescent="0.35">
      <c r="C365" t="s">
        <v>326</v>
      </c>
      <c r="D365">
        <v>53059501</v>
      </c>
      <c r="E365" t="s">
        <v>327</v>
      </c>
      <c r="F365" s="26">
        <v>1216.8</v>
      </c>
      <c r="G365" t="s">
        <v>211</v>
      </c>
      <c r="H365" s="2">
        <v>45727</v>
      </c>
      <c r="I365" t="s">
        <v>212</v>
      </c>
      <c r="J365" t="s">
        <v>213</v>
      </c>
      <c r="K365" t="s">
        <v>29</v>
      </c>
      <c r="M365" t="s">
        <v>59</v>
      </c>
      <c r="O365" s="10">
        <f t="shared" si="10"/>
        <v>3</v>
      </c>
      <c r="P365" s="10">
        <f t="shared" si="11"/>
        <v>2025</v>
      </c>
      <c r="Q365" t="str">
        <f>+VLOOKUP(O365,'COMISIONES ENERO-MARZO 2025 (2)'!$X:$Y,2,0)</f>
        <v>Marzo</v>
      </c>
    </row>
    <row r="366" spans="3:17" x14ac:dyDescent="0.35">
      <c r="C366" t="s">
        <v>326</v>
      </c>
      <c r="D366">
        <v>53059501</v>
      </c>
      <c r="E366" t="s">
        <v>327</v>
      </c>
      <c r="F366" s="26">
        <v>9016.7999999999993</v>
      </c>
      <c r="G366" t="s">
        <v>214</v>
      </c>
      <c r="H366" s="2">
        <v>45727</v>
      </c>
      <c r="I366" t="s">
        <v>151</v>
      </c>
      <c r="J366" t="s">
        <v>151</v>
      </c>
      <c r="K366" t="s">
        <v>29</v>
      </c>
      <c r="M366" t="s">
        <v>59</v>
      </c>
      <c r="O366" s="10">
        <f t="shared" si="10"/>
        <v>3</v>
      </c>
      <c r="P366" s="10">
        <f t="shared" si="11"/>
        <v>2025</v>
      </c>
      <c r="Q366" t="str">
        <f>+VLOOKUP(O366,'COMISIONES ENERO-MARZO 2025 (2)'!$X:$Y,2,0)</f>
        <v>Marzo</v>
      </c>
    </row>
    <row r="367" spans="3:17" x14ac:dyDescent="0.35">
      <c r="C367" t="s">
        <v>326</v>
      </c>
      <c r="D367">
        <v>53059501</v>
      </c>
      <c r="E367" t="s">
        <v>327</v>
      </c>
      <c r="F367" s="26">
        <v>19455</v>
      </c>
      <c r="G367" t="s">
        <v>958</v>
      </c>
      <c r="H367" s="2">
        <v>45729</v>
      </c>
      <c r="I367" t="s">
        <v>959</v>
      </c>
      <c r="J367" t="s">
        <v>959</v>
      </c>
      <c r="K367" t="s">
        <v>19</v>
      </c>
      <c r="M367" t="s">
        <v>59</v>
      </c>
      <c r="O367" s="10">
        <f t="shared" si="10"/>
        <v>3</v>
      </c>
      <c r="P367" s="10">
        <f t="shared" si="11"/>
        <v>2025</v>
      </c>
      <c r="Q367" t="str">
        <f>+VLOOKUP(O367,'COMISIONES ENERO-MARZO 2025 (2)'!$X:$Y,2,0)</f>
        <v>Marzo</v>
      </c>
    </row>
    <row r="368" spans="3:17" x14ac:dyDescent="0.35">
      <c r="C368" t="s">
        <v>326</v>
      </c>
      <c r="D368">
        <v>53059501</v>
      </c>
      <c r="E368" t="s">
        <v>327</v>
      </c>
      <c r="F368" s="26">
        <v>6376.8</v>
      </c>
      <c r="G368" t="s">
        <v>215</v>
      </c>
      <c r="H368" s="2">
        <v>45737</v>
      </c>
      <c r="I368" t="s">
        <v>216</v>
      </c>
      <c r="J368" t="s">
        <v>216</v>
      </c>
      <c r="K368" t="s">
        <v>29</v>
      </c>
      <c r="M368" t="s">
        <v>59</v>
      </c>
      <c r="O368" s="10">
        <f t="shared" si="10"/>
        <v>3</v>
      </c>
      <c r="P368" s="10">
        <f t="shared" si="11"/>
        <v>2025</v>
      </c>
      <c r="Q368" t="str">
        <f>+VLOOKUP(O368,'COMISIONES ENERO-MARZO 2025 (2)'!$X:$Y,2,0)</f>
        <v>Marzo</v>
      </c>
    </row>
    <row r="369" spans="3:17" x14ac:dyDescent="0.35">
      <c r="C369" t="s">
        <v>326</v>
      </c>
      <c r="D369">
        <v>53059501</v>
      </c>
      <c r="E369" t="s">
        <v>327</v>
      </c>
      <c r="F369" s="26">
        <v>1025</v>
      </c>
      <c r="G369" t="s">
        <v>960</v>
      </c>
      <c r="H369" s="2">
        <v>45742</v>
      </c>
      <c r="I369" t="s">
        <v>961</v>
      </c>
      <c r="J369" t="s">
        <v>961</v>
      </c>
      <c r="K369" t="s">
        <v>35</v>
      </c>
      <c r="M369" t="s">
        <v>59</v>
      </c>
      <c r="O369" s="10">
        <f t="shared" si="10"/>
        <v>3</v>
      </c>
      <c r="P369" s="10">
        <f t="shared" si="11"/>
        <v>2025</v>
      </c>
      <c r="Q369" t="str">
        <f>+VLOOKUP(O369,'COMISIONES ENERO-MARZO 2025 (2)'!$X:$Y,2,0)</f>
        <v>Marzo</v>
      </c>
    </row>
    <row r="370" spans="3:17" x14ac:dyDescent="0.35">
      <c r="C370" t="s">
        <v>326</v>
      </c>
      <c r="D370">
        <v>53059501</v>
      </c>
      <c r="E370" t="s">
        <v>327</v>
      </c>
      <c r="F370" s="26">
        <v>3976.8</v>
      </c>
      <c r="G370" t="s">
        <v>217</v>
      </c>
      <c r="H370" s="2">
        <v>45742</v>
      </c>
      <c r="I370" t="s">
        <v>208</v>
      </c>
      <c r="J370" t="s">
        <v>208</v>
      </c>
      <c r="K370" t="s">
        <v>29</v>
      </c>
      <c r="M370" t="s">
        <v>59</v>
      </c>
      <c r="O370" s="10">
        <f t="shared" si="10"/>
        <v>3</v>
      </c>
      <c r="P370" s="10">
        <f t="shared" si="11"/>
        <v>2025</v>
      </c>
      <c r="Q370" t="str">
        <f>+VLOOKUP(O370,'COMISIONES ENERO-MARZO 2025 (2)'!$X:$Y,2,0)</f>
        <v>Marzo</v>
      </c>
    </row>
    <row r="371" spans="3:17" x14ac:dyDescent="0.35">
      <c r="C371" t="s">
        <v>326</v>
      </c>
      <c r="D371">
        <v>53059501</v>
      </c>
      <c r="E371" t="s">
        <v>327</v>
      </c>
      <c r="F371" s="26">
        <v>7736.8</v>
      </c>
      <c r="G371" t="s">
        <v>218</v>
      </c>
      <c r="H371" s="2">
        <v>45742</v>
      </c>
      <c r="I371" t="s">
        <v>151</v>
      </c>
      <c r="J371" t="s">
        <v>151</v>
      </c>
      <c r="K371" t="s">
        <v>29</v>
      </c>
      <c r="M371" t="s">
        <v>59</v>
      </c>
      <c r="O371" s="10">
        <f t="shared" si="10"/>
        <v>3</v>
      </c>
      <c r="P371" s="10">
        <f t="shared" si="11"/>
        <v>2025</v>
      </c>
      <c r="Q371" t="str">
        <f>+VLOOKUP(O371,'COMISIONES ENERO-MARZO 2025 (2)'!$X:$Y,2,0)</f>
        <v>Marzo</v>
      </c>
    </row>
    <row r="372" spans="3:17" x14ac:dyDescent="0.35">
      <c r="C372" t="s">
        <v>326</v>
      </c>
      <c r="D372">
        <v>53059501</v>
      </c>
      <c r="E372" t="s">
        <v>327</v>
      </c>
      <c r="F372" s="26">
        <v>5816.8</v>
      </c>
      <c r="G372" t="s">
        <v>311</v>
      </c>
      <c r="H372" s="2">
        <v>45749</v>
      </c>
      <c r="I372" t="s">
        <v>151</v>
      </c>
      <c r="J372" t="s">
        <v>151</v>
      </c>
      <c r="K372" t="s">
        <v>29</v>
      </c>
      <c r="M372" t="s">
        <v>59</v>
      </c>
      <c r="O372" s="10">
        <f t="shared" si="10"/>
        <v>4</v>
      </c>
      <c r="P372" s="10">
        <f t="shared" si="11"/>
        <v>2025</v>
      </c>
      <c r="Q372" t="str">
        <f>+VLOOKUP(O372,'COMISIONES ENERO-MARZO 2025 (2)'!$X:$Y,2,0)</f>
        <v>Abril</v>
      </c>
    </row>
    <row r="373" spans="3:17" x14ac:dyDescent="0.35">
      <c r="C373" t="s">
        <v>326</v>
      </c>
      <c r="D373">
        <v>53059501</v>
      </c>
      <c r="E373" t="s">
        <v>327</v>
      </c>
      <c r="F373" s="26">
        <v>4536.8</v>
      </c>
      <c r="G373" t="s">
        <v>312</v>
      </c>
      <c r="H373" s="2">
        <v>45749</v>
      </c>
      <c r="I373" t="s">
        <v>151</v>
      </c>
      <c r="J373" t="s">
        <v>151</v>
      </c>
      <c r="K373" t="s">
        <v>29</v>
      </c>
      <c r="M373" t="s">
        <v>59</v>
      </c>
      <c r="O373" s="10">
        <f t="shared" si="10"/>
        <v>4</v>
      </c>
      <c r="P373" s="10">
        <f t="shared" si="11"/>
        <v>2025</v>
      </c>
      <c r="Q373" t="str">
        <f>+VLOOKUP(O373,'COMISIONES ENERO-MARZO 2025 (2)'!$X:$Y,2,0)</f>
        <v>Abril</v>
      </c>
    </row>
    <row r="374" spans="3:17" x14ac:dyDescent="0.35">
      <c r="C374" t="s">
        <v>326</v>
      </c>
      <c r="D374">
        <v>53059501</v>
      </c>
      <c r="E374" t="s">
        <v>327</v>
      </c>
      <c r="F374" s="26">
        <v>3896.8</v>
      </c>
      <c r="G374" t="s">
        <v>313</v>
      </c>
      <c r="H374" s="2">
        <v>45749</v>
      </c>
      <c r="I374" t="s">
        <v>151</v>
      </c>
      <c r="J374" t="s">
        <v>151</v>
      </c>
      <c r="K374" t="s">
        <v>29</v>
      </c>
      <c r="M374" t="s">
        <v>59</v>
      </c>
      <c r="O374" s="10">
        <f t="shared" si="10"/>
        <v>4</v>
      </c>
      <c r="P374" s="10">
        <f t="shared" si="11"/>
        <v>2025</v>
      </c>
      <c r="Q374" t="str">
        <f>+VLOOKUP(O374,'COMISIONES ENERO-MARZO 2025 (2)'!$X:$Y,2,0)</f>
        <v>Abril</v>
      </c>
    </row>
    <row r="375" spans="3:17" x14ac:dyDescent="0.35">
      <c r="C375" t="s">
        <v>326</v>
      </c>
      <c r="D375">
        <v>53059501</v>
      </c>
      <c r="E375" t="s">
        <v>327</v>
      </c>
      <c r="F375" s="26">
        <v>1262</v>
      </c>
      <c r="G375" t="s">
        <v>962</v>
      </c>
      <c r="H375" s="2">
        <v>45747</v>
      </c>
      <c r="I375" t="s">
        <v>963</v>
      </c>
      <c r="J375" t="s">
        <v>964</v>
      </c>
      <c r="K375" t="s">
        <v>35</v>
      </c>
      <c r="M375" t="s">
        <v>59</v>
      </c>
      <c r="O375" s="10">
        <f t="shared" si="10"/>
        <v>3</v>
      </c>
      <c r="P375" s="10">
        <f t="shared" si="11"/>
        <v>2025</v>
      </c>
      <c r="Q375" t="str">
        <f>+VLOOKUP(O375,'COMISIONES ENERO-MARZO 2025 (2)'!$X:$Y,2,0)</f>
        <v>Marzo</v>
      </c>
    </row>
    <row r="376" spans="3:17" x14ac:dyDescent="0.35">
      <c r="C376" t="s">
        <v>326</v>
      </c>
      <c r="D376">
        <v>53059501</v>
      </c>
      <c r="E376" t="s">
        <v>327</v>
      </c>
      <c r="F376" s="26">
        <v>4656.8</v>
      </c>
      <c r="G376" t="s">
        <v>314</v>
      </c>
      <c r="H376" s="2">
        <v>45756</v>
      </c>
      <c r="I376" t="s">
        <v>151</v>
      </c>
      <c r="J376" t="s">
        <v>151</v>
      </c>
      <c r="K376" t="s">
        <v>29</v>
      </c>
      <c r="M376" t="s">
        <v>59</v>
      </c>
      <c r="O376" s="10">
        <f t="shared" si="10"/>
        <v>4</v>
      </c>
      <c r="P376" s="10">
        <f t="shared" si="11"/>
        <v>2025</v>
      </c>
      <c r="Q376" t="str">
        <f>+VLOOKUP(O376,'COMISIONES ENERO-MARZO 2025 (2)'!$X:$Y,2,0)</f>
        <v>Abril</v>
      </c>
    </row>
    <row r="377" spans="3:17" x14ac:dyDescent="0.35">
      <c r="C377" t="s">
        <v>326</v>
      </c>
      <c r="D377">
        <v>53059501</v>
      </c>
      <c r="E377" t="s">
        <v>327</v>
      </c>
      <c r="F377" s="26">
        <v>6456.8</v>
      </c>
      <c r="G377" t="s">
        <v>315</v>
      </c>
      <c r="H377" s="2">
        <v>45761</v>
      </c>
      <c r="I377" t="s">
        <v>208</v>
      </c>
      <c r="J377" t="s">
        <v>208</v>
      </c>
      <c r="K377" t="s">
        <v>29</v>
      </c>
      <c r="M377" t="s">
        <v>59</v>
      </c>
      <c r="O377" s="10">
        <f t="shared" si="10"/>
        <v>4</v>
      </c>
      <c r="P377" s="10">
        <f t="shared" si="11"/>
        <v>2025</v>
      </c>
      <c r="Q377" t="str">
        <f>+VLOOKUP(O377,'COMISIONES ENERO-MARZO 2025 (2)'!$X:$Y,2,0)</f>
        <v>Abril</v>
      </c>
    </row>
    <row r="378" spans="3:17" x14ac:dyDescent="0.35">
      <c r="C378" t="s">
        <v>326</v>
      </c>
      <c r="D378">
        <v>53059501</v>
      </c>
      <c r="E378" t="s">
        <v>327</v>
      </c>
      <c r="F378" s="26">
        <v>8176.8</v>
      </c>
      <c r="G378" t="s">
        <v>316</v>
      </c>
      <c r="H378" s="2">
        <v>45763</v>
      </c>
      <c r="I378" t="s">
        <v>155</v>
      </c>
      <c r="J378" t="s">
        <v>155</v>
      </c>
      <c r="K378" t="s">
        <v>29</v>
      </c>
      <c r="M378" t="s">
        <v>59</v>
      </c>
      <c r="O378" s="10">
        <f t="shared" si="10"/>
        <v>4</v>
      </c>
      <c r="P378" s="10">
        <f t="shared" si="11"/>
        <v>2025</v>
      </c>
      <c r="Q378" t="str">
        <f>+VLOOKUP(O378,'COMISIONES ENERO-MARZO 2025 (2)'!$X:$Y,2,0)</f>
        <v>Abril</v>
      </c>
    </row>
    <row r="379" spans="3:17" x14ac:dyDescent="0.35">
      <c r="C379" t="s">
        <v>326</v>
      </c>
      <c r="D379">
        <v>53059501</v>
      </c>
      <c r="E379" t="s">
        <v>327</v>
      </c>
      <c r="F379" s="26">
        <v>63670</v>
      </c>
      <c r="G379" t="s">
        <v>965</v>
      </c>
      <c r="H379" s="2">
        <v>45775</v>
      </c>
      <c r="I379" t="s">
        <v>966</v>
      </c>
      <c r="J379" t="s">
        <v>966</v>
      </c>
      <c r="K379" t="s">
        <v>19</v>
      </c>
      <c r="M379" t="s">
        <v>59</v>
      </c>
      <c r="O379" s="10">
        <f t="shared" si="10"/>
        <v>4</v>
      </c>
      <c r="P379" s="10">
        <f t="shared" si="11"/>
        <v>2025</v>
      </c>
      <c r="Q379" t="str">
        <f>+VLOOKUP(O379,'COMISIONES ENERO-MARZO 2025 (2)'!$X:$Y,2,0)</f>
        <v>Abril</v>
      </c>
    </row>
    <row r="380" spans="3:17" x14ac:dyDescent="0.35">
      <c r="C380" t="s">
        <v>326</v>
      </c>
      <c r="D380">
        <v>53059501</v>
      </c>
      <c r="E380" t="s">
        <v>327</v>
      </c>
      <c r="F380" s="26">
        <v>2856.8</v>
      </c>
      <c r="G380" t="s">
        <v>317</v>
      </c>
      <c r="H380" s="2">
        <v>45777</v>
      </c>
      <c r="I380" t="s">
        <v>153</v>
      </c>
      <c r="J380" t="s">
        <v>153</v>
      </c>
      <c r="K380" t="s">
        <v>29</v>
      </c>
      <c r="M380" t="s">
        <v>59</v>
      </c>
      <c r="O380" s="10">
        <f t="shared" si="10"/>
        <v>4</v>
      </c>
      <c r="P380" s="10">
        <f t="shared" si="11"/>
        <v>2025</v>
      </c>
      <c r="Q380" t="str">
        <f>+VLOOKUP(O380,'COMISIONES ENERO-MARZO 2025 (2)'!$X:$Y,2,0)</f>
        <v>Abril</v>
      </c>
    </row>
    <row r="381" spans="3:17" x14ac:dyDescent="0.35">
      <c r="C381" t="s">
        <v>326</v>
      </c>
      <c r="D381">
        <v>53059501</v>
      </c>
      <c r="E381" t="s">
        <v>327</v>
      </c>
      <c r="F381" s="26">
        <v>5296.8</v>
      </c>
      <c r="G381" t="s">
        <v>318</v>
      </c>
      <c r="H381" s="2">
        <v>45777</v>
      </c>
      <c r="I381" t="s">
        <v>319</v>
      </c>
      <c r="J381" t="s">
        <v>319</v>
      </c>
      <c r="K381" t="s">
        <v>29</v>
      </c>
      <c r="M381" t="s">
        <v>59</v>
      </c>
      <c r="O381" s="10">
        <f t="shared" si="10"/>
        <v>4</v>
      </c>
      <c r="P381" s="10">
        <f t="shared" si="11"/>
        <v>2025</v>
      </c>
      <c r="Q381" t="str">
        <f>+VLOOKUP(O381,'COMISIONES ENERO-MARZO 2025 (2)'!$X:$Y,2,0)</f>
        <v>Abril</v>
      </c>
    </row>
    <row r="382" spans="3:17" x14ac:dyDescent="0.35">
      <c r="C382" t="s">
        <v>326</v>
      </c>
      <c r="D382">
        <v>53059501</v>
      </c>
      <c r="E382" t="s">
        <v>327</v>
      </c>
      <c r="F382" s="26">
        <v>4056.8</v>
      </c>
      <c r="G382" t="s">
        <v>320</v>
      </c>
      <c r="H382" s="2">
        <v>45770</v>
      </c>
      <c r="I382" t="s">
        <v>321</v>
      </c>
      <c r="J382" t="s">
        <v>321</v>
      </c>
      <c r="K382" t="s">
        <v>29</v>
      </c>
      <c r="M382" t="s">
        <v>59</v>
      </c>
      <c r="O382" s="10">
        <f t="shared" si="10"/>
        <v>4</v>
      </c>
      <c r="P382" s="10">
        <f t="shared" si="11"/>
        <v>2025</v>
      </c>
      <c r="Q382" t="str">
        <f>+VLOOKUP(O382,'COMISIONES ENERO-MARZO 2025 (2)'!$X:$Y,2,0)</f>
        <v>Abril</v>
      </c>
    </row>
    <row r="383" spans="3:17" x14ac:dyDescent="0.35">
      <c r="C383" t="s">
        <v>326</v>
      </c>
      <c r="D383">
        <v>53059501</v>
      </c>
      <c r="E383" t="s">
        <v>327</v>
      </c>
      <c r="F383" s="26">
        <v>8496.7999999999993</v>
      </c>
      <c r="G383" t="s">
        <v>322</v>
      </c>
      <c r="H383" s="2">
        <v>45777</v>
      </c>
      <c r="I383" t="s">
        <v>323</v>
      </c>
      <c r="J383" t="s">
        <v>323</v>
      </c>
      <c r="K383" t="s">
        <v>29</v>
      </c>
      <c r="M383" t="s">
        <v>59</v>
      </c>
      <c r="O383" s="10">
        <f t="shared" si="10"/>
        <v>4</v>
      </c>
      <c r="P383" s="10">
        <f t="shared" si="11"/>
        <v>2025</v>
      </c>
      <c r="Q383" t="str">
        <f>+VLOOKUP(O383,'COMISIONES ENERO-MARZO 2025 (2)'!$X:$Y,2,0)</f>
        <v>Abril</v>
      </c>
    </row>
    <row r="384" spans="3:17" x14ac:dyDescent="0.35">
      <c r="C384" t="s">
        <v>326</v>
      </c>
      <c r="D384">
        <v>53059501</v>
      </c>
      <c r="E384" t="s">
        <v>327</v>
      </c>
      <c r="F384" s="26">
        <v>1656.8</v>
      </c>
      <c r="G384" t="s">
        <v>324</v>
      </c>
      <c r="H384" s="2">
        <v>45775</v>
      </c>
      <c r="I384" t="s">
        <v>325</v>
      </c>
      <c r="J384" t="s">
        <v>325</v>
      </c>
      <c r="K384" t="s">
        <v>29</v>
      </c>
      <c r="M384" t="s">
        <v>59</v>
      </c>
      <c r="O384" s="10">
        <f t="shared" si="10"/>
        <v>4</v>
      </c>
      <c r="P384" s="10">
        <f t="shared" si="11"/>
        <v>2025</v>
      </c>
      <c r="Q384" t="str">
        <f>+VLOOKUP(O384,'COMISIONES ENERO-MARZO 2025 (2)'!$X:$Y,2,0)</f>
        <v>Abril</v>
      </c>
    </row>
    <row r="385" spans="3:17" x14ac:dyDescent="0.35">
      <c r="C385" t="s">
        <v>326</v>
      </c>
      <c r="D385">
        <v>53059501</v>
      </c>
      <c r="E385" t="s">
        <v>327</v>
      </c>
      <c r="F385" s="26">
        <v>9576.7999999999993</v>
      </c>
      <c r="G385" t="s">
        <v>970</v>
      </c>
      <c r="H385" s="2">
        <v>45783</v>
      </c>
      <c r="I385" t="s">
        <v>151</v>
      </c>
      <c r="J385" t="s">
        <v>151</v>
      </c>
      <c r="K385" t="s">
        <v>29</v>
      </c>
      <c r="O385" s="10">
        <f t="shared" ref="O385:O400" si="12">+MONTH(H385)</f>
        <v>5</v>
      </c>
      <c r="P385" s="10">
        <f t="shared" ref="P385:P400" si="13">+YEAR(H385)</f>
        <v>2025</v>
      </c>
      <c r="Q385" t="str">
        <f>+VLOOKUP(O385,'COMISIONES ENERO-MARZO 2025 (2)'!$X:$Y,2,0)</f>
        <v>Mayo</v>
      </c>
    </row>
    <row r="386" spans="3:17" x14ac:dyDescent="0.35">
      <c r="C386" t="s">
        <v>326</v>
      </c>
      <c r="D386">
        <v>53059501</v>
      </c>
      <c r="E386" t="s">
        <v>327</v>
      </c>
      <c r="F386" s="26">
        <v>2336.8000000000002</v>
      </c>
      <c r="G386" t="s">
        <v>971</v>
      </c>
      <c r="H386" s="2">
        <v>45783</v>
      </c>
      <c r="I386" t="s">
        <v>153</v>
      </c>
      <c r="J386" t="s">
        <v>153</v>
      </c>
      <c r="K386" t="s">
        <v>29</v>
      </c>
      <c r="O386" s="10">
        <f t="shared" si="12"/>
        <v>5</v>
      </c>
      <c r="P386" s="10">
        <f t="shared" si="13"/>
        <v>2025</v>
      </c>
      <c r="Q386" t="str">
        <f>+VLOOKUP(O386,'COMISIONES ENERO-MARZO 2025 (2)'!$X:$Y,2,0)</f>
        <v>Mayo</v>
      </c>
    </row>
    <row r="387" spans="3:17" x14ac:dyDescent="0.35">
      <c r="C387" t="s">
        <v>326</v>
      </c>
      <c r="D387">
        <v>53059501</v>
      </c>
      <c r="E387" t="s">
        <v>327</v>
      </c>
      <c r="F387" s="26">
        <v>54</v>
      </c>
      <c r="G387" t="s">
        <v>1076</v>
      </c>
      <c r="H387" s="2">
        <v>45786</v>
      </c>
      <c r="I387" t="s">
        <v>1082</v>
      </c>
      <c r="J387" t="s">
        <v>1083</v>
      </c>
      <c r="K387" t="s">
        <v>534</v>
      </c>
      <c r="O387" s="10">
        <f t="shared" si="12"/>
        <v>5</v>
      </c>
      <c r="P387" s="10">
        <f t="shared" si="13"/>
        <v>2025</v>
      </c>
      <c r="Q387" t="str">
        <f>+VLOOKUP(O387,'COMISIONES ENERO-MARZO 2025 (2)'!$X:$Y,2,0)</f>
        <v>Mayo</v>
      </c>
    </row>
    <row r="388" spans="3:17" x14ac:dyDescent="0.35">
      <c r="C388" t="s">
        <v>326</v>
      </c>
      <c r="D388">
        <v>53059501</v>
      </c>
      <c r="E388" t="s">
        <v>327</v>
      </c>
      <c r="F388" s="26">
        <v>3776.8</v>
      </c>
      <c r="G388" t="s">
        <v>978</v>
      </c>
      <c r="H388" s="2">
        <v>45790</v>
      </c>
      <c r="I388" t="s">
        <v>155</v>
      </c>
      <c r="J388" t="s">
        <v>155</v>
      </c>
      <c r="K388" t="s">
        <v>29</v>
      </c>
      <c r="O388" s="10">
        <f t="shared" si="12"/>
        <v>5</v>
      </c>
      <c r="P388" s="10">
        <f t="shared" si="13"/>
        <v>2025</v>
      </c>
      <c r="Q388" t="str">
        <f>+VLOOKUP(O388,'COMISIONES ENERO-MARZO 2025 (2)'!$X:$Y,2,0)</f>
        <v>Mayo</v>
      </c>
    </row>
    <row r="389" spans="3:17" x14ac:dyDescent="0.35">
      <c r="C389" t="s">
        <v>326</v>
      </c>
      <c r="D389">
        <v>53059501</v>
      </c>
      <c r="E389" t="s">
        <v>327</v>
      </c>
      <c r="F389" s="26">
        <v>3896.8</v>
      </c>
      <c r="G389" t="s">
        <v>983</v>
      </c>
      <c r="H389" s="2">
        <v>45796</v>
      </c>
      <c r="I389" t="s">
        <v>208</v>
      </c>
      <c r="J389" t="s">
        <v>208</v>
      </c>
      <c r="K389" t="s">
        <v>29</v>
      </c>
      <c r="O389" s="10">
        <f t="shared" si="12"/>
        <v>5</v>
      </c>
      <c r="P389" s="10">
        <f t="shared" si="13"/>
        <v>2025</v>
      </c>
      <c r="Q389" t="str">
        <f>+VLOOKUP(O389,'COMISIONES ENERO-MARZO 2025 (2)'!$X:$Y,2,0)</f>
        <v>Mayo</v>
      </c>
    </row>
    <row r="390" spans="3:17" x14ac:dyDescent="0.35">
      <c r="C390" t="s">
        <v>326</v>
      </c>
      <c r="D390">
        <v>53059501</v>
      </c>
      <c r="E390" t="s">
        <v>327</v>
      </c>
      <c r="F390" s="26">
        <v>5056.8</v>
      </c>
      <c r="G390" t="s">
        <v>989</v>
      </c>
      <c r="H390" s="2">
        <v>45803</v>
      </c>
      <c r="I390" t="s">
        <v>208</v>
      </c>
      <c r="J390" t="s">
        <v>208</v>
      </c>
      <c r="K390" t="s">
        <v>29</v>
      </c>
      <c r="O390" s="10">
        <f t="shared" si="12"/>
        <v>5</v>
      </c>
      <c r="P390" s="10">
        <f t="shared" si="13"/>
        <v>2025</v>
      </c>
      <c r="Q390" t="str">
        <f>+VLOOKUP(O390,'COMISIONES ENERO-MARZO 2025 (2)'!$X:$Y,2,0)</f>
        <v>Mayo</v>
      </c>
    </row>
    <row r="391" spans="3:17" x14ac:dyDescent="0.35">
      <c r="C391" t="s">
        <v>326</v>
      </c>
      <c r="D391">
        <v>53059501</v>
      </c>
      <c r="E391" t="s">
        <v>327</v>
      </c>
      <c r="F391" s="26">
        <v>4336.8</v>
      </c>
      <c r="G391" t="s">
        <v>990</v>
      </c>
      <c r="H391" s="2">
        <v>45803</v>
      </c>
      <c r="I391" t="s">
        <v>1033</v>
      </c>
      <c r="J391" t="s">
        <v>1033</v>
      </c>
      <c r="K391" t="s">
        <v>29</v>
      </c>
      <c r="O391" s="10">
        <f t="shared" si="12"/>
        <v>5</v>
      </c>
      <c r="P391" s="10">
        <f t="shared" si="13"/>
        <v>2025</v>
      </c>
      <c r="Q391" t="str">
        <f>+VLOOKUP(O391,'COMISIONES ENERO-MARZO 2025 (2)'!$X:$Y,2,0)</f>
        <v>Mayo</v>
      </c>
    </row>
    <row r="392" spans="3:17" x14ac:dyDescent="0.35">
      <c r="C392" t="s">
        <v>326</v>
      </c>
      <c r="D392">
        <v>53059501</v>
      </c>
      <c r="E392" t="s">
        <v>327</v>
      </c>
      <c r="F392" s="26">
        <v>779966.01</v>
      </c>
      <c r="G392" t="s">
        <v>1010</v>
      </c>
      <c r="H392" s="2">
        <v>45808</v>
      </c>
      <c r="I392" t="s">
        <v>1047</v>
      </c>
      <c r="J392" t="s">
        <v>1047</v>
      </c>
      <c r="K392" t="s">
        <v>29</v>
      </c>
      <c r="O392" s="10">
        <f t="shared" si="12"/>
        <v>5</v>
      </c>
      <c r="P392" s="10">
        <f t="shared" si="13"/>
        <v>2025</v>
      </c>
      <c r="Q392" t="str">
        <f>+VLOOKUP(O392,'COMISIONES ENERO-MARZO 2025 (2)'!$X:$Y,2,0)</f>
        <v>Mayo</v>
      </c>
    </row>
    <row r="393" spans="3:17" x14ac:dyDescent="0.35">
      <c r="C393" t="s">
        <v>326</v>
      </c>
      <c r="D393">
        <v>53059501</v>
      </c>
      <c r="E393" t="s">
        <v>327</v>
      </c>
      <c r="F393" s="26">
        <v>32461120.579999998</v>
      </c>
      <c r="G393" t="s">
        <v>1011</v>
      </c>
      <c r="H393" s="2">
        <v>45808</v>
      </c>
      <c r="I393" t="s">
        <v>1048</v>
      </c>
      <c r="J393" t="s">
        <v>1048</v>
      </c>
      <c r="K393" t="s">
        <v>29</v>
      </c>
      <c r="O393" s="10">
        <f t="shared" si="12"/>
        <v>5</v>
      </c>
      <c r="P393" s="10">
        <f t="shared" si="13"/>
        <v>2025</v>
      </c>
      <c r="Q393" t="str">
        <f>+VLOOKUP(O393,'COMISIONES ENERO-MARZO 2025 (2)'!$X:$Y,2,0)</f>
        <v>Mayo</v>
      </c>
    </row>
    <row r="394" spans="3:17" x14ac:dyDescent="0.35">
      <c r="C394" t="s">
        <v>326</v>
      </c>
      <c r="D394">
        <v>53059501</v>
      </c>
      <c r="E394" t="s">
        <v>327</v>
      </c>
      <c r="F394" s="26">
        <v>31994.04</v>
      </c>
      <c r="G394" t="s">
        <v>1077</v>
      </c>
      <c r="H394" s="2">
        <v>45808</v>
      </c>
      <c r="I394" t="s">
        <v>1084</v>
      </c>
      <c r="J394" t="s">
        <v>1084</v>
      </c>
      <c r="K394" t="s">
        <v>29</v>
      </c>
      <c r="O394" s="10">
        <f t="shared" si="12"/>
        <v>5</v>
      </c>
      <c r="P394" s="10">
        <f t="shared" si="13"/>
        <v>2025</v>
      </c>
      <c r="Q394" t="str">
        <f>+VLOOKUP(O394,'COMISIONES ENERO-MARZO 2025 (2)'!$X:$Y,2,0)</f>
        <v>Mayo</v>
      </c>
    </row>
    <row r="395" spans="3:17" x14ac:dyDescent="0.35">
      <c r="C395" t="s">
        <v>326</v>
      </c>
      <c r="D395">
        <v>53059501</v>
      </c>
      <c r="E395" t="s">
        <v>327</v>
      </c>
      <c r="F395" s="26">
        <v>-21867030.969999999</v>
      </c>
      <c r="G395" t="s">
        <v>1078</v>
      </c>
      <c r="H395" s="2">
        <v>45808</v>
      </c>
      <c r="I395" t="s">
        <v>1085</v>
      </c>
      <c r="J395" t="s">
        <v>1085</v>
      </c>
      <c r="K395" t="s">
        <v>25</v>
      </c>
      <c r="O395" s="10">
        <f t="shared" si="12"/>
        <v>5</v>
      </c>
      <c r="P395" s="10">
        <f t="shared" si="13"/>
        <v>2025</v>
      </c>
      <c r="Q395" t="str">
        <f>+VLOOKUP(O395,'COMISIONES ENERO-MARZO 2025 (2)'!$X:$Y,2,0)</f>
        <v>Mayo</v>
      </c>
    </row>
    <row r="396" spans="3:17" x14ac:dyDescent="0.35">
      <c r="C396" t="s">
        <v>326</v>
      </c>
      <c r="D396">
        <v>53059501</v>
      </c>
      <c r="E396" t="s">
        <v>327</v>
      </c>
      <c r="F396" s="26">
        <v>26720</v>
      </c>
      <c r="G396" t="s">
        <v>1012</v>
      </c>
      <c r="H396" s="2">
        <v>45808</v>
      </c>
      <c r="I396" t="s">
        <v>1049</v>
      </c>
      <c r="J396" t="s">
        <v>1049</v>
      </c>
      <c r="K396" t="s">
        <v>19</v>
      </c>
      <c r="O396" s="10">
        <f t="shared" si="12"/>
        <v>5</v>
      </c>
      <c r="P396" s="10">
        <f t="shared" si="13"/>
        <v>2025</v>
      </c>
      <c r="Q396" t="str">
        <f>+VLOOKUP(O396,'COMISIONES ENERO-MARZO 2025 (2)'!$X:$Y,2,0)</f>
        <v>Mayo</v>
      </c>
    </row>
    <row r="397" spans="3:17" x14ac:dyDescent="0.35">
      <c r="C397" t="s">
        <v>326</v>
      </c>
      <c r="D397">
        <v>53059501</v>
      </c>
      <c r="E397" t="s">
        <v>327</v>
      </c>
      <c r="F397" s="26">
        <v>32681241</v>
      </c>
      <c r="G397" t="s">
        <v>1013</v>
      </c>
      <c r="H397" s="2">
        <v>45808</v>
      </c>
      <c r="I397" t="s">
        <v>1050</v>
      </c>
      <c r="J397" t="s">
        <v>1050</v>
      </c>
      <c r="K397" t="s">
        <v>19</v>
      </c>
      <c r="O397" s="10">
        <f t="shared" si="12"/>
        <v>5</v>
      </c>
      <c r="P397" s="10">
        <f t="shared" si="13"/>
        <v>2025</v>
      </c>
      <c r="Q397" t="str">
        <f>+VLOOKUP(O397,'COMISIONES ENERO-MARZO 2025 (2)'!$X:$Y,2,0)</f>
        <v>Mayo</v>
      </c>
    </row>
    <row r="398" spans="3:17" x14ac:dyDescent="0.35">
      <c r="C398" t="s">
        <v>326</v>
      </c>
      <c r="D398">
        <v>53059501</v>
      </c>
      <c r="E398" t="s">
        <v>327</v>
      </c>
      <c r="F398" s="26">
        <v>14217</v>
      </c>
      <c r="G398" t="s">
        <v>1079</v>
      </c>
      <c r="H398" s="2">
        <v>45808</v>
      </c>
      <c r="I398" t="s">
        <v>1086</v>
      </c>
      <c r="J398" t="s">
        <v>1086</v>
      </c>
      <c r="K398" t="s">
        <v>19</v>
      </c>
      <c r="O398" s="10">
        <f t="shared" si="12"/>
        <v>5</v>
      </c>
      <c r="P398" s="10">
        <f t="shared" si="13"/>
        <v>2025</v>
      </c>
      <c r="Q398" t="str">
        <f>+VLOOKUP(O398,'COMISIONES ENERO-MARZO 2025 (2)'!$X:$Y,2,0)</f>
        <v>Mayo</v>
      </c>
    </row>
    <row r="399" spans="3:17" x14ac:dyDescent="0.35">
      <c r="C399" t="s">
        <v>326</v>
      </c>
      <c r="D399">
        <v>53059501</v>
      </c>
      <c r="E399" t="s">
        <v>327</v>
      </c>
      <c r="F399" s="26">
        <v>1927219.11</v>
      </c>
      <c r="G399" t="s">
        <v>1080</v>
      </c>
      <c r="H399" s="2">
        <v>45808</v>
      </c>
      <c r="I399" t="s">
        <v>1087</v>
      </c>
      <c r="J399" t="s">
        <v>1087</v>
      </c>
      <c r="K399" t="s">
        <v>44</v>
      </c>
      <c r="O399" s="10">
        <f t="shared" si="12"/>
        <v>5</v>
      </c>
      <c r="P399" s="10">
        <f t="shared" si="13"/>
        <v>2025</v>
      </c>
      <c r="Q399" t="str">
        <f>+VLOOKUP(O399,'COMISIONES ENERO-MARZO 2025 (2)'!$X:$Y,2,0)</f>
        <v>Mayo</v>
      </c>
    </row>
    <row r="400" spans="3:17" x14ac:dyDescent="0.35">
      <c r="C400" t="s">
        <v>326</v>
      </c>
      <c r="D400">
        <v>53059501</v>
      </c>
      <c r="E400" t="s">
        <v>327</v>
      </c>
      <c r="F400" s="26">
        <v>3244</v>
      </c>
      <c r="G400" t="s">
        <v>1014</v>
      </c>
      <c r="H400" s="2">
        <v>45808</v>
      </c>
      <c r="I400" t="s">
        <v>1051</v>
      </c>
      <c r="J400" t="s">
        <v>1051</v>
      </c>
      <c r="K400" t="s">
        <v>167</v>
      </c>
      <c r="O400" s="10">
        <f t="shared" si="12"/>
        <v>5</v>
      </c>
      <c r="P400" s="10">
        <f t="shared" si="13"/>
        <v>2025</v>
      </c>
      <c r="Q400" t="str">
        <f>+VLOOKUP(O400,'COMISIONES ENERO-MARZO 2025 (2)'!$X:$Y,2,0)</f>
        <v>Mayo</v>
      </c>
    </row>
    <row r="401" spans="3:17" x14ac:dyDescent="0.35">
      <c r="C401" t="s">
        <v>326</v>
      </c>
      <c r="D401">
        <v>53059501</v>
      </c>
      <c r="E401" t="s">
        <v>327</v>
      </c>
      <c r="F401" s="26">
        <v>11891856.09</v>
      </c>
      <c r="G401" t="s">
        <v>1016</v>
      </c>
      <c r="H401" s="2">
        <v>45808</v>
      </c>
      <c r="I401" t="s">
        <v>1053</v>
      </c>
      <c r="J401" t="s">
        <v>1053</v>
      </c>
      <c r="K401" t="s">
        <v>35</v>
      </c>
      <c r="O401" s="10">
        <f t="shared" ref="O401:O402" si="14">+MONTH(H401)</f>
        <v>5</v>
      </c>
      <c r="P401" s="10">
        <f t="shared" ref="P401:P402" si="15">+YEAR(H401)</f>
        <v>2025</v>
      </c>
      <c r="Q401" t="str">
        <f>+VLOOKUP(O401,'COMISIONES ENERO-MARZO 2025 (2)'!$X:$Y,2,0)</f>
        <v>Mayo</v>
      </c>
    </row>
    <row r="402" spans="3:17" x14ac:dyDescent="0.35">
      <c r="C402" t="s">
        <v>326</v>
      </c>
      <c r="D402">
        <v>53059501</v>
      </c>
      <c r="E402" t="s">
        <v>327</v>
      </c>
      <c r="F402" s="26">
        <v>703</v>
      </c>
      <c r="G402" t="s">
        <v>1081</v>
      </c>
      <c r="H402" s="2">
        <v>45808</v>
      </c>
      <c r="I402" t="s">
        <v>1088</v>
      </c>
      <c r="J402" t="s">
        <v>1089</v>
      </c>
      <c r="K402" t="s">
        <v>35</v>
      </c>
      <c r="O402" s="10">
        <f t="shared" si="14"/>
        <v>5</v>
      </c>
      <c r="P402" s="10">
        <f t="shared" si="15"/>
        <v>2025</v>
      </c>
      <c r="Q402" t="str">
        <f>+VLOOKUP(O402,'COMISIONES ENERO-MARZO 2025 (2)'!$X:$Y,2,0)</f>
        <v>Mayo</v>
      </c>
    </row>
    <row r="403" spans="3:17" s="21" customFormat="1" x14ac:dyDescent="0.35">
      <c r="C403" s="21" t="s">
        <v>326</v>
      </c>
      <c r="D403" s="21">
        <v>53059501</v>
      </c>
      <c r="E403" s="21" t="s">
        <v>327</v>
      </c>
      <c r="F403" s="28">
        <v>-6127055.3700000001</v>
      </c>
      <c r="G403" s="21" t="s">
        <v>1090</v>
      </c>
      <c r="H403" s="23">
        <v>45828</v>
      </c>
      <c r="I403" s="21" t="s">
        <v>1091</v>
      </c>
      <c r="J403" s="21" t="s">
        <v>1092</v>
      </c>
      <c r="K403" s="21" t="s">
        <v>42</v>
      </c>
      <c r="O403" s="27">
        <f t="shared" ref="O403:O423" si="16">+MONTH(H403)</f>
        <v>6</v>
      </c>
      <c r="P403" s="27">
        <f t="shared" ref="P403:P423" si="17">+YEAR(H403)</f>
        <v>2025</v>
      </c>
      <c r="Q403" s="21" t="str">
        <f>+VLOOKUP(O403,'COMISIONES ENERO-MARZO 2025 (2)'!$X:$Y,2,0)</f>
        <v>Junio</v>
      </c>
    </row>
    <row r="404" spans="3:17" x14ac:dyDescent="0.35">
      <c r="C404" t="s">
        <v>326</v>
      </c>
      <c r="D404">
        <v>53059501</v>
      </c>
      <c r="E404" t="s">
        <v>327</v>
      </c>
      <c r="F404" s="26">
        <v>13.04</v>
      </c>
      <c r="G404" t="s">
        <v>1090</v>
      </c>
      <c r="H404" s="2">
        <v>45828</v>
      </c>
      <c r="I404" t="s">
        <v>1093</v>
      </c>
      <c r="J404" t="s">
        <v>1092</v>
      </c>
      <c r="K404" t="s">
        <v>534</v>
      </c>
      <c r="O404" s="10">
        <f t="shared" si="16"/>
        <v>6</v>
      </c>
      <c r="P404" s="10">
        <f t="shared" si="17"/>
        <v>2025</v>
      </c>
      <c r="Q404" t="str">
        <f>+VLOOKUP(O404,'COMISIONES ENERO-MARZO 2025 (2)'!$X:$Y,2,0)</f>
        <v>Junio</v>
      </c>
    </row>
    <row r="405" spans="3:17" x14ac:dyDescent="0.35">
      <c r="C405" t="s">
        <v>326</v>
      </c>
      <c r="D405">
        <v>53059501</v>
      </c>
      <c r="E405" t="s">
        <v>327</v>
      </c>
      <c r="F405" s="26">
        <v>728.28</v>
      </c>
      <c r="G405" t="s">
        <v>1090</v>
      </c>
      <c r="H405" s="2">
        <v>45828</v>
      </c>
      <c r="I405" t="s">
        <v>1094</v>
      </c>
      <c r="J405" t="s">
        <v>1092</v>
      </c>
      <c r="K405" t="s">
        <v>534</v>
      </c>
      <c r="O405" s="10">
        <f t="shared" si="16"/>
        <v>6</v>
      </c>
      <c r="P405" s="10">
        <f t="shared" si="17"/>
        <v>2025</v>
      </c>
      <c r="Q405" t="str">
        <f>+VLOOKUP(O405,'COMISIONES ENERO-MARZO 2025 (2)'!$X:$Y,2,0)</f>
        <v>Junio</v>
      </c>
    </row>
    <row r="406" spans="3:17" x14ac:dyDescent="0.35">
      <c r="C406" t="s">
        <v>326</v>
      </c>
      <c r="D406">
        <v>53059501</v>
      </c>
      <c r="E406" t="s">
        <v>327</v>
      </c>
      <c r="F406" s="26">
        <v>798363.38</v>
      </c>
      <c r="G406" t="s">
        <v>1095</v>
      </c>
      <c r="H406" s="2">
        <v>45838</v>
      </c>
      <c r="I406" t="s">
        <v>1096</v>
      </c>
      <c r="J406" t="s">
        <v>1096</v>
      </c>
      <c r="K406" t="s">
        <v>29</v>
      </c>
      <c r="O406" s="10">
        <f t="shared" si="16"/>
        <v>6</v>
      </c>
      <c r="P406" s="10">
        <f t="shared" si="17"/>
        <v>2025</v>
      </c>
      <c r="Q406" t="str">
        <f>+VLOOKUP(O406,'COMISIONES ENERO-MARZO 2025 (2)'!$X:$Y,2,0)</f>
        <v>Junio</v>
      </c>
    </row>
    <row r="407" spans="3:17" x14ac:dyDescent="0.35">
      <c r="C407" t="s">
        <v>326</v>
      </c>
      <c r="D407">
        <v>53059501</v>
      </c>
      <c r="E407" t="s">
        <v>327</v>
      </c>
      <c r="F407" s="26">
        <v>723.18</v>
      </c>
      <c r="G407" t="s">
        <v>1097</v>
      </c>
      <c r="H407" s="2">
        <v>45838</v>
      </c>
      <c r="I407" t="s">
        <v>1098</v>
      </c>
      <c r="J407" t="s">
        <v>1098</v>
      </c>
      <c r="K407" t="s">
        <v>534</v>
      </c>
      <c r="O407" s="10">
        <f t="shared" si="16"/>
        <v>6</v>
      </c>
      <c r="P407" s="10">
        <f t="shared" si="17"/>
        <v>2025</v>
      </c>
      <c r="Q407" t="str">
        <f>+VLOOKUP(O407,'COMISIONES ENERO-MARZO 2025 (2)'!$X:$Y,2,0)</f>
        <v>Junio</v>
      </c>
    </row>
    <row r="408" spans="3:17" x14ac:dyDescent="0.35">
      <c r="C408" t="s">
        <v>326</v>
      </c>
      <c r="D408">
        <v>53059501</v>
      </c>
      <c r="E408" t="s">
        <v>327</v>
      </c>
      <c r="F408" s="26">
        <v>1935948.55</v>
      </c>
      <c r="G408" t="s">
        <v>1099</v>
      </c>
      <c r="H408" s="2">
        <v>45838</v>
      </c>
      <c r="I408" t="s">
        <v>1100</v>
      </c>
      <c r="J408" t="s">
        <v>1100</v>
      </c>
      <c r="K408" t="s">
        <v>616</v>
      </c>
      <c r="O408" s="10">
        <f t="shared" si="16"/>
        <v>6</v>
      </c>
      <c r="P408" s="10">
        <f t="shared" si="17"/>
        <v>2025</v>
      </c>
      <c r="Q408" t="str">
        <f>+VLOOKUP(O408,'COMISIONES ENERO-MARZO 2025 (2)'!$X:$Y,2,0)</f>
        <v>Junio</v>
      </c>
    </row>
    <row r="409" spans="3:17" x14ac:dyDescent="0.35">
      <c r="C409" t="s">
        <v>326</v>
      </c>
      <c r="D409">
        <v>53059501</v>
      </c>
      <c r="E409" t="s">
        <v>327</v>
      </c>
      <c r="F409" s="26">
        <v>42141972</v>
      </c>
      <c r="G409" t="s">
        <v>1101</v>
      </c>
      <c r="H409" s="2">
        <v>45838</v>
      </c>
      <c r="I409" t="s">
        <v>1102</v>
      </c>
      <c r="J409" t="s">
        <v>1102</v>
      </c>
      <c r="K409" t="s">
        <v>19</v>
      </c>
      <c r="O409" s="10">
        <f t="shared" si="16"/>
        <v>6</v>
      </c>
      <c r="P409" s="10">
        <f t="shared" si="17"/>
        <v>2025</v>
      </c>
      <c r="Q409" t="str">
        <f>+VLOOKUP(O409,'COMISIONES ENERO-MARZO 2025 (2)'!$X:$Y,2,0)</f>
        <v>Junio</v>
      </c>
    </row>
    <row r="410" spans="3:17" x14ac:dyDescent="0.35">
      <c r="C410" t="s">
        <v>326</v>
      </c>
      <c r="D410">
        <v>53059501</v>
      </c>
      <c r="E410" t="s">
        <v>327</v>
      </c>
      <c r="F410" s="26">
        <v>353</v>
      </c>
      <c r="G410" t="s">
        <v>1103</v>
      </c>
      <c r="H410" s="2">
        <v>45838</v>
      </c>
      <c r="I410" t="s">
        <v>1104</v>
      </c>
      <c r="J410" t="s">
        <v>1104</v>
      </c>
      <c r="K410" t="s">
        <v>19</v>
      </c>
      <c r="O410" s="10">
        <f t="shared" si="16"/>
        <v>6</v>
      </c>
      <c r="P410" s="10">
        <f t="shared" si="17"/>
        <v>2025</v>
      </c>
      <c r="Q410" t="str">
        <f>+VLOOKUP(O410,'COMISIONES ENERO-MARZO 2025 (2)'!$X:$Y,2,0)</f>
        <v>Junio</v>
      </c>
    </row>
    <row r="411" spans="3:17" x14ac:dyDescent="0.35">
      <c r="C411" t="s">
        <v>326</v>
      </c>
      <c r="D411">
        <v>53059501</v>
      </c>
      <c r="E411" t="s">
        <v>327</v>
      </c>
      <c r="F411" s="26">
        <v>28470</v>
      </c>
      <c r="G411" t="s">
        <v>1105</v>
      </c>
      <c r="H411" s="2">
        <v>45838</v>
      </c>
      <c r="I411" t="s">
        <v>1106</v>
      </c>
      <c r="J411" t="s">
        <v>1106</v>
      </c>
      <c r="K411" t="s">
        <v>19</v>
      </c>
      <c r="O411" s="10">
        <f t="shared" si="16"/>
        <v>6</v>
      </c>
      <c r="P411" s="10">
        <f t="shared" si="17"/>
        <v>2025</v>
      </c>
      <c r="Q411" t="str">
        <f>+VLOOKUP(O411,'COMISIONES ENERO-MARZO 2025 (2)'!$X:$Y,2,0)</f>
        <v>Junio</v>
      </c>
    </row>
    <row r="412" spans="3:17" x14ac:dyDescent="0.35">
      <c r="C412" t="s">
        <v>326</v>
      </c>
      <c r="D412">
        <v>53059501</v>
      </c>
      <c r="E412" t="s">
        <v>327</v>
      </c>
      <c r="F412" s="26">
        <v>37498202.25</v>
      </c>
      <c r="G412" t="s">
        <v>1107</v>
      </c>
      <c r="H412" s="2">
        <v>45838</v>
      </c>
      <c r="I412" t="s">
        <v>1108</v>
      </c>
      <c r="J412" t="s">
        <v>1108</v>
      </c>
      <c r="K412" t="s">
        <v>29</v>
      </c>
      <c r="O412" s="10">
        <f t="shared" si="16"/>
        <v>6</v>
      </c>
      <c r="P412" s="10">
        <f t="shared" si="17"/>
        <v>2025</v>
      </c>
      <c r="Q412" t="str">
        <f>+VLOOKUP(O412,'COMISIONES ENERO-MARZO 2025 (2)'!$X:$Y,2,0)</f>
        <v>Junio</v>
      </c>
    </row>
    <row r="413" spans="3:17" x14ac:dyDescent="0.35">
      <c r="C413" t="s">
        <v>326</v>
      </c>
      <c r="D413">
        <v>53059501</v>
      </c>
      <c r="E413" t="s">
        <v>327</v>
      </c>
      <c r="F413" s="26">
        <v>19168.23</v>
      </c>
      <c r="G413" t="s">
        <v>1109</v>
      </c>
      <c r="H413" s="2">
        <v>45838</v>
      </c>
      <c r="I413" t="s">
        <v>1110</v>
      </c>
      <c r="J413" t="s">
        <v>1110</v>
      </c>
      <c r="K413" t="s">
        <v>29</v>
      </c>
      <c r="O413" s="10">
        <f t="shared" si="16"/>
        <v>6</v>
      </c>
      <c r="P413" s="10">
        <f t="shared" si="17"/>
        <v>2025</v>
      </c>
      <c r="Q413" t="str">
        <f>+VLOOKUP(O413,'COMISIONES ENERO-MARZO 2025 (2)'!$X:$Y,2,0)</f>
        <v>Junio</v>
      </c>
    </row>
    <row r="414" spans="3:17" x14ac:dyDescent="0.35">
      <c r="C414" t="s">
        <v>326</v>
      </c>
      <c r="D414">
        <v>53059501</v>
      </c>
      <c r="E414" t="s">
        <v>327</v>
      </c>
      <c r="F414" s="26">
        <v>20608798.379999999</v>
      </c>
      <c r="G414" t="s">
        <v>1111</v>
      </c>
      <c r="H414" s="2">
        <v>45838</v>
      </c>
      <c r="I414" t="s">
        <v>1112</v>
      </c>
      <c r="J414" t="s">
        <v>1112</v>
      </c>
      <c r="K414" t="s">
        <v>35</v>
      </c>
      <c r="O414" s="10">
        <f t="shared" si="16"/>
        <v>6</v>
      </c>
      <c r="P414" s="10">
        <f t="shared" si="17"/>
        <v>2025</v>
      </c>
      <c r="Q414" t="str">
        <f>+VLOOKUP(O414,'COMISIONES ENERO-MARZO 2025 (2)'!$X:$Y,2,0)</f>
        <v>Junio</v>
      </c>
    </row>
    <row r="415" spans="3:17" x14ac:dyDescent="0.35">
      <c r="C415" t="s">
        <v>326</v>
      </c>
      <c r="D415">
        <v>53059501</v>
      </c>
      <c r="E415" t="s">
        <v>327</v>
      </c>
      <c r="F415" s="26">
        <v>1662.4</v>
      </c>
      <c r="G415" t="s">
        <v>1113</v>
      </c>
      <c r="H415" s="2">
        <v>45838</v>
      </c>
      <c r="I415" t="s">
        <v>1114</v>
      </c>
      <c r="J415" t="s">
        <v>1114</v>
      </c>
      <c r="K415" t="s">
        <v>25</v>
      </c>
      <c r="O415" s="10">
        <f t="shared" si="16"/>
        <v>6</v>
      </c>
      <c r="P415" s="10">
        <f t="shared" si="17"/>
        <v>2025</v>
      </c>
      <c r="Q415" t="str">
        <f>+VLOOKUP(O415,'COMISIONES ENERO-MARZO 2025 (2)'!$X:$Y,2,0)</f>
        <v>Junio</v>
      </c>
    </row>
    <row r="416" spans="3:17" x14ac:dyDescent="0.35">
      <c r="C416" t="s">
        <v>326</v>
      </c>
      <c r="D416">
        <v>53059501</v>
      </c>
      <c r="E416" t="s">
        <v>327</v>
      </c>
      <c r="F416" s="26">
        <v>207969.25</v>
      </c>
      <c r="G416" t="s">
        <v>1177</v>
      </c>
      <c r="H416" s="2">
        <v>45838</v>
      </c>
      <c r="I416" t="s">
        <v>1178</v>
      </c>
      <c r="J416" t="s">
        <v>1179</v>
      </c>
      <c r="K416" t="s">
        <v>75</v>
      </c>
      <c r="O416" s="10">
        <f t="shared" si="16"/>
        <v>6</v>
      </c>
      <c r="P416" s="10">
        <f t="shared" si="17"/>
        <v>2025</v>
      </c>
      <c r="Q416" t="str">
        <f>+VLOOKUP(O416,'COMISIONES ENERO-MARZO 2025 (2)'!$X:$Y,2,0)</f>
        <v>Junio</v>
      </c>
    </row>
    <row r="417" spans="3:17" x14ac:dyDescent="0.35">
      <c r="C417" t="s">
        <v>326</v>
      </c>
      <c r="D417">
        <v>53059501</v>
      </c>
      <c r="E417" t="s">
        <v>327</v>
      </c>
      <c r="F417" s="26">
        <v>13551.72</v>
      </c>
      <c r="G417" t="s">
        <v>1177</v>
      </c>
      <c r="H417" s="2">
        <v>45838</v>
      </c>
      <c r="I417" t="s">
        <v>1180</v>
      </c>
      <c r="J417" t="s">
        <v>1179</v>
      </c>
      <c r="K417" t="s">
        <v>75</v>
      </c>
      <c r="O417" s="10">
        <f t="shared" si="16"/>
        <v>6</v>
      </c>
      <c r="P417" s="10">
        <f t="shared" si="17"/>
        <v>2025</v>
      </c>
      <c r="Q417" t="str">
        <f>+VLOOKUP(O417,'COMISIONES ENERO-MARZO 2025 (2)'!$X:$Y,2,0)</f>
        <v>Junio</v>
      </c>
    </row>
    <row r="418" spans="3:17" x14ac:dyDescent="0.35">
      <c r="C418" t="s">
        <v>326</v>
      </c>
      <c r="D418">
        <v>53059501</v>
      </c>
      <c r="E418" t="s">
        <v>327</v>
      </c>
      <c r="F418" s="26">
        <v>21730.400000000001</v>
      </c>
      <c r="G418" t="s">
        <v>1115</v>
      </c>
      <c r="H418" s="2">
        <v>45812</v>
      </c>
      <c r="I418" t="s">
        <v>155</v>
      </c>
      <c r="J418" t="s">
        <v>155</v>
      </c>
      <c r="K418" t="s">
        <v>29</v>
      </c>
      <c r="O418" s="10">
        <f t="shared" si="16"/>
        <v>6</v>
      </c>
      <c r="P418" s="10">
        <f t="shared" si="17"/>
        <v>2025</v>
      </c>
      <c r="Q418" t="str">
        <f>+VLOOKUP(O418,'COMISIONES ENERO-MARZO 2025 (2)'!$X:$Y,2,0)</f>
        <v>Junio</v>
      </c>
    </row>
    <row r="419" spans="3:17" x14ac:dyDescent="0.35">
      <c r="C419" t="s">
        <v>326</v>
      </c>
      <c r="D419">
        <v>53059501</v>
      </c>
      <c r="E419" t="s">
        <v>327</v>
      </c>
      <c r="F419" s="26">
        <v>1136.8</v>
      </c>
      <c r="G419" t="s">
        <v>1116</v>
      </c>
      <c r="H419" s="2">
        <v>45813</v>
      </c>
      <c r="I419" t="s">
        <v>1117</v>
      </c>
      <c r="J419" t="s">
        <v>1117</v>
      </c>
      <c r="K419" t="s">
        <v>29</v>
      </c>
      <c r="O419" s="10">
        <f t="shared" si="16"/>
        <v>6</v>
      </c>
      <c r="P419" s="10">
        <f t="shared" si="17"/>
        <v>2025</v>
      </c>
      <c r="Q419" t="str">
        <f>+VLOOKUP(O419,'COMISIONES ENERO-MARZO 2025 (2)'!$X:$Y,2,0)</f>
        <v>Junio</v>
      </c>
    </row>
    <row r="420" spans="3:17" x14ac:dyDescent="0.35">
      <c r="C420" t="s">
        <v>326</v>
      </c>
      <c r="D420">
        <v>53059501</v>
      </c>
      <c r="E420" t="s">
        <v>327</v>
      </c>
      <c r="F420" s="26">
        <v>8056.8</v>
      </c>
      <c r="G420" t="s">
        <v>1118</v>
      </c>
      <c r="H420" s="2">
        <v>45818</v>
      </c>
      <c r="I420" t="s">
        <v>216</v>
      </c>
      <c r="J420" t="s">
        <v>216</v>
      </c>
      <c r="K420" t="s">
        <v>29</v>
      </c>
      <c r="O420" s="10">
        <f t="shared" si="16"/>
        <v>6</v>
      </c>
      <c r="P420" s="10">
        <f t="shared" si="17"/>
        <v>2025</v>
      </c>
      <c r="Q420" t="str">
        <f>+VLOOKUP(O420,'COMISIONES ENERO-MARZO 2025 (2)'!$X:$Y,2,0)</f>
        <v>Junio</v>
      </c>
    </row>
    <row r="421" spans="3:17" x14ac:dyDescent="0.35">
      <c r="C421" t="s">
        <v>326</v>
      </c>
      <c r="D421">
        <v>53059501</v>
      </c>
      <c r="E421" t="s">
        <v>327</v>
      </c>
      <c r="F421" s="26">
        <v>9336.7999999999993</v>
      </c>
      <c r="G421" t="s">
        <v>1119</v>
      </c>
      <c r="H421" s="2">
        <v>45820</v>
      </c>
      <c r="I421" t="s">
        <v>1120</v>
      </c>
      <c r="J421" t="s">
        <v>1120</v>
      </c>
      <c r="K421" t="s">
        <v>29</v>
      </c>
      <c r="O421" s="10">
        <f t="shared" si="16"/>
        <v>6</v>
      </c>
      <c r="P421" s="10">
        <f t="shared" si="17"/>
        <v>2025</v>
      </c>
      <c r="Q421" t="str">
        <f>+VLOOKUP(O421,'COMISIONES ENERO-MARZO 2025 (2)'!$X:$Y,2,0)</f>
        <v>Junio</v>
      </c>
    </row>
    <row r="422" spans="3:17" x14ac:dyDescent="0.35">
      <c r="C422" t="s">
        <v>326</v>
      </c>
      <c r="D422">
        <v>53059501</v>
      </c>
      <c r="E422" t="s">
        <v>327</v>
      </c>
      <c r="F422" s="26">
        <v>5656.8</v>
      </c>
      <c r="G422" t="s">
        <v>1121</v>
      </c>
      <c r="H422" s="2">
        <v>45824</v>
      </c>
      <c r="I422" t="s">
        <v>208</v>
      </c>
      <c r="J422" t="s">
        <v>208</v>
      </c>
      <c r="K422" t="s">
        <v>29</v>
      </c>
      <c r="O422" s="10">
        <f t="shared" si="16"/>
        <v>6</v>
      </c>
      <c r="P422" s="10">
        <f t="shared" si="17"/>
        <v>2025</v>
      </c>
      <c r="Q422" t="str">
        <f>+VLOOKUP(O422,'COMISIONES ENERO-MARZO 2025 (2)'!$X:$Y,2,0)</f>
        <v>Junio</v>
      </c>
    </row>
    <row r="423" spans="3:17" x14ac:dyDescent="0.35">
      <c r="C423" t="s">
        <v>326</v>
      </c>
      <c r="D423">
        <v>53059501</v>
      </c>
      <c r="E423" t="s">
        <v>327</v>
      </c>
      <c r="F423" s="26">
        <v>1536.8</v>
      </c>
      <c r="G423" t="s">
        <v>1122</v>
      </c>
      <c r="H423" s="2">
        <v>45832</v>
      </c>
      <c r="I423" t="s">
        <v>1123</v>
      </c>
      <c r="J423" t="s">
        <v>1123</v>
      </c>
      <c r="K423" t="s">
        <v>29</v>
      </c>
      <c r="O423" s="10">
        <f t="shared" si="16"/>
        <v>6</v>
      </c>
      <c r="P423" s="10">
        <f t="shared" si="17"/>
        <v>2025</v>
      </c>
      <c r="Q423" t="str">
        <f>+VLOOKUP(O423,'COMISIONES ENERO-MARZO 2025 (2)'!$X:$Y,2,0)</f>
        <v>Junio</v>
      </c>
    </row>
    <row r="424" spans="3:17" x14ac:dyDescent="0.35">
      <c r="C424" t="s">
        <v>326</v>
      </c>
      <c r="D424">
        <v>53059501</v>
      </c>
      <c r="E424" t="s">
        <v>327</v>
      </c>
      <c r="F424" s="26">
        <v>6776.8</v>
      </c>
      <c r="G424" t="s">
        <v>1124</v>
      </c>
      <c r="H424" s="2">
        <v>45832</v>
      </c>
      <c r="I424" t="s">
        <v>1125</v>
      </c>
      <c r="J424" t="s">
        <v>1125</v>
      </c>
      <c r="K424" t="s">
        <v>29</v>
      </c>
      <c r="O424" s="10">
        <f t="shared" ref="O424:O425" si="18">+MONTH(H424)</f>
        <v>6</v>
      </c>
      <c r="P424" s="10">
        <f t="shared" ref="P424:P425" si="19">+YEAR(H424)</f>
        <v>2025</v>
      </c>
      <c r="Q424" t="str">
        <f>+VLOOKUP(O424,'COMISIONES ENERO-MARZO 2025 (2)'!$X:$Y,2,0)</f>
        <v>Junio</v>
      </c>
    </row>
    <row r="425" spans="3:17" x14ac:dyDescent="0.35">
      <c r="C425" t="s">
        <v>326</v>
      </c>
      <c r="D425">
        <v>53059501</v>
      </c>
      <c r="E425" t="s">
        <v>327</v>
      </c>
      <c r="F425" s="26">
        <v>2392</v>
      </c>
      <c r="G425" t="s">
        <v>1126</v>
      </c>
      <c r="H425" s="2">
        <v>45838</v>
      </c>
      <c r="I425" t="s">
        <v>1127</v>
      </c>
      <c r="J425" t="s">
        <v>1128</v>
      </c>
      <c r="K425" t="s">
        <v>35</v>
      </c>
      <c r="O425" s="10">
        <f t="shared" si="18"/>
        <v>6</v>
      </c>
      <c r="P425" s="10">
        <f t="shared" si="19"/>
        <v>2025</v>
      </c>
      <c r="Q425" t="str">
        <f>+VLOOKUP(O425,'COMISIONES ENERO-MARZO 2025 (2)'!$X:$Y,2,0)</f>
        <v>Junio</v>
      </c>
    </row>
    <row r="426" spans="3:17" x14ac:dyDescent="0.35">
      <c r="C426" t="s">
        <v>326</v>
      </c>
      <c r="D426">
        <v>53059501</v>
      </c>
      <c r="E426" t="s">
        <v>327</v>
      </c>
      <c r="F426" s="1">
        <v>348</v>
      </c>
      <c r="G426" t="s">
        <v>1235</v>
      </c>
      <c r="H426" s="2">
        <v>45869</v>
      </c>
      <c r="I426" t="s">
        <v>1236</v>
      </c>
      <c r="J426" t="s">
        <v>1236</v>
      </c>
      <c r="K426" t="s">
        <v>40</v>
      </c>
      <c r="O426" s="10">
        <f t="shared" ref="O426:O454" si="20">+MONTH(H426)</f>
        <v>7</v>
      </c>
      <c r="P426" s="10">
        <f t="shared" ref="P426:P454" si="21">+YEAR(H426)</f>
        <v>2025</v>
      </c>
      <c r="Q426" t="str">
        <f>+VLOOKUP(O426,'COMISIONES ENERO-MARZO 2025 (2)'!$X:$Y,2,0)</f>
        <v>Julio</v>
      </c>
    </row>
    <row r="427" spans="3:17" x14ac:dyDescent="0.35">
      <c r="C427" t="s">
        <v>326</v>
      </c>
      <c r="D427">
        <v>53059501</v>
      </c>
      <c r="E427" t="s">
        <v>327</v>
      </c>
      <c r="F427" s="1">
        <v>62655803</v>
      </c>
      <c r="G427" t="s">
        <v>1237</v>
      </c>
      <c r="H427" s="2">
        <v>45869</v>
      </c>
      <c r="I427" t="s">
        <v>1238</v>
      </c>
      <c r="J427" t="s">
        <v>1238</v>
      </c>
      <c r="K427" t="s">
        <v>19</v>
      </c>
      <c r="O427" s="10">
        <f t="shared" si="20"/>
        <v>7</v>
      </c>
      <c r="P427" s="10">
        <f t="shared" si="21"/>
        <v>2025</v>
      </c>
      <c r="Q427" t="str">
        <f>+VLOOKUP(O427,'COMISIONES ENERO-MARZO 2025 (2)'!$X:$Y,2,0)</f>
        <v>Julio</v>
      </c>
    </row>
    <row r="428" spans="3:17" x14ac:dyDescent="0.35">
      <c r="C428" t="s">
        <v>326</v>
      </c>
      <c r="D428">
        <v>53059501</v>
      </c>
      <c r="E428" t="s">
        <v>327</v>
      </c>
      <c r="F428" s="1">
        <v>19554</v>
      </c>
      <c r="G428" t="s">
        <v>1239</v>
      </c>
      <c r="H428" s="2">
        <v>45869</v>
      </c>
      <c r="I428" t="s">
        <v>1240</v>
      </c>
      <c r="J428" t="s">
        <v>1240</v>
      </c>
      <c r="K428" t="s">
        <v>19</v>
      </c>
      <c r="O428" s="10">
        <f t="shared" si="20"/>
        <v>7</v>
      </c>
      <c r="P428" s="10">
        <f t="shared" si="21"/>
        <v>2025</v>
      </c>
      <c r="Q428" t="str">
        <f>+VLOOKUP(O428,'COMISIONES ENERO-MARZO 2025 (2)'!$X:$Y,2,0)</f>
        <v>Julio</v>
      </c>
    </row>
    <row r="429" spans="3:17" x14ac:dyDescent="0.35">
      <c r="C429" t="s">
        <v>326</v>
      </c>
      <c r="D429">
        <v>53059501</v>
      </c>
      <c r="E429" t="s">
        <v>327</v>
      </c>
      <c r="F429" s="1">
        <v>53000</v>
      </c>
      <c r="G429" t="s">
        <v>1280</v>
      </c>
      <c r="H429" s="2">
        <v>45869</v>
      </c>
      <c r="I429" t="s">
        <v>1281</v>
      </c>
      <c r="J429" t="s">
        <v>1281</v>
      </c>
      <c r="K429" t="s">
        <v>19</v>
      </c>
      <c r="O429" s="10">
        <f t="shared" si="20"/>
        <v>7</v>
      </c>
      <c r="P429" s="10">
        <f t="shared" si="21"/>
        <v>2025</v>
      </c>
      <c r="Q429" t="str">
        <f>+VLOOKUP(O429,'COMISIONES ENERO-MARZO 2025 (2)'!$X:$Y,2,0)</f>
        <v>Julio</v>
      </c>
    </row>
    <row r="430" spans="3:17" x14ac:dyDescent="0.35">
      <c r="C430" t="s">
        <v>326</v>
      </c>
      <c r="D430">
        <v>53059501</v>
      </c>
      <c r="E430" t="s">
        <v>327</v>
      </c>
      <c r="F430" s="1">
        <v>27735481.82</v>
      </c>
      <c r="G430" t="s">
        <v>1241</v>
      </c>
      <c r="H430" s="2">
        <v>45869</v>
      </c>
      <c r="I430" t="s">
        <v>1242</v>
      </c>
      <c r="J430" t="s">
        <v>1242</v>
      </c>
      <c r="K430" t="s">
        <v>35</v>
      </c>
      <c r="O430" s="10">
        <f t="shared" si="20"/>
        <v>7</v>
      </c>
      <c r="P430" s="10">
        <f t="shared" si="21"/>
        <v>2025</v>
      </c>
      <c r="Q430" t="str">
        <f>+VLOOKUP(O430,'COMISIONES ENERO-MARZO 2025 (2)'!$X:$Y,2,0)</f>
        <v>Julio</v>
      </c>
    </row>
    <row r="431" spans="3:17" x14ac:dyDescent="0.35">
      <c r="C431" t="s">
        <v>326</v>
      </c>
      <c r="D431">
        <v>53059501</v>
      </c>
      <c r="E431" t="s">
        <v>327</v>
      </c>
      <c r="F431" s="1">
        <v>-20836</v>
      </c>
      <c r="G431" t="s">
        <v>1282</v>
      </c>
      <c r="H431" s="2">
        <v>45869</v>
      </c>
      <c r="I431" t="s">
        <v>1283</v>
      </c>
      <c r="J431" t="s">
        <v>1283</v>
      </c>
      <c r="K431" t="s">
        <v>19</v>
      </c>
      <c r="O431" s="10">
        <f t="shared" si="20"/>
        <v>7</v>
      </c>
      <c r="P431" s="10">
        <f t="shared" si="21"/>
        <v>2025</v>
      </c>
      <c r="Q431" t="str">
        <f>+VLOOKUP(O431,'COMISIONES ENERO-MARZO 2025 (2)'!$X:$Y,2,0)</f>
        <v>Julio</v>
      </c>
    </row>
    <row r="432" spans="3:17" x14ac:dyDescent="0.35">
      <c r="C432" t="s">
        <v>326</v>
      </c>
      <c r="D432">
        <v>53059501</v>
      </c>
      <c r="E432" t="s">
        <v>327</v>
      </c>
      <c r="F432" s="1">
        <v>58507722.280000001</v>
      </c>
      <c r="G432" t="s">
        <v>1243</v>
      </c>
      <c r="H432" s="2">
        <v>45869</v>
      </c>
      <c r="I432" t="s">
        <v>1244</v>
      </c>
      <c r="J432" t="s">
        <v>1244</v>
      </c>
      <c r="K432" t="s">
        <v>29</v>
      </c>
      <c r="O432" s="10">
        <f t="shared" si="20"/>
        <v>7</v>
      </c>
      <c r="P432" s="10">
        <f t="shared" si="21"/>
        <v>2025</v>
      </c>
      <c r="Q432" t="str">
        <f>+VLOOKUP(O432,'COMISIONES ENERO-MARZO 2025 (2)'!$X:$Y,2,0)</f>
        <v>Julio</v>
      </c>
    </row>
    <row r="433" spans="3:17" x14ac:dyDescent="0.35">
      <c r="C433" t="s">
        <v>326</v>
      </c>
      <c r="D433">
        <v>53059501</v>
      </c>
      <c r="E433" t="s">
        <v>327</v>
      </c>
      <c r="F433" s="1">
        <v>5327565.2699999996</v>
      </c>
      <c r="G433" t="s">
        <v>1245</v>
      </c>
      <c r="H433" s="2">
        <v>45869</v>
      </c>
      <c r="I433" t="s">
        <v>1246</v>
      </c>
      <c r="J433" t="s">
        <v>1246</v>
      </c>
      <c r="K433" t="s">
        <v>29</v>
      </c>
      <c r="O433" s="10">
        <f t="shared" si="20"/>
        <v>7</v>
      </c>
      <c r="P433" s="10">
        <f t="shared" si="21"/>
        <v>2025</v>
      </c>
      <c r="Q433" t="str">
        <f>+VLOOKUP(O433,'COMISIONES ENERO-MARZO 2025 (2)'!$X:$Y,2,0)</f>
        <v>Julio</v>
      </c>
    </row>
    <row r="434" spans="3:17" x14ac:dyDescent="0.35">
      <c r="C434" t="s">
        <v>326</v>
      </c>
      <c r="D434">
        <v>53059501</v>
      </c>
      <c r="E434" t="s">
        <v>327</v>
      </c>
      <c r="F434" s="1">
        <v>104653.34</v>
      </c>
      <c r="G434" t="s">
        <v>1284</v>
      </c>
      <c r="H434" s="2">
        <v>45869</v>
      </c>
      <c r="I434" t="s">
        <v>1285</v>
      </c>
      <c r="J434" t="s">
        <v>1285</v>
      </c>
      <c r="K434" t="s">
        <v>29</v>
      </c>
      <c r="O434" s="10">
        <f t="shared" si="20"/>
        <v>7</v>
      </c>
      <c r="P434" s="10">
        <f t="shared" si="21"/>
        <v>2025</v>
      </c>
      <c r="Q434" t="str">
        <f>+VLOOKUP(O434,'COMISIONES ENERO-MARZO 2025 (2)'!$X:$Y,2,0)</f>
        <v>Julio</v>
      </c>
    </row>
    <row r="435" spans="3:17" x14ac:dyDescent="0.35">
      <c r="C435" t="s">
        <v>326</v>
      </c>
      <c r="D435">
        <v>53059501</v>
      </c>
      <c r="E435" t="s">
        <v>327</v>
      </c>
      <c r="F435" s="1">
        <v>307774.18</v>
      </c>
      <c r="G435" t="s">
        <v>1249</v>
      </c>
      <c r="H435" s="2">
        <v>45869</v>
      </c>
      <c r="I435" t="s">
        <v>1250</v>
      </c>
      <c r="J435" t="s">
        <v>1250</v>
      </c>
      <c r="K435" t="s">
        <v>534</v>
      </c>
      <c r="O435" s="10">
        <f t="shared" si="20"/>
        <v>7</v>
      </c>
      <c r="P435" s="10">
        <f t="shared" si="21"/>
        <v>2025</v>
      </c>
      <c r="Q435" t="str">
        <f>+VLOOKUP(O435,'COMISIONES ENERO-MARZO 2025 (2)'!$X:$Y,2,0)</f>
        <v>Julio</v>
      </c>
    </row>
    <row r="436" spans="3:17" x14ac:dyDescent="0.35">
      <c r="C436" t="s">
        <v>326</v>
      </c>
      <c r="D436">
        <v>53059501</v>
      </c>
      <c r="E436" t="s">
        <v>327</v>
      </c>
      <c r="F436" s="1">
        <v>1218953.3899999999</v>
      </c>
      <c r="G436" t="s">
        <v>1253</v>
      </c>
      <c r="H436" s="2">
        <v>45869</v>
      </c>
      <c r="I436" t="s">
        <v>1254</v>
      </c>
      <c r="J436" t="s">
        <v>1254</v>
      </c>
      <c r="K436" t="s">
        <v>25</v>
      </c>
      <c r="O436" s="10">
        <f t="shared" si="20"/>
        <v>7</v>
      </c>
      <c r="P436" s="10">
        <f t="shared" si="21"/>
        <v>2025</v>
      </c>
      <c r="Q436" t="str">
        <f>+VLOOKUP(O436,'COMISIONES ENERO-MARZO 2025 (2)'!$X:$Y,2,0)</f>
        <v>Julio</v>
      </c>
    </row>
    <row r="437" spans="3:17" x14ac:dyDescent="0.35">
      <c r="C437" t="s">
        <v>326</v>
      </c>
      <c r="D437">
        <v>53059501</v>
      </c>
      <c r="E437" t="s">
        <v>327</v>
      </c>
      <c r="F437" s="1">
        <v>-623060.35</v>
      </c>
      <c r="G437" t="s">
        <v>1286</v>
      </c>
      <c r="H437" s="2">
        <v>45869</v>
      </c>
      <c r="I437" t="s">
        <v>1287</v>
      </c>
      <c r="J437" t="s">
        <v>1287</v>
      </c>
      <c r="K437" t="s">
        <v>42</v>
      </c>
      <c r="O437" s="10">
        <f t="shared" si="20"/>
        <v>7</v>
      </c>
      <c r="P437" s="10">
        <f t="shared" si="21"/>
        <v>2025</v>
      </c>
      <c r="Q437" t="str">
        <f>+VLOOKUP(O437,'COMISIONES ENERO-MARZO 2025 (2)'!$X:$Y,2,0)</f>
        <v>Julio</v>
      </c>
    </row>
    <row r="438" spans="3:17" x14ac:dyDescent="0.35">
      <c r="C438" t="s">
        <v>326</v>
      </c>
      <c r="D438">
        <v>53059501</v>
      </c>
      <c r="E438" t="s">
        <v>327</v>
      </c>
      <c r="F438" s="1">
        <v>1911572.96</v>
      </c>
      <c r="G438" t="s">
        <v>1288</v>
      </c>
      <c r="H438" s="2">
        <v>45869</v>
      </c>
      <c r="I438" t="s">
        <v>1289</v>
      </c>
      <c r="J438" t="s">
        <v>1289</v>
      </c>
      <c r="K438" t="s">
        <v>616</v>
      </c>
      <c r="O438" s="10">
        <f t="shared" si="20"/>
        <v>7</v>
      </c>
      <c r="P438" s="10">
        <f t="shared" si="21"/>
        <v>2025</v>
      </c>
      <c r="Q438" t="str">
        <f>+VLOOKUP(O438,'COMISIONES ENERO-MARZO 2025 (2)'!$X:$Y,2,0)</f>
        <v>Julio</v>
      </c>
    </row>
    <row r="439" spans="3:17" x14ac:dyDescent="0.35">
      <c r="C439" t="s">
        <v>326</v>
      </c>
      <c r="D439">
        <v>53059501</v>
      </c>
      <c r="E439" t="s">
        <v>327</v>
      </c>
      <c r="F439" s="1">
        <v>4696.8</v>
      </c>
      <c r="G439" t="s">
        <v>1264</v>
      </c>
      <c r="H439" s="2">
        <v>45840</v>
      </c>
      <c r="I439" t="s">
        <v>155</v>
      </c>
      <c r="J439" t="s">
        <v>155</v>
      </c>
      <c r="K439" t="s">
        <v>29</v>
      </c>
      <c r="O439" s="10">
        <f t="shared" si="20"/>
        <v>7</v>
      </c>
      <c r="P439" s="10">
        <f t="shared" si="21"/>
        <v>2025</v>
      </c>
      <c r="Q439" t="str">
        <f>+VLOOKUP(O439,'COMISIONES ENERO-MARZO 2025 (2)'!$X:$Y,2,0)</f>
        <v>Julio</v>
      </c>
    </row>
    <row r="440" spans="3:17" x14ac:dyDescent="0.35">
      <c r="C440" t="s">
        <v>326</v>
      </c>
      <c r="D440">
        <v>53059501</v>
      </c>
      <c r="E440" t="s">
        <v>327</v>
      </c>
      <c r="F440" s="1">
        <v>5456.8</v>
      </c>
      <c r="G440" t="s">
        <v>1265</v>
      </c>
      <c r="H440" s="2">
        <v>45840</v>
      </c>
      <c r="I440" t="s">
        <v>208</v>
      </c>
      <c r="J440" t="s">
        <v>208</v>
      </c>
      <c r="K440" t="s">
        <v>29</v>
      </c>
      <c r="O440" s="10">
        <f t="shared" si="20"/>
        <v>7</v>
      </c>
      <c r="P440" s="10">
        <f t="shared" si="21"/>
        <v>2025</v>
      </c>
      <c r="Q440" t="str">
        <f>+VLOOKUP(O440,'COMISIONES ENERO-MARZO 2025 (2)'!$X:$Y,2,0)</f>
        <v>Julio</v>
      </c>
    </row>
    <row r="441" spans="3:17" x14ac:dyDescent="0.35">
      <c r="C441" t="s">
        <v>326</v>
      </c>
      <c r="D441">
        <v>53059501</v>
      </c>
      <c r="E441" t="s">
        <v>327</v>
      </c>
      <c r="F441" s="1">
        <v>9856.7999999999993</v>
      </c>
      <c r="G441" t="s">
        <v>1266</v>
      </c>
      <c r="H441" s="2">
        <v>45841</v>
      </c>
      <c r="I441" t="s">
        <v>208</v>
      </c>
      <c r="J441" t="s">
        <v>208</v>
      </c>
      <c r="K441" t="s">
        <v>29</v>
      </c>
      <c r="O441" s="10">
        <f t="shared" si="20"/>
        <v>7</v>
      </c>
      <c r="P441" s="10">
        <f t="shared" si="21"/>
        <v>2025</v>
      </c>
      <c r="Q441" t="str">
        <f>+VLOOKUP(O441,'COMISIONES ENERO-MARZO 2025 (2)'!$X:$Y,2,0)</f>
        <v>Julio</v>
      </c>
    </row>
    <row r="442" spans="3:17" x14ac:dyDescent="0.35">
      <c r="C442" t="s">
        <v>326</v>
      </c>
      <c r="D442">
        <v>53059501</v>
      </c>
      <c r="E442" t="s">
        <v>327</v>
      </c>
      <c r="F442" s="1">
        <v>7364</v>
      </c>
      <c r="G442" t="s">
        <v>1290</v>
      </c>
      <c r="H442" s="2">
        <v>45859</v>
      </c>
      <c r="I442" t="s">
        <v>1291</v>
      </c>
      <c r="J442" t="s">
        <v>1291</v>
      </c>
      <c r="K442" t="s">
        <v>19</v>
      </c>
      <c r="O442" s="10">
        <f t="shared" si="20"/>
        <v>7</v>
      </c>
      <c r="P442" s="10">
        <f t="shared" si="21"/>
        <v>2025</v>
      </c>
      <c r="Q442" t="str">
        <f>+VLOOKUP(O442,'COMISIONES ENERO-MARZO 2025 (2)'!$X:$Y,2,0)</f>
        <v>Julio</v>
      </c>
    </row>
    <row r="443" spans="3:17" x14ac:dyDescent="0.35">
      <c r="C443" t="s">
        <v>326</v>
      </c>
      <c r="D443">
        <v>53059501</v>
      </c>
      <c r="E443" t="s">
        <v>327</v>
      </c>
      <c r="F443" s="1">
        <v>116180</v>
      </c>
      <c r="G443" t="s">
        <v>1292</v>
      </c>
      <c r="H443" s="2">
        <v>45859</v>
      </c>
      <c r="I443" t="s">
        <v>1293</v>
      </c>
      <c r="J443" t="s">
        <v>1294</v>
      </c>
      <c r="K443" t="s">
        <v>19</v>
      </c>
      <c r="O443" s="10">
        <f t="shared" si="20"/>
        <v>7</v>
      </c>
      <c r="P443" s="10">
        <f t="shared" si="21"/>
        <v>2025</v>
      </c>
      <c r="Q443" t="str">
        <f>+VLOOKUP(O443,'COMISIONES ENERO-MARZO 2025 (2)'!$X:$Y,2,0)</f>
        <v>Julio</v>
      </c>
    </row>
    <row r="444" spans="3:17" x14ac:dyDescent="0.35">
      <c r="C444" t="s">
        <v>326</v>
      </c>
      <c r="D444">
        <v>53059501</v>
      </c>
      <c r="E444" t="s">
        <v>327</v>
      </c>
      <c r="F444" s="1">
        <v>60134</v>
      </c>
      <c r="G444" t="s">
        <v>1295</v>
      </c>
      <c r="H444" s="2">
        <v>45860</v>
      </c>
      <c r="I444" t="s">
        <v>1296</v>
      </c>
      <c r="J444" t="s">
        <v>1297</v>
      </c>
      <c r="K444" t="s">
        <v>35</v>
      </c>
      <c r="O444" s="10">
        <f t="shared" si="20"/>
        <v>7</v>
      </c>
      <c r="P444" s="10">
        <f t="shared" si="21"/>
        <v>2025</v>
      </c>
      <c r="Q444" t="str">
        <f>+VLOOKUP(O444,'COMISIONES ENERO-MARZO 2025 (2)'!$X:$Y,2,0)</f>
        <v>Julio</v>
      </c>
    </row>
    <row r="445" spans="3:17" x14ac:dyDescent="0.35">
      <c r="C445" t="s">
        <v>326</v>
      </c>
      <c r="D445">
        <v>53059501</v>
      </c>
      <c r="E445" t="s">
        <v>327</v>
      </c>
      <c r="F445" s="1">
        <v>4776.8</v>
      </c>
      <c r="G445" t="s">
        <v>1267</v>
      </c>
      <c r="H445" s="2">
        <v>45861</v>
      </c>
      <c r="I445" t="s">
        <v>208</v>
      </c>
      <c r="J445" t="s">
        <v>208</v>
      </c>
      <c r="K445" t="s">
        <v>29</v>
      </c>
      <c r="O445" s="10">
        <f t="shared" si="20"/>
        <v>7</v>
      </c>
      <c r="P445" s="10">
        <f t="shared" si="21"/>
        <v>2025</v>
      </c>
      <c r="Q445" t="str">
        <f>+VLOOKUP(O445,'COMISIONES ENERO-MARZO 2025 (2)'!$X:$Y,2,0)</f>
        <v>Julio</v>
      </c>
    </row>
    <row r="446" spans="3:17" x14ac:dyDescent="0.35">
      <c r="C446" t="s">
        <v>326</v>
      </c>
      <c r="D446">
        <v>53059501</v>
      </c>
      <c r="E446" t="s">
        <v>327</v>
      </c>
      <c r="F446" s="1">
        <v>4496.8</v>
      </c>
      <c r="G446" t="s">
        <v>1268</v>
      </c>
      <c r="H446" s="2">
        <v>45867</v>
      </c>
      <c r="I446" t="s">
        <v>1269</v>
      </c>
      <c r="J446" t="s">
        <v>1269</v>
      </c>
      <c r="K446" t="s">
        <v>29</v>
      </c>
      <c r="O446" s="10">
        <f t="shared" si="20"/>
        <v>7</v>
      </c>
      <c r="P446" s="10">
        <f t="shared" si="21"/>
        <v>2025</v>
      </c>
      <c r="Q446" t="str">
        <f>+VLOOKUP(O446,'COMISIONES ENERO-MARZO 2025 (2)'!$X:$Y,2,0)</f>
        <v>Julio</v>
      </c>
    </row>
    <row r="447" spans="3:17" x14ac:dyDescent="0.35">
      <c r="C447" t="s">
        <v>326</v>
      </c>
      <c r="D447">
        <v>53059501</v>
      </c>
      <c r="E447" t="s">
        <v>327</v>
      </c>
      <c r="F447" s="1">
        <v>7646.27</v>
      </c>
      <c r="G447" t="s">
        <v>1270</v>
      </c>
      <c r="H447" s="2">
        <v>45868</v>
      </c>
      <c r="I447" t="s">
        <v>1298</v>
      </c>
      <c r="J447" t="s">
        <v>1272</v>
      </c>
      <c r="K447" t="s">
        <v>534</v>
      </c>
      <c r="O447" s="10">
        <f t="shared" si="20"/>
        <v>7</v>
      </c>
      <c r="P447" s="10">
        <f t="shared" si="21"/>
        <v>2025</v>
      </c>
      <c r="Q447" t="str">
        <f>+VLOOKUP(O447,'COMISIONES ENERO-MARZO 2025 (2)'!$X:$Y,2,0)</f>
        <v>Julio</v>
      </c>
    </row>
    <row r="448" spans="3:17" x14ac:dyDescent="0.35">
      <c r="C448" t="s">
        <v>326</v>
      </c>
      <c r="D448">
        <v>53059501</v>
      </c>
      <c r="E448" t="s">
        <v>327</v>
      </c>
      <c r="F448" s="1">
        <v>6136.8</v>
      </c>
      <c r="G448" t="s">
        <v>1274</v>
      </c>
      <c r="H448" s="2">
        <v>45869</v>
      </c>
      <c r="I448" t="s">
        <v>1269</v>
      </c>
      <c r="J448" t="s">
        <v>1269</v>
      </c>
      <c r="K448" t="s">
        <v>29</v>
      </c>
      <c r="O448" s="10">
        <f t="shared" si="20"/>
        <v>7</v>
      </c>
      <c r="P448" s="10">
        <f t="shared" si="21"/>
        <v>2025</v>
      </c>
      <c r="Q448" t="str">
        <f>+VLOOKUP(O448,'COMISIONES ENERO-MARZO 2025 (2)'!$X:$Y,2,0)</f>
        <v>Julio</v>
      </c>
    </row>
    <row r="449" spans="3:17" x14ac:dyDescent="0.35">
      <c r="C449" t="s">
        <v>326</v>
      </c>
      <c r="D449">
        <v>53059501</v>
      </c>
      <c r="E449" t="s">
        <v>327</v>
      </c>
      <c r="F449" s="1">
        <v>60137</v>
      </c>
      <c r="G449" t="s">
        <v>1299</v>
      </c>
      <c r="H449" s="2">
        <v>45869</v>
      </c>
      <c r="I449" t="s">
        <v>1297</v>
      </c>
      <c r="J449" t="s">
        <v>1297</v>
      </c>
      <c r="K449" t="s">
        <v>35</v>
      </c>
      <c r="O449" s="10">
        <f t="shared" si="20"/>
        <v>7</v>
      </c>
      <c r="P449" s="10">
        <f t="shared" si="21"/>
        <v>2025</v>
      </c>
      <c r="Q449" t="str">
        <f>+VLOOKUP(O449,'COMISIONES ENERO-MARZO 2025 (2)'!$X:$Y,2,0)</f>
        <v>Julio</v>
      </c>
    </row>
    <row r="450" spans="3:17" x14ac:dyDescent="0.35">
      <c r="C450" t="s">
        <v>326</v>
      </c>
      <c r="D450">
        <v>53059501</v>
      </c>
      <c r="E450" t="s">
        <v>327</v>
      </c>
      <c r="F450" s="1">
        <v>20723</v>
      </c>
      <c r="G450" t="s">
        <v>1300</v>
      </c>
      <c r="H450" s="2">
        <v>45869</v>
      </c>
      <c r="I450" t="s">
        <v>1301</v>
      </c>
      <c r="J450" t="s">
        <v>1301</v>
      </c>
      <c r="K450" t="s">
        <v>35</v>
      </c>
      <c r="O450" s="10">
        <f t="shared" si="20"/>
        <v>7</v>
      </c>
      <c r="P450" s="10">
        <f t="shared" si="21"/>
        <v>2025</v>
      </c>
      <c r="Q450" t="str">
        <f>+VLOOKUP(O450,'COMISIONES ENERO-MARZO 2025 (2)'!$X:$Y,2,0)</f>
        <v>Julio</v>
      </c>
    </row>
    <row r="451" spans="3:17" x14ac:dyDescent="0.35">
      <c r="C451" t="s">
        <v>326</v>
      </c>
      <c r="D451">
        <v>53059501</v>
      </c>
      <c r="E451" t="s">
        <v>327</v>
      </c>
      <c r="F451" s="1">
        <v>49235</v>
      </c>
      <c r="G451" t="s">
        <v>1302</v>
      </c>
      <c r="H451" s="2">
        <v>45869</v>
      </c>
      <c r="I451" t="s">
        <v>1303</v>
      </c>
      <c r="J451" t="s">
        <v>1303</v>
      </c>
      <c r="K451" t="s">
        <v>35</v>
      </c>
      <c r="O451" s="10">
        <f t="shared" si="20"/>
        <v>7</v>
      </c>
      <c r="P451" s="10">
        <f t="shared" si="21"/>
        <v>2025</v>
      </c>
      <c r="Q451" t="str">
        <f>+VLOOKUP(O451,'COMISIONES ENERO-MARZO 2025 (2)'!$X:$Y,2,0)</f>
        <v>Julio</v>
      </c>
    </row>
    <row r="452" spans="3:17" x14ac:dyDescent="0.35">
      <c r="C452" t="s">
        <v>326</v>
      </c>
      <c r="D452">
        <v>53059501</v>
      </c>
      <c r="E452" t="s">
        <v>327</v>
      </c>
      <c r="F452" s="1">
        <v>12536.8</v>
      </c>
      <c r="G452" t="s">
        <v>1277</v>
      </c>
      <c r="H452" s="2">
        <v>45869</v>
      </c>
      <c r="I452" t="s">
        <v>1269</v>
      </c>
      <c r="J452" t="s">
        <v>1269</v>
      </c>
      <c r="K452" t="s">
        <v>29</v>
      </c>
      <c r="O452" s="10">
        <f t="shared" si="20"/>
        <v>7</v>
      </c>
      <c r="P452" s="10">
        <f t="shared" si="21"/>
        <v>2025</v>
      </c>
      <c r="Q452" t="str">
        <f>+VLOOKUP(O452,'COMISIONES ENERO-MARZO 2025 (2)'!$X:$Y,2,0)</f>
        <v>Julio</v>
      </c>
    </row>
    <row r="453" spans="3:17" x14ac:dyDescent="0.35">
      <c r="C453" t="s">
        <v>326</v>
      </c>
      <c r="D453">
        <v>53059501</v>
      </c>
      <c r="E453" t="s">
        <v>327</v>
      </c>
      <c r="F453" s="1">
        <v>3265.7</v>
      </c>
      <c r="G453" t="s">
        <v>1304</v>
      </c>
      <c r="H453" s="2">
        <v>45869</v>
      </c>
      <c r="I453" t="s">
        <v>1305</v>
      </c>
      <c r="J453" t="s">
        <v>1305</v>
      </c>
      <c r="K453" t="s">
        <v>534</v>
      </c>
      <c r="O453" s="10">
        <f t="shared" si="20"/>
        <v>7</v>
      </c>
      <c r="P453" s="10">
        <f t="shared" si="21"/>
        <v>2025</v>
      </c>
      <c r="Q453" t="str">
        <f>+VLOOKUP(O453,'COMISIONES ENERO-MARZO 2025 (2)'!$X:$Y,2,0)</f>
        <v>Julio</v>
      </c>
    </row>
    <row r="454" spans="3:17" x14ac:dyDescent="0.35">
      <c r="C454" t="s">
        <v>326</v>
      </c>
      <c r="D454">
        <v>53059501</v>
      </c>
      <c r="E454" t="s">
        <v>327</v>
      </c>
      <c r="F454" s="1">
        <v>1967</v>
      </c>
      <c r="G454" t="s">
        <v>1306</v>
      </c>
      <c r="H454" s="2">
        <v>45869</v>
      </c>
      <c r="I454" t="s">
        <v>1307</v>
      </c>
      <c r="J454" t="s">
        <v>1307</v>
      </c>
      <c r="K454" t="s">
        <v>35</v>
      </c>
      <c r="O454" s="10">
        <f t="shared" si="20"/>
        <v>7</v>
      </c>
      <c r="P454" s="10">
        <f t="shared" si="21"/>
        <v>2025</v>
      </c>
      <c r="Q454" t="str">
        <f>+VLOOKUP(O454,'COMISIONES ENERO-MARZO 2025 (2)'!$X:$Y,2,0)</f>
        <v>Julio</v>
      </c>
    </row>
    <row r="455" spans="3:17" x14ac:dyDescent="0.35">
      <c r="C455" t="s">
        <v>326</v>
      </c>
      <c r="D455">
        <v>53059501</v>
      </c>
      <c r="E455" t="s">
        <v>327</v>
      </c>
      <c r="F455" s="1">
        <v>976.8</v>
      </c>
      <c r="G455" t="s">
        <v>1312</v>
      </c>
      <c r="H455" s="2">
        <v>45873</v>
      </c>
      <c r="I455" t="s">
        <v>1360</v>
      </c>
      <c r="J455" t="s">
        <v>1360</v>
      </c>
      <c r="K455" t="s">
        <v>29</v>
      </c>
      <c r="O455" s="10">
        <f t="shared" ref="O455:O476" si="22">+MONTH(H455)</f>
        <v>8</v>
      </c>
      <c r="P455" s="10">
        <f t="shared" ref="P455:P476" si="23">+YEAR(H455)</f>
        <v>2025</v>
      </c>
      <c r="Q455" t="str">
        <f>+VLOOKUP(O455,'COMISIONES ENERO-MARZO 2025 (2)'!$X:$Y,2,0)</f>
        <v>Agosto</v>
      </c>
    </row>
    <row r="456" spans="3:17" x14ac:dyDescent="0.35">
      <c r="C456" t="s">
        <v>326</v>
      </c>
      <c r="D456">
        <v>53059501</v>
      </c>
      <c r="E456" t="s">
        <v>327</v>
      </c>
      <c r="F456" s="1">
        <v>5616.8</v>
      </c>
      <c r="G456" t="s">
        <v>1313</v>
      </c>
      <c r="H456" s="2">
        <v>45874</v>
      </c>
      <c r="I456" t="s">
        <v>1361</v>
      </c>
      <c r="J456" t="s">
        <v>1361</v>
      </c>
      <c r="K456" t="s">
        <v>29</v>
      </c>
      <c r="O456" s="10">
        <f t="shared" si="22"/>
        <v>8</v>
      </c>
      <c r="P456" s="10">
        <f t="shared" si="23"/>
        <v>2025</v>
      </c>
      <c r="Q456" t="str">
        <f>+VLOOKUP(O456,'COMISIONES ENERO-MARZO 2025 (2)'!$X:$Y,2,0)</f>
        <v>Agosto</v>
      </c>
    </row>
    <row r="457" spans="3:17" x14ac:dyDescent="0.35">
      <c r="C457" t="s">
        <v>326</v>
      </c>
      <c r="D457">
        <v>53059501</v>
      </c>
      <c r="E457" t="s">
        <v>327</v>
      </c>
      <c r="F457" s="1">
        <v>4376.8</v>
      </c>
      <c r="G457" t="s">
        <v>1316</v>
      </c>
      <c r="H457" s="2">
        <v>45880</v>
      </c>
      <c r="I457" t="s">
        <v>1364</v>
      </c>
      <c r="J457" t="s">
        <v>1364</v>
      </c>
      <c r="K457" t="s">
        <v>29</v>
      </c>
      <c r="O457" s="10">
        <f t="shared" si="22"/>
        <v>8</v>
      </c>
      <c r="P457" s="10">
        <f t="shared" si="23"/>
        <v>2025</v>
      </c>
      <c r="Q457" t="str">
        <f>+VLOOKUP(O457,'COMISIONES ENERO-MARZO 2025 (2)'!$X:$Y,2,0)</f>
        <v>Agosto</v>
      </c>
    </row>
    <row r="458" spans="3:17" x14ac:dyDescent="0.35">
      <c r="C458" t="s">
        <v>326</v>
      </c>
      <c r="D458">
        <v>53059501</v>
      </c>
      <c r="E458" t="s">
        <v>327</v>
      </c>
      <c r="F458" s="1">
        <v>1520.8</v>
      </c>
      <c r="G458" t="s">
        <v>1320</v>
      </c>
      <c r="H458" s="2">
        <v>45881</v>
      </c>
      <c r="I458" t="s">
        <v>1368</v>
      </c>
      <c r="J458" t="s">
        <v>1368</v>
      </c>
      <c r="K458" t="s">
        <v>29</v>
      </c>
      <c r="O458" s="10">
        <f t="shared" si="22"/>
        <v>8</v>
      </c>
      <c r="P458" s="10">
        <f t="shared" si="23"/>
        <v>2025</v>
      </c>
      <c r="Q458" t="str">
        <f>+VLOOKUP(O458,'COMISIONES ENERO-MARZO 2025 (2)'!$X:$Y,2,0)</f>
        <v>Agosto</v>
      </c>
    </row>
    <row r="459" spans="3:17" x14ac:dyDescent="0.35">
      <c r="C459" t="s">
        <v>326</v>
      </c>
      <c r="D459">
        <v>53059501</v>
      </c>
      <c r="E459" t="s">
        <v>327</v>
      </c>
      <c r="F459" s="1">
        <v>1336.8</v>
      </c>
      <c r="G459" t="s">
        <v>1321</v>
      </c>
      <c r="H459" s="2">
        <v>45883</v>
      </c>
      <c r="I459" t="s">
        <v>208</v>
      </c>
      <c r="J459" t="s">
        <v>208</v>
      </c>
      <c r="K459" t="s">
        <v>29</v>
      </c>
      <c r="O459" s="10">
        <f t="shared" si="22"/>
        <v>8</v>
      </c>
      <c r="P459" s="10">
        <f t="shared" si="23"/>
        <v>2025</v>
      </c>
      <c r="Q459" t="str">
        <f>+VLOOKUP(O459,'COMISIONES ENERO-MARZO 2025 (2)'!$X:$Y,2,0)</f>
        <v>Agosto</v>
      </c>
    </row>
    <row r="460" spans="3:17" x14ac:dyDescent="0.35">
      <c r="C460" t="s">
        <v>326</v>
      </c>
      <c r="D460">
        <v>53059501</v>
      </c>
      <c r="E460" t="s">
        <v>327</v>
      </c>
      <c r="F460" s="1">
        <v>2256.8000000000002</v>
      </c>
      <c r="G460" t="s">
        <v>1323</v>
      </c>
      <c r="H460" s="2">
        <v>45890</v>
      </c>
      <c r="I460" t="s">
        <v>155</v>
      </c>
      <c r="J460" t="s">
        <v>155</v>
      </c>
      <c r="K460" t="s">
        <v>29</v>
      </c>
      <c r="O460" s="10">
        <f t="shared" si="22"/>
        <v>8</v>
      </c>
      <c r="P460" s="10">
        <f t="shared" si="23"/>
        <v>2025</v>
      </c>
      <c r="Q460" t="str">
        <f>+VLOOKUP(O460,'COMISIONES ENERO-MARZO 2025 (2)'!$X:$Y,2,0)</f>
        <v>Agosto</v>
      </c>
    </row>
    <row r="461" spans="3:17" x14ac:dyDescent="0.35">
      <c r="C461" t="s">
        <v>326</v>
      </c>
      <c r="D461">
        <v>53059501</v>
      </c>
      <c r="E461" t="s">
        <v>327</v>
      </c>
      <c r="F461" s="1">
        <v>4736.8</v>
      </c>
      <c r="G461" t="s">
        <v>1324</v>
      </c>
      <c r="H461" s="2">
        <v>45894</v>
      </c>
      <c r="I461" t="s">
        <v>155</v>
      </c>
      <c r="J461" t="s">
        <v>155</v>
      </c>
      <c r="K461" t="s">
        <v>29</v>
      </c>
      <c r="O461" s="10">
        <f t="shared" si="22"/>
        <v>8</v>
      </c>
      <c r="P461" s="10">
        <f t="shared" si="23"/>
        <v>2025</v>
      </c>
      <c r="Q461" t="str">
        <f>+VLOOKUP(O461,'COMISIONES ENERO-MARZO 2025 (2)'!$X:$Y,2,0)</f>
        <v>Agosto</v>
      </c>
    </row>
    <row r="462" spans="3:17" x14ac:dyDescent="0.35">
      <c r="C462" t="s">
        <v>326</v>
      </c>
      <c r="D462">
        <v>53059501</v>
      </c>
      <c r="E462" t="s">
        <v>327</v>
      </c>
      <c r="F462" s="1">
        <v>23969.43</v>
      </c>
      <c r="G462" t="s">
        <v>1399</v>
      </c>
      <c r="H462" s="2">
        <v>45897</v>
      </c>
      <c r="I462" t="s">
        <v>1406</v>
      </c>
      <c r="J462" t="s">
        <v>1406</v>
      </c>
      <c r="K462" t="s">
        <v>19</v>
      </c>
      <c r="O462" s="10">
        <f t="shared" si="22"/>
        <v>8</v>
      </c>
      <c r="P462" s="10">
        <f t="shared" si="23"/>
        <v>2025</v>
      </c>
      <c r="Q462" t="str">
        <f>+VLOOKUP(O462,'COMISIONES ENERO-MARZO 2025 (2)'!$X:$Y,2,0)</f>
        <v>Agosto</v>
      </c>
    </row>
    <row r="463" spans="3:17" x14ac:dyDescent="0.35">
      <c r="C463" t="s">
        <v>326</v>
      </c>
      <c r="D463">
        <v>53059501</v>
      </c>
      <c r="E463" t="s">
        <v>327</v>
      </c>
      <c r="F463" s="1">
        <v>33267</v>
      </c>
      <c r="G463" t="s">
        <v>1400</v>
      </c>
      <c r="H463" s="2">
        <v>45897</v>
      </c>
      <c r="I463" t="s">
        <v>1407</v>
      </c>
      <c r="J463" t="s">
        <v>1407</v>
      </c>
      <c r="K463" t="s">
        <v>35</v>
      </c>
      <c r="O463" s="10">
        <f t="shared" si="22"/>
        <v>8</v>
      </c>
      <c r="P463" s="10">
        <f t="shared" si="23"/>
        <v>2025</v>
      </c>
      <c r="Q463" t="str">
        <f>+VLOOKUP(O463,'COMISIONES ENERO-MARZO 2025 (2)'!$X:$Y,2,0)</f>
        <v>Agosto</v>
      </c>
    </row>
    <row r="464" spans="3:17" x14ac:dyDescent="0.35">
      <c r="C464" t="s">
        <v>326</v>
      </c>
      <c r="D464">
        <v>53059501</v>
      </c>
      <c r="E464" t="s">
        <v>327</v>
      </c>
      <c r="F464" s="1">
        <v>6376.8</v>
      </c>
      <c r="G464" t="s">
        <v>1339</v>
      </c>
      <c r="H464" s="2">
        <v>45898</v>
      </c>
      <c r="I464" t="s">
        <v>1360</v>
      </c>
      <c r="J464" t="s">
        <v>1360</v>
      </c>
      <c r="K464" t="s">
        <v>29</v>
      </c>
      <c r="O464" s="10">
        <f t="shared" si="22"/>
        <v>8</v>
      </c>
      <c r="P464" s="10">
        <f t="shared" si="23"/>
        <v>2025</v>
      </c>
      <c r="Q464" t="str">
        <f>+VLOOKUP(O464,'COMISIONES ENERO-MARZO 2025 (2)'!$X:$Y,2,0)</f>
        <v>Agosto</v>
      </c>
    </row>
    <row r="465" spans="3:17" x14ac:dyDescent="0.35">
      <c r="C465" t="s">
        <v>326</v>
      </c>
      <c r="D465">
        <v>53059501</v>
      </c>
      <c r="E465" t="s">
        <v>327</v>
      </c>
      <c r="F465" s="1">
        <v>28492</v>
      </c>
      <c r="G465" t="s">
        <v>1401</v>
      </c>
      <c r="H465" s="2">
        <v>45898</v>
      </c>
      <c r="I465" t="s">
        <v>1408</v>
      </c>
      <c r="J465" t="s">
        <v>1413</v>
      </c>
      <c r="K465" t="s">
        <v>534</v>
      </c>
      <c r="O465" s="10">
        <f t="shared" si="22"/>
        <v>8</v>
      </c>
      <c r="P465" s="10">
        <f t="shared" si="23"/>
        <v>2025</v>
      </c>
      <c r="Q465" t="str">
        <f>+VLOOKUP(O465,'COMISIONES ENERO-MARZO 2025 (2)'!$X:$Y,2,0)</f>
        <v>Agosto</v>
      </c>
    </row>
    <row r="466" spans="3:17" x14ac:dyDescent="0.35">
      <c r="C466" t="s">
        <v>326</v>
      </c>
      <c r="D466">
        <v>53059501</v>
      </c>
      <c r="E466" t="s">
        <v>327</v>
      </c>
      <c r="F466" s="1">
        <v>195092</v>
      </c>
      <c r="G466" t="s">
        <v>1402</v>
      </c>
      <c r="H466" s="2">
        <v>45898</v>
      </c>
      <c r="I466" t="s">
        <v>1409</v>
      </c>
      <c r="J466" t="s">
        <v>1409</v>
      </c>
      <c r="K466" t="s">
        <v>19</v>
      </c>
      <c r="O466" s="10">
        <f t="shared" si="22"/>
        <v>8</v>
      </c>
      <c r="P466" s="10">
        <f t="shared" si="23"/>
        <v>2025</v>
      </c>
      <c r="Q466" t="str">
        <f>+VLOOKUP(O466,'COMISIONES ENERO-MARZO 2025 (2)'!$X:$Y,2,0)</f>
        <v>Agosto</v>
      </c>
    </row>
    <row r="467" spans="3:17" x14ac:dyDescent="0.35">
      <c r="C467" t="s">
        <v>326</v>
      </c>
      <c r="D467">
        <v>53059501</v>
      </c>
      <c r="E467" t="s">
        <v>327</v>
      </c>
      <c r="F467" s="1">
        <v>781679.29</v>
      </c>
      <c r="G467" t="s">
        <v>1340</v>
      </c>
      <c r="H467" s="2">
        <v>45900</v>
      </c>
      <c r="I467" t="s">
        <v>1375</v>
      </c>
      <c r="J467" t="s">
        <v>1375</v>
      </c>
      <c r="K467" t="s">
        <v>29</v>
      </c>
      <c r="O467" s="10">
        <f t="shared" si="22"/>
        <v>8</v>
      </c>
      <c r="P467" s="10">
        <f t="shared" si="23"/>
        <v>2025</v>
      </c>
      <c r="Q467" t="str">
        <f>+VLOOKUP(O467,'COMISIONES ENERO-MARZO 2025 (2)'!$X:$Y,2,0)</f>
        <v>Agosto</v>
      </c>
    </row>
    <row r="468" spans="3:17" x14ac:dyDescent="0.35">
      <c r="C468" t="s">
        <v>326</v>
      </c>
      <c r="D468">
        <v>53059501</v>
      </c>
      <c r="E468" t="s">
        <v>327</v>
      </c>
      <c r="F468" s="1">
        <v>49182061.159999996</v>
      </c>
      <c r="G468" t="s">
        <v>1341</v>
      </c>
      <c r="H468" s="2">
        <v>45900</v>
      </c>
      <c r="I468" t="s">
        <v>1244</v>
      </c>
      <c r="J468" t="s">
        <v>1244</v>
      </c>
      <c r="K468" t="s">
        <v>29</v>
      </c>
      <c r="O468" s="10">
        <f t="shared" si="22"/>
        <v>8</v>
      </c>
      <c r="P468" s="10">
        <f t="shared" si="23"/>
        <v>2025</v>
      </c>
      <c r="Q468" t="str">
        <f>+VLOOKUP(O468,'COMISIONES ENERO-MARZO 2025 (2)'!$X:$Y,2,0)</f>
        <v>Agosto</v>
      </c>
    </row>
    <row r="469" spans="3:17" x14ac:dyDescent="0.35">
      <c r="C469" t="s">
        <v>326</v>
      </c>
      <c r="D469">
        <v>53059501</v>
      </c>
      <c r="E469" t="s">
        <v>327</v>
      </c>
      <c r="F469" s="1">
        <v>2740707.97</v>
      </c>
      <c r="G469" t="s">
        <v>1403</v>
      </c>
      <c r="H469" s="2">
        <v>45900</v>
      </c>
      <c r="I469" t="s">
        <v>1410</v>
      </c>
      <c r="J469" t="s">
        <v>1410</v>
      </c>
      <c r="K469" t="s">
        <v>385</v>
      </c>
      <c r="O469" s="10">
        <f t="shared" si="22"/>
        <v>8</v>
      </c>
      <c r="P469" s="10">
        <f t="shared" si="23"/>
        <v>2025</v>
      </c>
      <c r="Q469" t="str">
        <f>+VLOOKUP(O469,'COMISIONES ENERO-MARZO 2025 (2)'!$X:$Y,2,0)</f>
        <v>Agosto</v>
      </c>
    </row>
    <row r="470" spans="3:17" x14ac:dyDescent="0.35">
      <c r="C470" t="s">
        <v>326</v>
      </c>
      <c r="D470">
        <v>53059501</v>
      </c>
      <c r="E470" t="s">
        <v>327</v>
      </c>
      <c r="F470" s="1">
        <v>77342580</v>
      </c>
      <c r="G470" t="s">
        <v>1342</v>
      </c>
      <c r="H470" s="2">
        <v>45900</v>
      </c>
      <c r="I470" t="s">
        <v>1376</v>
      </c>
      <c r="J470" t="s">
        <v>1376</v>
      </c>
      <c r="K470" t="s">
        <v>19</v>
      </c>
      <c r="O470" s="10">
        <f t="shared" si="22"/>
        <v>8</v>
      </c>
      <c r="P470" s="10">
        <f t="shared" si="23"/>
        <v>2025</v>
      </c>
      <c r="Q470" t="str">
        <f>+VLOOKUP(O470,'COMISIONES ENERO-MARZO 2025 (2)'!$X:$Y,2,0)</f>
        <v>Agosto</v>
      </c>
    </row>
    <row r="471" spans="3:17" x14ac:dyDescent="0.35">
      <c r="C471" t="s">
        <v>326</v>
      </c>
      <c r="D471">
        <v>53059501</v>
      </c>
      <c r="E471" t="s">
        <v>327</v>
      </c>
      <c r="F471" s="1">
        <v>2630</v>
      </c>
      <c r="G471" t="s">
        <v>1343</v>
      </c>
      <c r="H471" s="2">
        <v>45900</v>
      </c>
      <c r="I471" t="s">
        <v>1377</v>
      </c>
      <c r="J471" t="s">
        <v>1377</v>
      </c>
      <c r="K471" t="s">
        <v>19</v>
      </c>
      <c r="O471" s="10">
        <f t="shared" si="22"/>
        <v>8</v>
      </c>
      <c r="P471" s="10">
        <f t="shared" si="23"/>
        <v>2025</v>
      </c>
      <c r="Q471" t="str">
        <f>+VLOOKUP(O471,'COMISIONES ENERO-MARZO 2025 (2)'!$X:$Y,2,0)</f>
        <v>Agosto</v>
      </c>
    </row>
    <row r="472" spans="3:17" x14ac:dyDescent="0.35">
      <c r="C472" t="s">
        <v>326</v>
      </c>
      <c r="D472">
        <v>53059501</v>
      </c>
      <c r="E472" t="s">
        <v>327</v>
      </c>
      <c r="F472" s="1">
        <v>1062874</v>
      </c>
      <c r="G472" t="s">
        <v>1404</v>
      </c>
      <c r="H472" s="2">
        <v>45900</v>
      </c>
      <c r="I472" t="s">
        <v>1411</v>
      </c>
      <c r="J472" t="s">
        <v>1411</v>
      </c>
      <c r="K472" t="s">
        <v>25</v>
      </c>
      <c r="O472" s="10">
        <f t="shared" si="22"/>
        <v>8</v>
      </c>
      <c r="P472" s="10">
        <f t="shared" si="23"/>
        <v>2025</v>
      </c>
      <c r="Q472" t="str">
        <f>+VLOOKUP(O472,'COMISIONES ENERO-MARZO 2025 (2)'!$X:$Y,2,0)</f>
        <v>Agosto</v>
      </c>
    </row>
    <row r="473" spans="3:17" x14ac:dyDescent="0.35">
      <c r="C473" t="s">
        <v>326</v>
      </c>
      <c r="D473">
        <v>53059501</v>
      </c>
      <c r="E473" t="s">
        <v>327</v>
      </c>
      <c r="F473" s="1">
        <v>404.6</v>
      </c>
      <c r="G473" t="s">
        <v>1344</v>
      </c>
      <c r="H473" s="2">
        <v>45900</v>
      </c>
      <c r="I473" t="s">
        <v>1378</v>
      </c>
      <c r="J473" t="s">
        <v>1378</v>
      </c>
      <c r="K473" t="s">
        <v>534</v>
      </c>
      <c r="O473" s="10">
        <f t="shared" si="22"/>
        <v>8</v>
      </c>
      <c r="P473" s="10">
        <f t="shared" si="23"/>
        <v>2025</v>
      </c>
      <c r="Q473" t="str">
        <f>+VLOOKUP(O473,'COMISIONES ENERO-MARZO 2025 (2)'!$X:$Y,2,0)</f>
        <v>Agosto</v>
      </c>
    </row>
    <row r="474" spans="3:17" x14ac:dyDescent="0.35">
      <c r="C474" t="s">
        <v>326</v>
      </c>
      <c r="D474">
        <v>53059501</v>
      </c>
      <c r="E474" t="s">
        <v>327</v>
      </c>
      <c r="F474" s="1">
        <v>41257267.079999998</v>
      </c>
      <c r="G474" t="s">
        <v>1345</v>
      </c>
      <c r="H474" s="2">
        <v>45900</v>
      </c>
      <c r="I474" t="s">
        <v>1379</v>
      </c>
      <c r="J474" t="s">
        <v>1379</v>
      </c>
      <c r="K474" t="s">
        <v>35</v>
      </c>
      <c r="O474" s="10">
        <f t="shared" si="22"/>
        <v>8</v>
      </c>
      <c r="P474" s="10">
        <f t="shared" si="23"/>
        <v>2025</v>
      </c>
      <c r="Q474" t="str">
        <f>+VLOOKUP(O474,'COMISIONES ENERO-MARZO 2025 (2)'!$X:$Y,2,0)</f>
        <v>Agosto</v>
      </c>
    </row>
    <row r="475" spans="3:17" x14ac:dyDescent="0.35">
      <c r="C475" t="s">
        <v>326</v>
      </c>
      <c r="D475">
        <v>53059501</v>
      </c>
      <c r="E475" t="s">
        <v>327</v>
      </c>
      <c r="F475" s="1">
        <v>273</v>
      </c>
      <c r="G475" t="s">
        <v>1346</v>
      </c>
      <c r="H475" s="2">
        <v>45900</v>
      </c>
      <c r="I475" t="s">
        <v>1380</v>
      </c>
      <c r="J475" t="s">
        <v>1380</v>
      </c>
      <c r="K475" t="s">
        <v>40</v>
      </c>
      <c r="O475" s="10">
        <f t="shared" si="22"/>
        <v>8</v>
      </c>
      <c r="P475" s="10">
        <f t="shared" si="23"/>
        <v>2025</v>
      </c>
      <c r="Q475" t="str">
        <f>+VLOOKUP(O475,'COMISIONES ENERO-MARZO 2025 (2)'!$X:$Y,2,0)</f>
        <v>Agosto</v>
      </c>
    </row>
    <row r="476" spans="3:17" x14ac:dyDescent="0.35">
      <c r="C476" t="s">
        <v>326</v>
      </c>
      <c r="D476">
        <v>53059501</v>
      </c>
      <c r="E476" t="s">
        <v>327</v>
      </c>
      <c r="F476" s="1">
        <v>1936302.97</v>
      </c>
      <c r="G476" t="s">
        <v>1405</v>
      </c>
      <c r="H476" s="2">
        <v>45900</v>
      </c>
      <c r="I476" t="s">
        <v>1412</v>
      </c>
      <c r="J476" t="s">
        <v>1412</v>
      </c>
      <c r="K476" t="s">
        <v>616</v>
      </c>
      <c r="O476" s="10">
        <f t="shared" si="22"/>
        <v>8</v>
      </c>
      <c r="P476" s="10">
        <f t="shared" si="23"/>
        <v>2025</v>
      </c>
      <c r="Q476" t="str">
        <f>+VLOOKUP(O476,'COMISIONES ENERO-MARZO 2025 (2)'!$X:$Y,2,0)</f>
        <v>Agosto</v>
      </c>
    </row>
    <row r="477" spans="3:17" x14ac:dyDescent="0.35">
      <c r="C477" t="s">
        <v>326</v>
      </c>
      <c r="D477">
        <v>53059501</v>
      </c>
      <c r="E477" t="s">
        <v>327</v>
      </c>
      <c r="F477" s="26">
        <v>4496.8</v>
      </c>
      <c r="G477" t="s">
        <v>1428</v>
      </c>
      <c r="H477" s="2">
        <v>45901</v>
      </c>
      <c r="I477" t="s">
        <v>1474</v>
      </c>
      <c r="J477" t="s">
        <v>1474</v>
      </c>
      <c r="K477" t="s">
        <v>29</v>
      </c>
      <c r="O477" s="10">
        <f t="shared" ref="O477:O497" si="24">+MONTH(H477)</f>
        <v>9</v>
      </c>
      <c r="P477" s="10">
        <f t="shared" ref="P477:P497" si="25">+YEAR(H477)</f>
        <v>2025</v>
      </c>
      <c r="Q477" t="str">
        <f>+VLOOKUP(O477,'COMISIONES ENERO-MARZO 2025 (2)'!$X:$Y,2,0)</f>
        <v>Septiembre</v>
      </c>
    </row>
    <row r="478" spans="3:17" x14ac:dyDescent="0.35">
      <c r="C478" t="s">
        <v>326</v>
      </c>
      <c r="D478">
        <v>53059501</v>
      </c>
      <c r="E478" t="s">
        <v>327</v>
      </c>
      <c r="F478" s="26">
        <v>4016.8</v>
      </c>
      <c r="G478" t="s">
        <v>1429</v>
      </c>
      <c r="H478" s="2">
        <v>45901</v>
      </c>
      <c r="I478" t="s">
        <v>216</v>
      </c>
      <c r="J478" t="s">
        <v>216</v>
      </c>
      <c r="K478" t="s">
        <v>29</v>
      </c>
      <c r="O478" s="10">
        <f t="shared" si="24"/>
        <v>9</v>
      </c>
      <c r="P478" s="10">
        <f t="shared" si="25"/>
        <v>2025</v>
      </c>
      <c r="Q478" t="str">
        <f>+VLOOKUP(O478,'COMISIONES ENERO-MARZO 2025 (2)'!$X:$Y,2,0)</f>
        <v>Septiembre</v>
      </c>
    </row>
    <row r="479" spans="3:17" x14ac:dyDescent="0.35">
      <c r="C479" t="s">
        <v>326</v>
      </c>
      <c r="D479">
        <v>53059501</v>
      </c>
      <c r="E479" t="s">
        <v>327</v>
      </c>
      <c r="F479" s="26">
        <v>5214.12</v>
      </c>
      <c r="G479" t="s">
        <v>1430</v>
      </c>
      <c r="H479" s="2">
        <v>45902</v>
      </c>
      <c r="I479" t="s">
        <v>1475</v>
      </c>
      <c r="J479" t="s">
        <v>1475</v>
      </c>
      <c r="K479" t="s">
        <v>29</v>
      </c>
      <c r="O479" s="10">
        <f t="shared" si="24"/>
        <v>9</v>
      </c>
      <c r="P479" s="10">
        <f t="shared" si="25"/>
        <v>2025</v>
      </c>
      <c r="Q479" t="str">
        <f>+VLOOKUP(O479,'COMISIONES ENERO-MARZO 2025 (2)'!$X:$Y,2,0)</f>
        <v>Septiembre</v>
      </c>
    </row>
    <row r="480" spans="3:17" x14ac:dyDescent="0.35">
      <c r="C480" t="s">
        <v>326</v>
      </c>
      <c r="D480">
        <v>53059501</v>
      </c>
      <c r="E480" t="s">
        <v>327</v>
      </c>
      <c r="F480" s="26">
        <v>6696.8</v>
      </c>
      <c r="G480" t="s">
        <v>1431</v>
      </c>
      <c r="H480" s="2">
        <v>45908</v>
      </c>
      <c r="I480" t="s">
        <v>1476</v>
      </c>
      <c r="J480" t="s">
        <v>1476</v>
      </c>
      <c r="K480" t="s">
        <v>29</v>
      </c>
      <c r="O480" s="10">
        <f t="shared" si="24"/>
        <v>9</v>
      </c>
      <c r="P480" s="10">
        <f t="shared" si="25"/>
        <v>2025</v>
      </c>
      <c r="Q480" t="str">
        <f>+VLOOKUP(O480,'COMISIONES ENERO-MARZO 2025 (2)'!$X:$Y,2,0)</f>
        <v>Septiembre</v>
      </c>
    </row>
    <row r="481" spans="3:17" x14ac:dyDescent="0.35">
      <c r="C481" t="s">
        <v>326</v>
      </c>
      <c r="D481">
        <v>53059501</v>
      </c>
      <c r="E481" t="s">
        <v>327</v>
      </c>
      <c r="F481" s="26">
        <v>7976.8</v>
      </c>
      <c r="G481" t="s">
        <v>1434</v>
      </c>
      <c r="H481" s="2">
        <v>45916</v>
      </c>
      <c r="I481" t="s">
        <v>1478</v>
      </c>
      <c r="J481" t="s">
        <v>1478</v>
      </c>
      <c r="K481" t="s">
        <v>29</v>
      </c>
      <c r="O481" s="10">
        <f t="shared" si="24"/>
        <v>9</v>
      </c>
      <c r="P481" s="10">
        <f t="shared" si="25"/>
        <v>2025</v>
      </c>
      <c r="Q481" t="str">
        <f>+VLOOKUP(O481,'COMISIONES ENERO-MARZO 2025 (2)'!$X:$Y,2,0)</f>
        <v>Septiembre</v>
      </c>
    </row>
    <row r="482" spans="3:17" x14ac:dyDescent="0.35">
      <c r="C482" t="s">
        <v>326</v>
      </c>
      <c r="D482">
        <v>53059501</v>
      </c>
      <c r="E482" t="s">
        <v>327</v>
      </c>
      <c r="F482" s="26">
        <v>5496.8</v>
      </c>
      <c r="G482" t="s">
        <v>1442</v>
      </c>
      <c r="H482" s="2">
        <v>45922</v>
      </c>
      <c r="I482" t="s">
        <v>1269</v>
      </c>
      <c r="J482" t="s">
        <v>1269</v>
      </c>
      <c r="K482" t="s">
        <v>29</v>
      </c>
      <c r="O482" s="10">
        <f t="shared" si="24"/>
        <v>9</v>
      </c>
      <c r="P482" s="10">
        <f t="shared" si="25"/>
        <v>2025</v>
      </c>
      <c r="Q482" t="str">
        <f>+VLOOKUP(O482,'COMISIONES ENERO-MARZO 2025 (2)'!$X:$Y,2,0)</f>
        <v>Septiembre</v>
      </c>
    </row>
    <row r="483" spans="3:17" x14ac:dyDescent="0.35">
      <c r="C483" t="s">
        <v>326</v>
      </c>
      <c r="D483">
        <v>53059501</v>
      </c>
      <c r="E483" t="s">
        <v>327</v>
      </c>
      <c r="F483" s="26">
        <v>3776.8</v>
      </c>
      <c r="G483" t="s">
        <v>1443</v>
      </c>
      <c r="H483" s="2">
        <v>45923</v>
      </c>
      <c r="I483" t="s">
        <v>1486</v>
      </c>
      <c r="J483" t="s">
        <v>1486</v>
      </c>
      <c r="K483" t="s">
        <v>29</v>
      </c>
      <c r="O483" s="10">
        <f t="shared" si="24"/>
        <v>9</v>
      </c>
      <c r="P483" s="10">
        <f t="shared" si="25"/>
        <v>2025</v>
      </c>
      <c r="Q483" t="str">
        <f>+VLOOKUP(O483,'COMISIONES ENERO-MARZO 2025 (2)'!$X:$Y,2,0)</f>
        <v>Septiembre</v>
      </c>
    </row>
    <row r="484" spans="3:17" x14ac:dyDescent="0.35">
      <c r="C484" t="s">
        <v>326</v>
      </c>
      <c r="D484">
        <v>53059501</v>
      </c>
      <c r="E484" t="s">
        <v>327</v>
      </c>
      <c r="F484" s="26">
        <v>6416.8</v>
      </c>
      <c r="G484" t="s">
        <v>1444</v>
      </c>
      <c r="H484" s="2">
        <v>45924</v>
      </c>
      <c r="I484" t="s">
        <v>1360</v>
      </c>
      <c r="J484" t="s">
        <v>1360</v>
      </c>
      <c r="K484" t="s">
        <v>29</v>
      </c>
      <c r="O484" s="10">
        <f t="shared" si="24"/>
        <v>9</v>
      </c>
      <c r="P484" s="10">
        <f t="shared" si="25"/>
        <v>2025</v>
      </c>
      <c r="Q484" t="str">
        <f>+VLOOKUP(O484,'COMISIONES ENERO-MARZO 2025 (2)'!$X:$Y,2,0)</f>
        <v>Septiembre</v>
      </c>
    </row>
    <row r="485" spans="3:17" x14ac:dyDescent="0.35">
      <c r="C485" t="s">
        <v>326</v>
      </c>
      <c r="D485">
        <v>53059501</v>
      </c>
      <c r="E485" t="s">
        <v>327</v>
      </c>
      <c r="F485" s="26">
        <v>4736.8</v>
      </c>
      <c r="G485" t="s">
        <v>1453</v>
      </c>
      <c r="H485" s="2">
        <v>45929</v>
      </c>
      <c r="I485" t="s">
        <v>1491</v>
      </c>
      <c r="J485" t="s">
        <v>1491</v>
      </c>
      <c r="K485" t="s">
        <v>29</v>
      </c>
      <c r="O485" s="10">
        <f t="shared" si="24"/>
        <v>9</v>
      </c>
      <c r="P485" s="10">
        <f t="shared" si="25"/>
        <v>2025</v>
      </c>
      <c r="Q485" t="str">
        <f>+VLOOKUP(O485,'COMISIONES ENERO-MARZO 2025 (2)'!$X:$Y,2,0)</f>
        <v>Septiembre</v>
      </c>
    </row>
    <row r="486" spans="3:17" x14ac:dyDescent="0.35">
      <c r="C486" t="s">
        <v>326</v>
      </c>
      <c r="D486">
        <v>53059501</v>
      </c>
      <c r="E486" t="s">
        <v>327</v>
      </c>
      <c r="F486" s="26">
        <v>12932</v>
      </c>
      <c r="G486" t="s">
        <v>1532</v>
      </c>
      <c r="H486" s="2">
        <v>45930</v>
      </c>
      <c r="I486" t="s">
        <v>1537</v>
      </c>
      <c r="J486" t="s">
        <v>1537</v>
      </c>
      <c r="K486" t="s">
        <v>29</v>
      </c>
      <c r="O486" s="10">
        <f t="shared" si="24"/>
        <v>9</v>
      </c>
      <c r="P486" s="10">
        <f t="shared" si="25"/>
        <v>2025</v>
      </c>
      <c r="Q486" t="str">
        <f>+VLOOKUP(O486,'COMISIONES ENERO-MARZO 2025 (2)'!$X:$Y,2,0)</f>
        <v>Septiembre</v>
      </c>
    </row>
    <row r="487" spans="3:17" x14ac:dyDescent="0.35">
      <c r="C487" t="s">
        <v>326</v>
      </c>
      <c r="D487">
        <v>53059501</v>
      </c>
      <c r="E487" t="s">
        <v>327</v>
      </c>
      <c r="F487" s="26">
        <v>17873938.629999999</v>
      </c>
      <c r="G487" t="s">
        <v>1513</v>
      </c>
      <c r="H487" s="2">
        <v>45930</v>
      </c>
      <c r="I487" t="s">
        <v>1520</v>
      </c>
      <c r="J487" t="s">
        <v>1520</v>
      </c>
      <c r="K487" t="s">
        <v>1512</v>
      </c>
      <c r="O487" s="10">
        <f t="shared" si="24"/>
        <v>9</v>
      </c>
      <c r="P487" s="10">
        <f t="shared" si="25"/>
        <v>2025</v>
      </c>
      <c r="Q487" t="str">
        <f>+VLOOKUP(O487,'COMISIONES ENERO-MARZO 2025 (2)'!$X:$Y,2,0)</f>
        <v>Septiembre</v>
      </c>
    </row>
    <row r="488" spans="3:17" x14ac:dyDescent="0.35">
      <c r="C488" t="s">
        <v>326</v>
      </c>
      <c r="D488">
        <v>53059501</v>
      </c>
      <c r="E488" t="s">
        <v>327</v>
      </c>
      <c r="F488" s="26">
        <v>338</v>
      </c>
      <c r="G488" t="s">
        <v>1514</v>
      </c>
      <c r="H488" s="2">
        <v>45930</v>
      </c>
      <c r="I488" t="s">
        <v>1521</v>
      </c>
      <c r="J488" t="s">
        <v>1521</v>
      </c>
      <c r="K488" t="s">
        <v>19</v>
      </c>
      <c r="O488" s="10">
        <f t="shared" si="24"/>
        <v>9</v>
      </c>
      <c r="P488" s="10">
        <f t="shared" si="25"/>
        <v>2025</v>
      </c>
      <c r="Q488" t="str">
        <f>+VLOOKUP(O488,'COMISIONES ENERO-MARZO 2025 (2)'!$X:$Y,2,0)</f>
        <v>Septiembre</v>
      </c>
    </row>
    <row r="489" spans="3:17" x14ac:dyDescent="0.35">
      <c r="C489" t="s">
        <v>326</v>
      </c>
      <c r="D489">
        <v>53059501</v>
      </c>
      <c r="E489" t="s">
        <v>327</v>
      </c>
      <c r="F489" s="26">
        <v>5439</v>
      </c>
      <c r="G489" t="s">
        <v>1533</v>
      </c>
      <c r="H489" s="2">
        <v>45930</v>
      </c>
      <c r="I489" t="s">
        <v>1538</v>
      </c>
      <c r="J489" t="s">
        <v>1538</v>
      </c>
      <c r="K489" t="s">
        <v>19</v>
      </c>
      <c r="O489" s="10">
        <f t="shared" si="24"/>
        <v>9</v>
      </c>
      <c r="P489" s="10">
        <f t="shared" si="25"/>
        <v>2025</v>
      </c>
      <c r="Q489" t="str">
        <f>+VLOOKUP(O489,'COMISIONES ENERO-MARZO 2025 (2)'!$X:$Y,2,0)</f>
        <v>Septiembre</v>
      </c>
    </row>
    <row r="490" spans="3:17" x14ac:dyDescent="0.35">
      <c r="C490" t="s">
        <v>326</v>
      </c>
      <c r="D490">
        <v>53059501</v>
      </c>
      <c r="E490" t="s">
        <v>327</v>
      </c>
      <c r="F490" s="26">
        <v>168816.37</v>
      </c>
      <c r="G490" t="s">
        <v>1515</v>
      </c>
      <c r="H490" s="2">
        <v>45930</v>
      </c>
      <c r="I490" t="s">
        <v>1522</v>
      </c>
      <c r="J490" t="s">
        <v>1522</v>
      </c>
      <c r="K490" t="s">
        <v>534</v>
      </c>
      <c r="O490" s="10">
        <f t="shared" si="24"/>
        <v>9</v>
      </c>
      <c r="P490" s="10">
        <f t="shared" si="25"/>
        <v>2025</v>
      </c>
      <c r="Q490" t="str">
        <f>+VLOOKUP(O490,'COMISIONES ENERO-MARZO 2025 (2)'!$X:$Y,2,0)</f>
        <v>Septiembre</v>
      </c>
    </row>
    <row r="491" spans="3:17" x14ac:dyDescent="0.35">
      <c r="C491" t="s">
        <v>326</v>
      </c>
      <c r="D491">
        <v>53059501</v>
      </c>
      <c r="E491" t="s">
        <v>327</v>
      </c>
      <c r="F491" s="26">
        <v>1776684.11</v>
      </c>
      <c r="G491" t="s">
        <v>1534</v>
      </c>
      <c r="H491" s="2">
        <v>45930</v>
      </c>
      <c r="I491" t="s">
        <v>1539</v>
      </c>
      <c r="J491" t="s">
        <v>1539</v>
      </c>
      <c r="K491" t="s">
        <v>25</v>
      </c>
      <c r="O491" s="10">
        <f t="shared" si="24"/>
        <v>9</v>
      </c>
      <c r="P491" s="10">
        <f t="shared" si="25"/>
        <v>2025</v>
      </c>
      <c r="Q491" t="str">
        <f>+VLOOKUP(O491,'COMISIONES ENERO-MARZO 2025 (2)'!$X:$Y,2,0)</f>
        <v>Septiembre</v>
      </c>
    </row>
    <row r="492" spans="3:17" x14ac:dyDescent="0.35">
      <c r="C492" t="s">
        <v>326</v>
      </c>
      <c r="D492">
        <v>53059501</v>
      </c>
      <c r="E492" t="s">
        <v>327</v>
      </c>
      <c r="F492" s="26">
        <v>27366755.489999998</v>
      </c>
      <c r="G492" t="s">
        <v>1516</v>
      </c>
      <c r="H492" s="2">
        <v>45930</v>
      </c>
      <c r="I492" t="s">
        <v>1523</v>
      </c>
      <c r="J492" t="s">
        <v>1523</v>
      </c>
      <c r="K492" t="s">
        <v>29</v>
      </c>
      <c r="O492" s="10">
        <f t="shared" si="24"/>
        <v>9</v>
      </c>
      <c r="P492" s="10">
        <f t="shared" si="25"/>
        <v>2025</v>
      </c>
      <c r="Q492" t="str">
        <f>+VLOOKUP(O492,'COMISIONES ENERO-MARZO 2025 (2)'!$X:$Y,2,0)</f>
        <v>Septiembre</v>
      </c>
    </row>
    <row r="493" spans="3:17" x14ac:dyDescent="0.35">
      <c r="C493" t="s">
        <v>326</v>
      </c>
      <c r="D493">
        <v>53059501</v>
      </c>
      <c r="E493" t="s">
        <v>327</v>
      </c>
      <c r="F493" s="26">
        <v>864430.67</v>
      </c>
      <c r="G493" t="s">
        <v>1517</v>
      </c>
      <c r="H493" s="2">
        <v>45930</v>
      </c>
      <c r="I493" t="s">
        <v>1524</v>
      </c>
      <c r="J493" t="s">
        <v>1524</v>
      </c>
      <c r="K493" t="s">
        <v>29</v>
      </c>
      <c r="O493" s="10">
        <f t="shared" si="24"/>
        <v>9</v>
      </c>
      <c r="P493" s="10">
        <f t="shared" si="25"/>
        <v>2025</v>
      </c>
      <c r="Q493" t="str">
        <f>+VLOOKUP(O493,'COMISIONES ENERO-MARZO 2025 (2)'!$X:$Y,2,0)</f>
        <v>Septiembre</v>
      </c>
    </row>
    <row r="494" spans="3:17" x14ac:dyDescent="0.35">
      <c r="C494" t="s">
        <v>326</v>
      </c>
      <c r="D494">
        <v>53059501</v>
      </c>
      <c r="E494" t="s">
        <v>327</v>
      </c>
      <c r="F494" s="26">
        <v>51652130</v>
      </c>
      <c r="G494" t="s">
        <v>1518</v>
      </c>
      <c r="H494" s="2">
        <v>45930</v>
      </c>
      <c r="I494" t="s">
        <v>1525</v>
      </c>
      <c r="J494" t="s">
        <v>1525</v>
      </c>
      <c r="K494" t="s">
        <v>19</v>
      </c>
      <c r="O494" s="10">
        <f t="shared" si="24"/>
        <v>9</v>
      </c>
      <c r="P494" s="10">
        <f t="shared" si="25"/>
        <v>2025</v>
      </c>
      <c r="Q494" t="str">
        <f>+VLOOKUP(O494,'COMISIONES ENERO-MARZO 2025 (2)'!$X:$Y,2,0)</f>
        <v>Septiembre</v>
      </c>
    </row>
    <row r="495" spans="3:17" x14ac:dyDescent="0.35">
      <c r="C495" t="s">
        <v>326</v>
      </c>
      <c r="D495">
        <v>53059501</v>
      </c>
      <c r="E495" t="s">
        <v>327</v>
      </c>
      <c r="F495" s="26">
        <v>348</v>
      </c>
      <c r="G495" t="s">
        <v>1519</v>
      </c>
      <c r="H495" s="2">
        <v>45930</v>
      </c>
      <c r="I495" t="s">
        <v>1526</v>
      </c>
      <c r="J495" t="s">
        <v>1526</v>
      </c>
      <c r="K495" t="s">
        <v>40</v>
      </c>
      <c r="O495" s="10">
        <f t="shared" si="24"/>
        <v>9</v>
      </c>
      <c r="P495" s="10">
        <f t="shared" si="25"/>
        <v>2025</v>
      </c>
      <c r="Q495" t="str">
        <f>+VLOOKUP(O495,'COMISIONES ENERO-MARZO 2025 (2)'!$X:$Y,2,0)</f>
        <v>Septiembre</v>
      </c>
    </row>
    <row r="496" spans="3:17" x14ac:dyDescent="0.35">
      <c r="C496" t="s">
        <v>326</v>
      </c>
      <c r="D496">
        <v>53059501</v>
      </c>
      <c r="E496" t="s">
        <v>327</v>
      </c>
      <c r="F496" s="26">
        <v>76230</v>
      </c>
      <c r="G496" t="s">
        <v>1535</v>
      </c>
      <c r="H496" s="2">
        <v>45930</v>
      </c>
      <c r="I496" t="s">
        <v>1540</v>
      </c>
      <c r="J496" t="s">
        <v>1540</v>
      </c>
      <c r="K496" t="s">
        <v>19</v>
      </c>
      <c r="O496" s="10">
        <f t="shared" si="24"/>
        <v>9</v>
      </c>
      <c r="P496" s="10">
        <f t="shared" si="25"/>
        <v>2025</v>
      </c>
      <c r="Q496" t="str">
        <f>+VLOOKUP(O496,'COMISIONES ENERO-MARZO 2025 (2)'!$X:$Y,2,0)</f>
        <v>Septiembre</v>
      </c>
    </row>
    <row r="497" spans="3:17" x14ac:dyDescent="0.35">
      <c r="C497" t="s">
        <v>326</v>
      </c>
      <c r="D497">
        <v>53059501</v>
      </c>
      <c r="E497" t="s">
        <v>327</v>
      </c>
      <c r="F497" s="26">
        <v>2530</v>
      </c>
      <c r="G497" t="s">
        <v>1536</v>
      </c>
      <c r="H497" s="2">
        <v>45930</v>
      </c>
      <c r="I497" t="s">
        <v>1541</v>
      </c>
      <c r="J497" t="s">
        <v>1542</v>
      </c>
      <c r="K497" t="s">
        <v>1512</v>
      </c>
      <c r="O497" s="10">
        <f t="shared" si="24"/>
        <v>9</v>
      </c>
      <c r="P497" s="10">
        <f t="shared" si="25"/>
        <v>2025</v>
      </c>
      <c r="Q497" t="str">
        <f>+VLOOKUP(O497,'COMISIONES ENERO-MARZO 2025 (2)'!$X:$Y,2,0)</f>
        <v>Septiembre</v>
      </c>
    </row>
    <row r="498" spans="3:17" s="43" customFormat="1" ht="5.25" customHeight="1" x14ac:dyDescent="0.35">
      <c r="F498" s="45"/>
      <c r="O498" s="46"/>
      <c r="P498" s="46"/>
    </row>
    <row r="499" spans="3:17" x14ac:dyDescent="0.35">
      <c r="C499" t="s">
        <v>326</v>
      </c>
      <c r="D499">
        <v>53059501</v>
      </c>
      <c r="E499" t="s">
        <v>327</v>
      </c>
      <c r="F499" s="26">
        <v>2414.12</v>
      </c>
      <c r="G499" t="s">
        <v>1558</v>
      </c>
      <c r="H499" s="2">
        <v>45933</v>
      </c>
      <c r="I499" t="s">
        <v>1610</v>
      </c>
      <c r="J499" t="s">
        <v>1610</v>
      </c>
      <c r="K499" t="s">
        <v>29</v>
      </c>
      <c r="O499" s="10">
        <f t="shared" ref="O499" si="26">+MONTH(H499)</f>
        <v>10</v>
      </c>
      <c r="P499" s="10">
        <f t="shared" ref="P499" si="27">+YEAR(H499)</f>
        <v>2025</v>
      </c>
      <c r="Q499" t="str">
        <f>+VLOOKUP(O499,'COMISIONES ENERO-MARZO 2025 (2)'!$X:$Y,2,0)</f>
        <v>Octubre</v>
      </c>
    </row>
    <row r="500" spans="3:17" x14ac:dyDescent="0.35">
      <c r="C500" t="s">
        <v>326</v>
      </c>
      <c r="D500">
        <v>53059501</v>
      </c>
      <c r="E500" t="s">
        <v>327</v>
      </c>
      <c r="F500" s="26">
        <v>5536.8</v>
      </c>
      <c r="G500" t="s">
        <v>1564</v>
      </c>
      <c r="H500" s="2">
        <v>45936</v>
      </c>
      <c r="I500" t="s">
        <v>208</v>
      </c>
      <c r="J500" t="s">
        <v>208</v>
      </c>
      <c r="K500" t="s">
        <v>29</v>
      </c>
      <c r="O500" s="10">
        <f t="shared" ref="O500:O521" si="28">+MONTH(H500)</f>
        <v>10</v>
      </c>
      <c r="P500" s="10">
        <f t="shared" ref="P500:P521" si="29">+YEAR(H500)</f>
        <v>2025</v>
      </c>
      <c r="Q500" t="str">
        <f>+VLOOKUP(O500,'COMISIONES ENERO-MARZO 2025 (2)'!$X:$Y,2,0)</f>
        <v>Octubre</v>
      </c>
    </row>
    <row r="501" spans="3:17" x14ac:dyDescent="0.35">
      <c r="C501" t="s">
        <v>326</v>
      </c>
      <c r="D501">
        <v>53059501</v>
      </c>
      <c r="E501" t="s">
        <v>327</v>
      </c>
      <c r="F501" s="26">
        <v>5976.8</v>
      </c>
      <c r="G501" t="s">
        <v>1566</v>
      </c>
      <c r="H501" s="2">
        <v>45945</v>
      </c>
      <c r="I501" t="s">
        <v>1617</v>
      </c>
      <c r="J501" t="s">
        <v>1617</v>
      </c>
      <c r="K501" t="s">
        <v>29</v>
      </c>
      <c r="O501" s="10">
        <f t="shared" si="28"/>
        <v>10</v>
      </c>
      <c r="P501" s="10">
        <f t="shared" si="29"/>
        <v>2025</v>
      </c>
      <c r="Q501" t="str">
        <f>+VLOOKUP(O501,'COMISIONES ENERO-MARZO 2025 (2)'!$X:$Y,2,0)</f>
        <v>Octubre</v>
      </c>
    </row>
    <row r="502" spans="3:17" x14ac:dyDescent="0.35">
      <c r="C502" t="s">
        <v>326</v>
      </c>
      <c r="D502">
        <v>53059501</v>
      </c>
      <c r="E502" t="s">
        <v>327</v>
      </c>
      <c r="F502" s="26">
        <v>49167.43</v>
      </c>
      <c r="G502" t="s">
        <v>1642</v>
      </c>
      <c r="H502" s="2">
        <v>45945</v>
      </c>
      <c r="I502" t="s">
        <v>1650</v>
      </c>
      <c r="J502" t="s">
        <v>1651</v>
      </c>
      <c r="K502" t="s">
        <v>534</v>
      </c>
      <c r="O502" s="10">
        <f t="shared" si="28"/>
        <v>10</v>
      </c>
      <c r="P502" s="10">
        <f t="shared" si="29"/>
        <v>2025</v>
      </c>
      <c r="Q502" t="str">
        <f>+VLOOKUP(O502,'COMISIONES ENERO-MARZO 2025 (2)'!$X:$Y,2,0)</f>
        <v>Octubre</v>
      </c>
    </row>
    <row r="503" spans="3:17" x14ac:dyDescent="0.35">
      <c r="C503" t="s">
        <v>326</v>
      </c>
      <c r="D503">
        <v>53059501</v>
      </c>
      <c r="E503" t="s">
        <v>327</v>
      </c>
      <c r="F503" s="26">
        <v>27011.23</v>
      </c>
      <c r="G503" t="s">
        <v>1642</v>
      </c>
      <c r="H503" s="2">
        <v>45945</v>
      </c>
      <c r="I503" t="s">
        <v>1652</v>
      </c>
      <c r="J503" t="s">
        <v>1651</v>
      </c>
      <c r="K503" t="s">
        <v>534</v>
      </c>
      <c r="O503" s="10">
        <f t="shared" si="28"/>
        <v>10</v>
      </c>
      <c r="P503" s="10">
        <f t="shared" si="29"/>
        <v>2025</v>
      </c>
      <c r="Q503" t="str">
        <f>+VLOOKUP(O503,'COMISIONES ENERO-MARZO 2025 (2)'!$X:$Y,2,0)</f>
        <v>Octubre</v>
      </c>
    </row>
    <row r="504" spans="3:17" x14ac:dyDescent="0.35">
      <c r="C504" t="s">
        <v>326</v>
      </c>
      <c r="D504">
        <v>53059501</v>
      </c>
      <c r="E504" t="s">
        <v>327</v>
      </c>
      <c r="F504" s="26">
        <v>521</v>
      </c>
      <c r="G504" t="s">
        <v>1643</v>
      </c>
      <c r="H504" s="2">
        <v>45946</v>
      </c>
      <c r="I504" t="s">
        <v>1653</v>
      </c>
      <c r="J504" t="s">
        <v>1654</v>
      </c>
      <c r="K504" t="s">
        <v>534</v>
      </c>
      <c r="O504" s="10">
        <f t="shared" si="28"/>
        <v>10</v>
      </c>
      <c r="P504" s="10">
        <f t="shared" si="29"/>
        <v>2025</v>
      </c>
      <c r="Q504" t="str">
        <f>+VLOOKUP(O504,'COMISIONES ENERO-MARZO 2025 (2)'!$X:$Y,2,0)</f>
        <v>Octubre</v>
      </c>
    </row>
    <row r="505" spans="3:17" x14ac:dyDescent="0.35">
      <c r="C505" t="s">
        <v>326</v>
      </c>
      <c r="D505">
        <v>53059501</v>
      </c>
      <c r="E505" t="s">
        <v>327</v>
      </c>
      <c r="F505" s="26">
        <v>12719.26</v>
      </c>
      <c r="G505" t="s">
        <v>1644</v>
      </c>
      <c r="H505" s="2">
        <v>45951</v>
      </c>
      <c r="I505" t="s">
        <v>1655</v>
      </c>
      <c r="J505" t="s">
        <v>1655</v>
      </c>
      <c r="K505" t="s">
        <v>29</v>
      </c>
      <c r="O505" s="10">
        <f t="shared" si="28"/>
        <v>10</v>
      </c>
      <c r="P505" s="10">
        <f t="shared" si="29"/>
        <v>2025</v>
      </c>
      <c r="Q505" t="str">
        <f>+VLOOKUP(O505,'COMISIONES ENERO-MARZO 2025 (2)'!$X:$Y,2,0)</f>
        <v>Octubre</v>
      </c>
    </row>
    <row r="506" spans="3:17" x14ac:dyDescent="0.35">
      <c r="C506" t="s">
        <v>326</v>
      </c>
      <c r="D506">
        <v>53059501</v>
      </c>
      <c r="E506" t="s">
        <v>327</v>
      </c>
      <c r="F506" s="26">
        <v>4816.8</v>
      </c>
      <c r="G506" t="s">
        <v>1567</v>
      </c>
      <c r="H506" s="2">
        <v>45957</v>
      </c>
      <c r="I506" t="s">
        <v>1618</v>
      </c>
      <c r="J506" t="s">
        <v>1619</v>
      </c>
      <c r="K506" t="s">
        <v>29</v>
      </c>
      <c r="O506" s="10">
        <f t="shared" si="28"/>
        <v>10</v>
      </c>
      <c r="P506" s="10">
        <f t="shared" si="29"/>
        <v>2025</v>
      </c>
      <c r="Q506" t="str">
        <f>+VLOOKUP(O506,'COMISIONES ENERO-MARZO 2025 (2)'!$X:$Y,2,0)</f>
        <v>Octubre</v>
      </c>
    </row>
    <row r="507" spans="3:17" x14ac:dyDescent="0.35">
      <c r="C507" t="s">
        <v>326</v>
      </c>
      <c r="D507">
        <v>53059501</v>
      </c>
      <c r="E507" t="s">
        <v>327</v>
      </c>
      <c r="F507" s="26">
        <v>5136.8</v>
      </c>
      <c r="G507" t="s">
        <v>1578</v>
      </c>
      <c r="H507" s="2">
        <v>45959</v>
      </c>
      <c r="I507" t="s">
        <v>208</v>
      </c>
      <c r="J507" t="s">
        <v>208</v>
      </c>
      <c r="K507" t="s">
        <v>29</v>
      </c>
      <c r="O507" s="10">
        <f t="shared" si="28"/>
        <v>10</v>
      </c>
      <c r="P507" s="10">
        <f t="shared" si="29"/>
        <v>2025</v>
      </c>
      <c r="Q507" t="str">
        <f>+VLOOKUP(O507,'COMISIONES ENERO-MARZO 2025 (2)'!$X:$Y,2,0)</f>
        <v>Octubre</v>
      </c>
    </row>
    <row r="508" spans="3:17" x14ac:dyDescent="0.35">
      <c r="C508" t="s">
        <v>326</v>
      </c>
      <c r="D508">
        <v>53059501</v>
      </c>
      <c r="E508" t="s">
        <v>327</v>
      </c>
      <c r="F508" s="26">
        <v>34264</v>
      </c>
      <c r="G508" t="s">
        <v>1579</v>
      </c>
      <c r="H508" s="2">
        <v>45959</v>
      </c>
      <c r="I508" t="s">
        <v>1656</v>
      </c>
      <c r="J508" t="s">
        <v>1625</v>
      </c>
      <c r="K508" t="s">
        <v>534</v>
      </c>
      <c r="O508" s="10">
        <f t="shared" si="28"/>
        <v>10</v>
      </c>
      <c r="P508" s="10">
        <f t="shared" si="29"/>
        <v>2025</v>
      </c>
      <c r="Q508" t="str">
        <f>+VLOOKUP(O508,'COMISIONES ENERO-MARZO 2025 (2)'!$X:$Y,2,0)</f>
        <v>Octubre</v>
      </c>
    </row>
    <row r="509" spans="3:17" x14ac:dyDescent="0.35">
      <c r="C509" t="s">
        <v>326</v>
      </c>
      <c r="D509">
        <v>53059501</v>
      </c>
      <c r="E509" t="s">
        <v>327</v>
      </c>
      <c r="F509" s="26">
        <v>609840.11</v>
      </c>
      <c r="G509" t="s">
        <v>1645</v>
      </c>
      <c r="H509" s="2">
        <v>45961</v>
      </c>
      <c r="I509" t="s">
        <v>1657</v>
      </c>
      <c r="J509" t="s">
        <v>1658</v>
      </c>
      <c r="K509" t="s">
        <v>25</v>
      </c>
      <c r="O509" s="10">
        <f t="shared" si="28"/>
        <v>10</v>
      </c>
      <c r="P509" s="10">
        <f t="shared" si="29"/>
        <v>2025</v>
      </c>
      <c r="Q509" t="str">
        <f>+VLOOKUP(O509,'COMISIONES ENERO-MARZO 2025 (2)'!$X:$Y,2,0)</f>
        <v>Octubre</v>
      </c>
    </row>
    <row r="510" spans="3:17" x14ac:dyDescent="0.35">
      <c r="C510" t="s">
        <v>326</v>
      </c>
      <c r="D510">
        <v>53059501</v>
      </c>
      <c r="E510" t="s">
        <v>327</v>
      </c>
      <c r="F510" s="26">
        <v>513</v>
      </c>
      <c r="G510" t="s">
        <v>1580</v>
      </c>
      <c r="H510" s="2">
        <v>45961</v>
      </c>
      <c r="I510" t="s">
        <v>1627</v>
      </c>
      <c r="J510" t="s">
        <v>1627</v>
      </c>
      <c r="K510" t="s">
        <v>40</v>
      </c>
      <c r="O510" s="10">
        <f t="shared" si="28"/>
        <v>10</v>
      </c>
      <c r="P510" s="10">
        <f t="shared" si="29"/>
        <v>2025</v>
      </c>
      <c r="Q510" t="str">
        <f>+VLOOKUP(O510,'COMISIONES ENERO-MARZO 2025 (2)'!$X:$Y,2,0)</f>
        <v>Octubre</v>
      </c>
    </row>
    <row r="511" spans="3:17" x14ac:dyDescent="0.35">
      <c r="C511" t="s">
        <v>326</v>
      </c>
      <c r="D511">
        <v>53059501</v>
      </c>
      <c r="E511" t="s">
        <v>327</v>
      </c>
      <c r="F511" s="26">
        <v>2297301.09</v>
      </c>
      <c r="G511" t="s">
        <v>1646</v>
      </c>
      <c r="H511" s="2">
        <v>45961</v>
      </c>
      <c r="I511" t="s">
        <v>1659</v>
      </c>
      <c r="J511" t="s">
        <v>1659</v>
      </c>
      <c r="K511" t="s">
        <v>25</v>
      </c>
      <c r="O511" s="10">
        <f t="shared" si="28"/>
        <v>10</v>
      </c>
      <c r="P511" s="10">
        <f t="shared" si="29"/>
        <v>2025</v>
      </c>
      <c r="Q511" t="str">
        <f>+VLOOKUP(O511,'COMISIONES ENERO-MARZO 2025 (2)'!$X:$Y,2,0)</f>
        <v>Octubre</v>
      </c>
    </row>
    <row r="512" spans="3:17" x14ac:dyDescent="0.35">
      <c r="C512" t="s">
        <v>326</v>
      </c>
      <c r="D512">
        <v>53059501</v>
      </c>
      <c r="E512" t="s">
        <v>327</v>
      </c>
      <c r="F512" s="26">
        <v>404.6</v>
      </c>
      <c r="G512" t="s">
        <v>1581</v>
      </c>
      <c r="H512" s="2">
        <v>45961</v>
      </c>
      <c r="I512" t="s">
        <v>1628</v>
      </c>
      <c r="J512" t="s">
        <v>1628</v>
      </c>
      <c r="K512" t="s">
        <v>534</v>
      </c>
      <c r="O512" s="10">
        <f t="shared" si="28"/>
        <v>10</v>
      </c>
      <c r="P512" s="10">
        <f t="shared" si="29"/>
        <v>2025</v>
      </c>
      <c r="Q512" t="str">
        <f>+VLOOKUP(O512,'COMISIONES ENERO-MARZO 2025 (2)'!$X:$Y,2,0)</f>
        <v>Octubre</v>
      </c>
    </row>
    <row r="513" spans="3:17" x14ac:dyDescent="0.35">
      <c r="C513" t="s">
        <v>326</v>
      </c>
      <c r="D513">
        <v>53059501</v>
      </c>
      <c r="E513" t="s">
        <v>327</v>
      </c>
      <c r="F513" s="26">
        <v>50330877</v>
      </c>
      <c r="G513" t="s">
        <v>1583</v>
      </c>
      <c r="H513" s="2">
        <v>45961</v>
      </c>
      <c r="I513" t="s">
        <v>1630</v>
      </c>
      <c r="J513" t="s">
        <v>1630</v>
      </c>
      <c r="K513" t="s">
        <v>19</v>
      </c>
      <c r="O513" s="10">
        <f t="shared" si="28"/>
        <v>10</v>
      </c>
      <c r="P513" s="10">
        <f t="shared" si="29"/>
        <v>2025</v>
      </c>
      <c r="Q513" t="str">
        <f>+VLOOKUP(O513,'COMISIONES ENERO-MARZO 2025 (2)'!$X:$Y,2,0)</f>
        <v>Octubre</v>
      </c>
    </row>
    <row r="514" spans="3:17" x14ac:dyDescent="0.35">
      <c r="C514" t="s">
        <v>326</v>
      </c>
      <c r="D514">
        <v>53059501</v>
      </c>
      <c r="E514" t="s">
        <v>327</v>
      </c>
      <c r="F514" s="26">
        <v>4903</v>
      </c>
      <c r="G514" t="s">
        <v>1584</v>
      </c>
      <c r="H514" s="2">
        <v>45961</v>
      </c>
      <c r="I514" t="s">
        <v>1631</v>
      </c>
      <c r="J514" t="s">
        <v>1631</v>
      </c>
      <c r="K514" t="s">
        <v>19</v>
      </c>
      <c r="O514" s="10">
        <f t="shared" si="28"/>
        <v>10</v>
      </c>
      <c r="P514" s="10">
        <f t="shared" si="29"/>
        <v>2025</v>
      </c>
      <c r="Q514" t="str">
        <f>+VLOOKUP(O514,'COMISIONES ENERO-MARZO 2025 (2)'!$X:$Y,2,0)</f>
        <v>Octubre</v>
      </c>
    </row>
    <row r="515" spans="3:17" x14ac:dyDescent="0.35">
      <c r="C515" t="s">
        <v>326</v>
      </c>
      <c r="D515">
        <v>53059501</v>
      </c>
      <c r="E515" t="s">
        <v>327</v>
      </c>
      <c r="F515" s="26">
        <v>936.1</v>
      </c>
      <c r="G515" t="s">
        <v>1585</v>
      </c>
      <c r="H515" s="2">
        <v>45961</v>
      </c>
      <c r="I515" t="s">
        <v>1632</v>
      </c>
      <c r="J515" t="s">
        <v>1632</v>
      </c>
      <c r="K515" t="s">
        <v>29</v>
      </c>
      <c r="O515" s="10">
        <f t="shared" si="28"/>
        <v>10</v>
      </c>
      <c r="P515" s="10">
        <f t="shared" si="29"/>
        <v>2025</v>
      </c>
      <c r="Q515" t="str">
        <f>+VLOOKUP(O515,'COMISIONES ENERO-MARZO 2025 (2)'!$X:$Y,2,0)</f>
        <v>Octubre</v>
      </c>
    </row>
    <row r="516" spans="3:17" x14ac:dyDescent="0.35">
      <c r="C516" t="s">
        <v>326</v>
      </c>
      <c r="D516">
        <v>53059501</v>
      </c>
      <c r="E516" t="s">
        <v>327</v>
      </c>
      <c r="F516" s="26">
        <v>42131468.990000002</v>
      </c>
      <c r="G516" t="s">
        <v>1586</v>
      </c>
      <c r="H516" s="2">
        <v>45961</v>
      </c>
      <c r="I516" t="s">
        <v>1633</v>
      </c>
      <c r="J516" t="s">
        <v>1633</v>
      </c>
      <c r="K516" t="s">
        <v>29</v>
      </c>
      <c r="O516" s="10">
        <f t="shared" si="28"/>
        <v>10</v>
      </c>
      <c r="P516" s="10">
        <f t="shared" si="29"/>
        <v>2025</v>
      </c>
      <c r="Q516" t="str">
        <f>+VLOOKUP(O516,'COMISIONES ENERO-MARZO 2025 (2)'!$X:$Y,2,0)</f>
        <v>Octubre</v>
      </c>
    </row>
    <row r="517" spans="3:17" x14ac:dyDescent="0.35">
      <c r="C517" t="s">
        <v>326</v>
      </c>
      <c r="D517">
        <v>53059501</v>
      </c>
      <c r="E517" t="s">
        <v>327</v>
      </c>
      <c r="F517" s="26">
        <v>1818549.09</v>
      </c>
      <c r="G517" t="s">
        <v>1587</v>
      </c>
      <c r="H517" s="2">
        <v>45961</v>
      </c>
      <c r="I517" t="s">
        <v>1634</v>
      </c>
      <c r="J517" t="s">
        <v>1634</v>
      </c>
      <c r="K517" t="s">
        <v>29</v>
      </c>
      <c r="O517" s="10">
        <f t="shared" si="28"/>
        <v>10</v>
      </c>
      <c r="P517" s="10">
        <f t="shared" si="29"/>
        <v>2025</v>
      </c>
      <c r="Q517" t="str">
        <f>+VLOOKUP(O517,'COMISIONES ENERO-MARZO 2025 (2)'!$X:$Y,2,0)</f>
        <v>Octubre</v>
      </c>
    </row>
    <row r="518" spans="3:17" x14ac:dyDescent="0.35">
      <c r="C518" t="s">
        <v>326</v>
      </c>
      <c r="D518">
        <v>53059501</v>
      </c>
      <c r="E518" t="s">
        <v>327</v>
      </c>
      <c r="F518" s="26">
        <v>1915201.83</v>
      </c>
      <c r="G518" t="s">
        <v>1647</v>
      </c>
      <c r="H518" s="2">
        <v>45961</v>
      </c>
      <c r="I518" t="s">
        <v>1660</v>
      </c>
      <c r="J518" t="s">
        <v>1660</v>
      </c>
      <c r="K518" t="s">
        <v>44</v>
      </c>
      <c r="O518" s="10">
        <f t="shared" si="28"/>
        <v>10</v>
      </c>
      <c r="P518" s="10">
        <f t="shared" si="29"/>
        <v>2025</v>
      </c>
      <c r="Q518" t="str">
        <f>+VLOOKUP(O518,'COMISIONES ENERO-MARZO 2025 (2)'!$X:$Y,2,0)</f>
        <v>Octubre</v>
      </c>
    </row>
    <row r="519" spans="3:17" x14ac:dyDescent="0.35">
      <c r="C519" t="s">
        <v>326</v>
      </c>
      <c r="D519">
        <v>53059501</v>
      </c>
      <c r="E519" t="s">
        <v>327</v>
      </c>
      <c r="F519" s="26">
        <v>17465801.620000001</v>
      </c>
      <c r="G519" t="s">
        <v>1588</v>
      </c>
      <c r="H519" s="2">
        <v>45961</v>
      </c>
      <c r="I519" t="s">
        <v>1635</v>
      </c>
      <c r="J519" t="s">
        <v>1635</v>
      </c>
      <c r="K519" t="s">
        <v>1512</v>
      </c>
      <c r="O519" s="10">
        <f t="shared" si="28"/>
        <v>10</v>
      </c>
      <c r="P519" s="10">
        <f t="shared" si="29"/>
        <v>2025</v>
      </c>
      <c r="Q519" t="str">
        <f>+VLOOKUP(O519,'COMISIONES ENERO-MARZO 2025 (2)'!$X:$Y,2,0)</f>
        <v>Octubre</v>
      </c>
    </row>
    <row r="520" spans="3:17" x14ac:dyDescent="0.35">
      <c r="C520" t="s">
        <v>326</v>
      </c>
      <c r="D520">
        <v>53059501</v>
      </c>
      <c r="E520" t="s">
        <v>327</v>
      </c>
      <c r="F520" s="26">
        <v>13487</v>
      </c>
      <c r="G520" t="s">
        <v>1648</v>
      </c>
      <c r="H520" s="2">
        <v>45961</v>
      </c>
      <c r="I520" t="s">
        <v>1661</v>
      </c>
      <c r="J520" t="s">
        <v>1661</v>
      </c>
      <c r="K520" t="s">
        <v>1512</v>
      </c>
      <c r="O520" s="10">
        <f t="shared" si="28"/>
        <v>10</v>
      </c>
      <c r="P520" s="10">
        <f t="shared" si="29"/>
        <v>2025</v>
      </c>
      <c r="Q520" t="str">
        <f>+VLOOKUP(O520,'COMISIONES ENERO-MARZO 2025 (2)'!$X:$Y,2,0)</f>
        <v>Octubre</v>
      </c>
    </row>
    <row r="521" spans="3:17" x14ac:dyDescent="0.35">
      <c r="C521" t="s">
        <v>326</v>
      </c>
      <c r="D521">
        <v>53059501</v>
      </c>
      <c r="E521" t="s">
        <v>327</v>
      </c>
      <c r="F521" s="26">
        <v>2054</v>
      </c>
      <c r="G521" t="s">
        <v>1649</v>
      </c>
      <c r="H521" s="2">
        <v>45961</v>
      </c>
      <c r="I521" t="s">
        <v>1662</v>
      </c>
      <c r="J521" t="s">
        <v>1662</v>
      </c>
      <c r="K521" t="s">
        <v>1512</v>
      </c>
      <c r="O521" s="10">
        <f t="shared" si="28"/>
        <v>10</v>
      </c>
      <c r="P521" s="10">
        <f t="shared" si="29"/>
        <v>2025</v>
      </c>
      <c r="Q521" t="str">
        <f>+VLOOKUP(O521,'COMISIONES ENERO-MARZO 2025 (2)'!$X:$Y,2,0)</f>
        <v>Octubre</v>
      </c>
    </row>
    <row r="522" spans="3:17" s="43" customFormat="1" ht="5.25" customHeight="1" x14ac:dyDescent="0.35">
      <c r="F522" s="45"/>
      <c r="O522" s="46"/>
      <c r="P522" s="46"/>
    </row>
    <row r="523" spans="3:17" x14ac:dyDescent="0.35">
      <c r="C523" t="s">
        <v>326</v>
      </c>
      <c r="D523">
        <v>53059501</v>
      </c>
      <c r="E523" t="s">
        <v>327</v>
      </c>
      <c r="F523" s="26">
        <v>51764695</v>
      </c>
      <c r="G523" t="s">
        <v>1757</v>
      </c>
      <c r="H523" s="2">
        <v>46022</v>
      </c>
      <c r="I523" t="s">
        <v>1789</v>
      </c>
      <c r="J523" t="s">
        <v>1789</v>
      </c>
      <c r="K523" t="s">
        <v>19</v>
      </c>
      <c r="O523" s="10">
        <f>+MONTH(H523)</f>
        <v>12</v>
      </c>
      <c r="P523" s="10">
        <f>+YEAR(H523)</f>
        <v>2025</v>
      </c>
      <c r="Q523" t="str">
        <f>+VLOOKUP(O523,'COMISIONES ENERO-MARZO 2025 (2)'!$X:$Y,2,0)</f>
        <v>Diciembre</v>
      </c>
    </row>
    <row r="524" spans="3:17" x14ac:dyDescent="0.35">
      <c r="C524" t="s">
        <v>326</v>
      </c>
      <c r="D524">
        <v>53059501</v>
      </c>
      <c r="E524" t="s">
        <v>327</v>
      </c>
      <c r="F524" s="26">
        <v>44680391.549999997</v>
      </c>
      <c r="G524" t="s">
        <v>1753</v>
      </c>
      <c r="H524" s="2">
        <v>46022</v>
      </c>
      <c r="I524" t="s">
        <v>1785</v>
      </c>
      <c r="J524" t="s">
        <v>1785</v>
      </c>
      <c r="K524" t="s">
        <v>29</v>
      </c>
      <c r="O524" s="10">
        <f>+MONTH(H524)</f>
        <v>12</v>
      </c>
      <c r="P524" s="10">
        <f>+YEAR(H524)</f>
        <v>2025</v>
      </c>
      <c r="Q524" t="str">
        <f>+VLOOKUP(O524,'COMISIONES ENERO-MARZO 2025 (2)'!$X:$Y,2,0)</f>
        <v>Diciembre</v>
      </c>
    </row>
    <row r="525" spans="3:17" x14ac:dyDescent="0.35">
      <c r="C525" t="s">
        <v>326</v>
      </c>
      <c r="D525">
        <v>53059501</v>
      </c>
      <c r="E525" t="s">
        <v>327</v>
      </c>
      <c r="F525" s="26">
        <v>25173075.289999999</v>
      </c>
      <c r="G525" t="s">
        <v>1754</v>
      </c>
      <c r="H525" s="2">
        <v>46022</v>
      </c>
      <c r="I525" t="s">
        <v>1786</v>
      </c>
      <c r="J525" t="s">
        <v>1786</v>
      </c>
      <c r="K525" t="s">
        <v>1512</v>
      </c>
      <c r="O525" s="10">
        <f>+MONTH(H525)</f>
        <v>12</v>
      </c>
      <c r="P525" s="10">
        <f>+YEAR(H525)</f>
        <v>2025</v>
      </c>
      <c r="Q525" t="str">
        <f>+VLOOKUP(O525,'COMISIONES ENERO-MARZO 2025 (2)'!$X:$Y,2,0)</f>
        <v>Diciembre</v>
      </c>
    </row>
    <row r="526" spans="3:17" x14ac:dyDescent="0.35">
      <c r="C526" t="s">
        <v>326</v>
      </c>
      <c r="D526">
        <v>53059501</v>
      </c>
      <c r="E526" t="s">
        <v>327</v>
      </c>
      <c r="F526" s="26">
        <v>1851230.9</v>
      </c>
      <c r="G526" t="s">
        <v>1812</v>
      </c>
      <c r="H526" s="2">
        <v>46022</v>
      </c>
      <c r="I526" t="s">
        <v>1818</v>
      </c>
      <c r="J526" t="s">
        <v>1818</v>
      </c>
      <c r="K526" t="s">
        <v>616</v>
      </c>
      <c r="O526" s="10">
        <f>+MONTH(H526)</f>
        <v>12</v>
      </c>
      <c r="P526" s="10">
        <f>+YEAR(H526)</f>
        <v>2025</v>
      </c>
      <c r="Q526" t="str">
        <f>+VLOOKUP(O526,'COMISIONES ENERO-MARZO 2025 (2)'!$X:$Y,2,0)</f>
        <v>Diciembre</v>
      </c>
    </row>
    <row r="527" spans="3:17" x14ac:dyDescent="0.35">
      <c r="C527" t="s">
        <v>326</v>
      </c>
      <c r="D527">
        <v>53059501</v>
      </c>
      <c r="E527" t="s">
        <v>327</v>
      </c>
      <c r="F527" s="26">
        <v>1433841</v>
      </c>
      <c r="G527" t="s">
        <v>1836</v>
      </c>
      <c r="H527" s="2">
        <v>46022</v>
      </c>
      <c r="I527" t="s">
        <v>1837</v>
      </c>
      <c r="J527" t="s">
        <v>1837</v>
      </c>
      <c r="K527" t="s">
        <v>40</v>
      </c>
      <c r="O527" s="10">
        <v>12</v>
      </c>
      <c r="P527" s="10">
        <v>2025</v>
      </c>
      <c r="Q527" t="s">
        <v>250</v>
      </c>
    </row>
    <row r="528" spans="3:17" x14ac:dyDescent="0.35">
      <c r="C528" t="s">
        <v>326</v>
      </c>
      <c r="D528">
        <v>53059501</v>
      </c>
      <c r="E528" t="s">
        <v>327</v>
      </c>
      <c r="F528" s="26">
        <v>974938.82</v>
      </c>
      <c r="G528" t="s">
        <v>1755</v>
      </c>
      <c r="H528" s="2">
        <v>46022</v>
      </c>
      <c r="I528" t="s">
        <v>1787</v>
      </c>
      <c r="J528" t="s">
        <v>1787</v>
      </c>
      <c r="K528" t="s">
        <v>25</v>
      </c>
      <c r="O528" s="10">
        <f>+MONTH(H528)</f>
        <v>12</v>
      </c>
      <c r="P528" s="10">
        <f>+YEAR(H528)</f>
        <v>2025</v>
      </c>
      <c r="Q528" t="str">
        <f>+VLOOKUP(O528,'COMISIONES ENERO-MARZO 2025 (2)'!$X:$Y,2,0)</f>
        <v>Diciembre</v>
      </c>
    </row>
    <row r="529" spans="3:17" x14ac:dyDescent="0.35">
      <c r="C529" t="s">
        <v>326</v>
      </c>
      <c r="D529">
        <v>53059501</v>
      </c>
      <c r="E529" t="s">
        <v>327</v>
      </c>
      <c r="F529" s="26">
        <f>757704.24+29231.13</f>
        <v>786935.37</v>
      </c>
      <c r="G529" t="s">
        <v>1752</v>
      </c>
      <c r="H529" s="2">
        <v>46022</v>
      </c>
      <c r="I529" t="s">
        <v>1784</v>
      </c>
      <c r="J529" t="s">
        <v>1784</v>
      </c>
      <c r="K529" t="s">
        <v>29</v>
      </c>
      <c r="O529" s="10">
        <f>+MONTH(H529)</f>
        <v>12</v>
      </c>
      <c r="P529" s="10">
        <f>+YEAR(H529)</f>
        <v>2025</v>
      </c>
      <c r="Q529" t="str">
        <f>+VLOOKUP(O529,'COMISIONES ENERO-MARZO 2025 (2)'!$X:$Y,2,0)</f>
        <v>Diciembre</v>
      </c>
    </row>
    <row r="530" spans="3:17" x14ac:dyDescent="0.35">
      <c r="C530" t="s">
        <v>326</v>
      </c>
      <c r="D530">
        <v>53050501</v>
      </c>
      <c r="E530" t="s">
        <v>1807</v>
      </c>
      <c r="F530" s="26">
        <v>168067.23</v>
      </c>
      <c r="G530" t="s">
        <v>1771</v>
      </c>
      <c r="H530" s="2">
        <v>46006</v>
      </c>
      <c r="I530" t="s">
        <v>1801</v>
      </c>
      <c r="J530" t="s">
        <v>1801</v>
      </c>
      <c r="K530" t="s">
        <v>172</v>
      </c>
      <c r="O530" s="10">
        <f>+MONTH(H530)</f>
        <v>12</v>
      </c>
      <c r="P530" s="10">
        <f>+YEAR(H530)</f>
        <v>2025</v>
      </c>
      <c r="Q530" t="str">
        <f>+VLOOKUP(O530,'COMISIONES ENERO-MARZO 2025 (2)'!$X:$Y,2,0)</f>
        <v>Diciembre</v>
      </c>
    </row>
    <row r="531" spans="3:17" x14ac:dyDescent="0.35">
      <c r="C531" t="s">
        <v>326</v>
      </c>
      <c r="D531">
        <v>53059501</v>
      </c>
      <c r="E531" t="s">
        <v>327</v>
      </c>
      <c r="F531" s="26">
        <v>24471.84</v>
      </c>
      <c r="G531" t="s">
        <v>1810</v>
      </c>
      <c r="H531" s="2">
        <v>46022</v>
      </c>
      <c r="I531" t="s">
        <v>1816</v>
      </c>
      <c r="J531" t="s">
        <v>1816</v>
      </c>
      <c r="K531" t="s">
        <v>29</v>
      </c>
      <c r="O531" s="10">
        <f>+MONTH(H531)</f>
        <v>12</v>
      </c>
      <c r="P531" s="10">
        <f>+YEAR(H531)</f>
        <v>2025</v>
      </c>
      <c r="Q531" t="str">
        <f>+VLOOKUP(O531,'COMISIONES ENERO-MARZO 2025 (2)'!$X:$Y,2,0)</f>
        <v>Diciembre</v>
      </c>
    </row>
    <row r="532" spans="3:17" x14ac:dyDescent="0.35">
      <c r="C532" t="s">
        <v>326</v>
      </c>
      <c r="D532">
        <v>53059501</v>
      </c>
      <c r="E532" t="s">
        <v>327</v>
      </c>
      <c r="F532" s="26">
        <v>23906</v>
      </c>
      <c r="G532" t="s">
        <v>1808</v>
      </c>
      <c r="H532" s="2">
        <v>46000</v>
      </c>
      <c r="I532" t="s">
        <v>1814</v>
      </c>
      <c r="J532" t="s">
        <v>1814</v>
      </c>
      <c r="K532" t="s">
        <v>19</v>
      </c>
      <c r="O532" s="10">
        <f>+MONTH(H532)</f>
        <v>12</v>
      </c>
      <c r="P532" s="10">
        <f>+YEAR(H532)</f>
        <v>2025</v>
      </c>
      <c r="Q532" t="str">
        <f>+VLOOKUP(O532,'COMISIONES ENERO-MARZO 2025 (2)'!$X:$Y,2,0)</f>
        <v>Diciembre</v>
      </c>
    </row>
    <row r="533" spans="3:17" x14ac:dyDescent="0.35">
      <c r="C533" t="s">
        <v>326</v>
      </c>
      <c r="D533">
        <v>53059501</v>
      </c>
      <c r="E533" t="s">
        <v>327</v>
      </c>
      <c r="F533" s="26">
        <v>20123</v>
      </c>
      <c r="G533" t="s">
        <v>1811</v>
      </c>
      <c r="H533" s="2">
        <v>46022</v>
      </c>
      <c r="I533" t="s">
        <v>1817</v>
      </c>
      <c r="J533" t="s">
        <v>1817</v>
      </c>
      <c r="K533" t="s">
        <v>19</v>
      </c>
      <c r="O533" s="10">
        <f>+MONTH(H533)</f>
        <v>12</v>
      </c>
      <c r="P533" s="10">
        <f>+YEAR(H533)</f>
        <v>2025</v>
      </c>
      <c r="Q533" t="str">
        <f>+VLOOKUP(O533,'COMISIONES ENERO-MARZO 2025 (2)'!$X:$Y,2,0)</f>
        <v>Diciembre</v>
      </c>
    </row>
    <row r="534" spans="3:17" x14ac:dyDescent="0.35">
      <c r="C534" t="s">
        <v>326</v>
      </c>
      <c r="D534">
        <v>53059501</v>
      </c>
      <c r="E534" t="s">
        <v>327</v>
      </c>
      <c r="F534" s="26">
        <v>11913.6</v>
      </c>
      <c r="G534" t="s">
        <v>1762</v>
      </c>
      <c r="H534" s="2">
        <v>46022</v>
      </c>
      <c r="I534" t="s">
        <v>216</v>
      </c>
      <c r="J534" t="s">
        <v>216</v>
      </c>
      <c r="K534" t="s">
        <v>29</v>
      </c>
      <c r="O534" s="10">
        <f>+MONTH(H534)</f>
        <v>12</v>
      </c>
      <c r="P534" s="10">
        <f>+YEAR(H534)</f>
        <v>2025</v>
      </c>
      <c r="Q534" t="str">
        <f>+VLOOKUP(O534,'COMISIONES ENERO-MARZO 2025 (2)'!$X:$Y,2,0)</f>
        <v>Diciembre</v>
      </c>
    </row>
    <row r="535" spans="3:17" x14ac:dyDescent="0.35">
      <c r="C535" t="s">
        <v>326</v>
      </c>
      <c r="D535">
        <v>53059501</v>
      </c>
      <c r="E535" t="s">
        <v>327</v>
      </c>
      <c r="F535" s="26">
        <v>11216.8</v>
      </c>
      <c r="G535" t="s">
        <v>1741</v>
      </c>
      <c r="H535" s="2">
        <v>46002</v>
      </c>
      <c r="I535" t="s">
        <v>1360</v>
      </c>
      <c r="J535" t="s">
        <v>1360</v>
      </c>
      <c r="K535" t="s">
        <v>29</v>
      </c>
      <c r="O535" s="10">
        <f>+MONTH(H535)</f>
        <v>12</v>
      </c>
      <c r="P535" s="10">
        <f>+YEAR(H535)</f>
        <v>2025</v>
      </c>
      <c r="Q535" t="str">
        <f>+VLOOKUP(O535,'COMISIONES ENERO-MARZO 2025 (2)'!$X:$Y,2,0)</f>
        <v>Diciembre</v>
      </c>
    </row>
    <row r="536" spans="3:17" x14ac:dyDescent="0.35">
      <c r="C536" t="s">
        <v>326</v>
      </c>
      <c r="D536">
        <v>53059501</v>
      </c>
      <c r="E536" t="s">
        <v>327</v>
      </c>
      <c r="F536" s="26">
        <v>10288</v>
      </c>
      <c r="G536" t="s">
        <v>1758</v>
      </c>
      <c r="H536" s="2">
        <v>46022</v>
      </c>
      <c r="I536" t="s">
        <v>1790</v>
      </c>
      <c r="J536" t="s">
        <v>1790</v>
      </c>
      <c r="K536" t="s">
        <v>19</v>
      </c>
      <c r="O536" s="10">
        <f>+MONTH(H536)</f>
        <v>12</v>
      </c>
      <c r="P536" s="10">
        <f>+YEAR(H536)</f>
        <v>2025</v>
      </c>
      <c r="Q536" t="str">
        <f>+VLOOKUP(O536,'COMISIONES ENERO-MARZO 2025 (2)'!$X:$Y,2,0)</f>
        <v>Diciembre</v>
      </c>
    </row>
    <row r="537" spans="3:17" x14ac:dyDescent="0.35">
      <c r="C537" t="s">
        <v>326</v>
      </c>
      <c r="D537">
        <v>53059501</v>
      </c>
      <c r="E537" t="s">
        <v>327</v>
      </c>
      <c r="F537" s="26">
        <v>7382</v>
      </c>
      <c r="G537" t="s">
        <v>1809</v>
      </c>
      <c r="H537" s="2">
        <v>46020</v>
      </c>
      <c r="I537" t="s">
        <v>1815</v>
      </c>
      <c r="J537" t="s">
        <v>1815</v>
      </c>
      <c r="K537" t="s">
        <v>1512</v>
      </c>
      <c r="O537" s="10">
        <f>+MONTH(H537)</f>
        <v>12</v>
      </c>
      <c r="P537" s="10">
        <f>+YEAR(H537)</f>
        <v>2025</v>
      </c>
      <c r="Q537" t="str">
        <f>+VLOOKUP(O537,'COMISIONES ENERO-MARZO 2025 (2)'!$X:$Y,2,0)</f>
        <v>Diciembre</v>
      </c>
    </row>
    <row r="538" spans="3:17" x14ac:dyDescent="0.35">
      <c r="C538" t="s">
        <v>326</v>
      </c>
      <c r="D538">
        <v>53059501</v>
      </c>
      <c r="E538" t="s">
        <v>327</v>
      </c>
      <c r="F538" s="26">
        <v>6416.8</v>
      </c>
      <c r="G538" t="s">
        <v>1748</v>
      </c>
      <c r="H538" s="2">
        <v>46014</v>
      </c>
      <c r="I538" t="s">
        <v>155</v>
      </c>
      <c r="J538" t="s">
        <v>155</v>
      </c>
      <c r="K538" t="s">
        <v>29</v>
      </c>
      <c r="O538" s="10">
        <f>+MONTH(H538)</f>
        <v>12</v>
      </c>
      <c r="P538" s="10">
        <f>+YEAR(H538)</f>
        <v>2025</v>
      </c>
      <c r="Q538" t="str">
        <f>+VLOOKUP(O538,'COMISIONES ENERO-MARZO 2025 (2)'!$X:$Y,2,0)</f>
        <v>Diciembre</v>
      </c>
    </row>
    <row r="539" spans="3:17" x14ac:dyDescent="0.35">
      <c r="C539" t="s">
        <v>326</v>
      </c>
      <c r="D539">
        <v>53059501</v>
      </c>
      <c r="E539" t="s">
        <v>327</v>
      </c>
      <c r="F539" s="26">
        <v>5656.8</v>
      </c>
      <c r="G539" t="s">
        <v>1738</v>
      </c>
      <c r="H539" s="2">
        <v>45993</v>
      </c>
      <c r="I539" t="s">
        <v>155</v>
      </c>
      <c r="J539" t="s">
        <v>155</v>
      </c>
      <c r="K539" t="s">
        <v>29</v>
      </c>
      <c r="O539" s="10">
        <f>+MONTH(H539)</f>
        <v>12</v>
      </c>
      <c r="P539" s="10">
        <f>+YEAR(H539)</f>
        <v>2025</v>
      </c>
      <c r="Q539" t="str">
        <f>+VLOOKUP(O539,'COMISIONES ENERO-MARZO 2025 (2)'!$X:$Y,2,0)</f>
        <v>Diciembre</v>
      </c>
    </row>
    <row r="540" spans="3:17" x14ac:dyDescent="0.35">
      <c r="C540" t="s">
        <v>326</v>
      </c>
      <c r="D540">
        <v>53059501</v>
      </c>
      <c r="E540" t="s">
        <v>327</v>
      </c>
      <c r="F540" s="26">
        <v>5259.8</v>
      </c>
      <c r="G540" t="s">
        <v>1813</v>
      </c>
      <c r="H540" s="2">
        <v>46022</v>
      </c>
      <c r="I540" t="s">
        <v>1819</v>
      </c>
      <c r="J540" t="s">
        <v>1819</v>
      </c>
      <c r="K540" t="s">
        <v>29</v>
      </c>
      <c r="O540" s="10">
        <f>+MONTH(H540)</f>
        <v>12</v>
      </c>
      <c r="P540" s="10">
        <f>+YEAR(H540)</f>
        <v>2025</v>
      </c>
      <c r="Q540" t="str">
        <f>+VLOOKUP(O540,'COMISIONES ENERO-MARZO 2025 (2)'!$X:$Y,2,0)</f>
        <v>Diciembre</v>
      </c>
    </row>
    <row r="541" spans="3:17" x14ac:dyDescent="0.35">
      <c r="C541" t="s">
        <v>326</v>
      </c>
      <c r="D541">
        <v>53059501</v>
      </c>
      <c r="E541" t="s">
        <v>327</v>
      </c>
      <c r="F541" s="26">
        <v>4896.8</v>
      </c>
      <c r="G541" t="s">
        <v>1739</v>
      </c>
      <c r="H541" s="2">
        <v>45994</v>
      </c>
      <c r="I541" t="s">
        <v>216</v>
      </c>
      <c r="J541" t="s">
        <v>216</v>
      </c>
      <c r="K541" t="s">
        <v>29</v>
      </c>
      <c r="O541" s="10">
        <f>+MONTH(H541)</f>
        <v>12</v>
      </c>
      <c r="P541" s="10">
        <f>+YEAR(H541)</f>
        <v>2025</v>
      </c>
      <c r="Q541" t="str">
        <f>+VLOOKUP(O541,'COMISIONES ENERO-MARZO 2025 (2)'!$X:$Y,2,0)</f>
        <v>Diciembre</v>
      </c>
    </row>
    <row r="542" spans="3:17" x14ac:dyDescent="0.35">
      <c r="C542" t="s">
        <v>326</v>
      </c>
      <c r="D542">
        <v>53059501</v>
      </c>
      <c r="E542" t="s">
        <v>327</v>
      </c>
      <c r="F542" s="26">
        <v>4199.51</v>
      </c>
      <c r="G542" t="s">
        <v>1742</v>
      </c>
      <c r="H542" s="2">
        <v>46009</v>
      </c>
      <c r="I542" t="s">
        <v>1776</v>
      </c>
      <c r="J542" t="s">
        <v>1776</v>
      </c>
      <c r="K542" t="s">
        <v>29</v>
      </c>
      <c r="O542" s="10">
        <f>+MONTH(H542)</f>
        <v>12</v>
      </c>
      <c r="P542" s="10">
        <f>+YEAR(H542)</f>
        <v>2025</v>
      </c>
      <c r="Q542" t="str">
        <f>+VLOOKUP(O542,'COMISIONES ENERO-MARZO 2025 (2)'!$X:$Y,2,0)</f>
        <v>Diciembre</v>
      </c>
    </row>
    <row r="543" spans="3:17" x14ac:dyDescent="0.35">
      <c r="C543" t="s">
        <v>326</v>
      </c>
      <c r="D543">
        <v>53059501</v>
      </c>
      <c r="E543" t="s">
        <v>327</v>
      </c>
      <c r="F543" s="26">
        <v>3576.8</v>
      </c>
      <c r="G543" t="s">
        <v>1763</v>
      </c>
      <c r="H543" s="2">
        <v>46022</v>
      </c>
      <c r="I543" t="s">
        <v>155</v>
      </c>
      <c r="J543" t="s">
        <v>155</v>
      </c>
      <c r="K543" t="s">
        <v>29</v>
      </c>
      <c r="O543" s="10">
        <f>+MONTH(H543)</f>
        <v>12</v>
      </c>
      <c r="P543" s="10">
        <f>+YEAR(H543)</f>
        <v>2025</v>
      </c>
      <c r="Q543" t="str">
        <f>+VLOOKUP(O543,'COMISIONES ENERO-MARZO 2025 (2)'!$X:$Y,2,0)</f>
        <v>Diciembre</v>
      </c>
    </row>
    <row r="544" spans="3:17" x14ac:dyDescent="0.35">
      <c r="C544" t="s">
        <v>326</v>
      </c>
      <c r="D544">
        <v>53059501</v>
      </c>
      <c r="E544" t="s">
        <v>327</v>
      </c>
      <c r="F544" s="26">
        <v>428.4</v>
      </c>
      <c r="G544" t="s">
        <v>1756</v>
      </c>
      <c r="H544" s="2">
        <v>46022</v>
      </c>
      <c r="I544" t="s">
        <v>1788</v>
      </c>
      <c r="J544" t="s">
        <v>1788</v>
      </c>
      <c r="K544" t="s">
        <v>534</v>
      </c>
      <c r="O544" s="10">
        <f>+MONTH(H544)</f>
        <v>12</v>
      </c>
      <c r="P544" s="10">
        <f>+YEAR(H544)</f>
        <v>2025</v>
      </c>
      <c r="Q544" t="str">
        <f>+VLOOKUP(O544,'COMISIONES ENERO-MARZO 2025 (2)'!$X:$Y,2,0)</f>
        <v>Diciembre</v>
      </c>
    </row>
    <row r="545" spans="3:17" s="43" customFormat="1" ht="5.25" customHeight="1" x14ac:dyDescent="0.35">
      <c r="F545" s="45"/>
      <c r="O545" s="46"/>
      <c r="P545" s="46"/>
    </row>
    <row r="546" spans="3:17" x14ac:dyDescent="0.35">
      <c r="C546" t="s">
        <v>326</v>
      </c>
      <c r="D546">
        <v>53059501</v>
      </c>
      <c r="E546" t="s">
        <v>327</v>
      </c>
      <c r="F546" s="26">
        <v>10856.8</v>
      </c>
      <c r="G546" t="s">
        <v>1664</v>
      </c>
      <c r="H546" s="2">
        <v>45967</v>
      </c>
      <c r="I546" t="s">
        <v>155</v>
      </c>
      <c r="J546" t="s">
        <v>155</v>
      </c>
      <c r="K546" t="s">
        <v>29</v>
      </c>
      <c r="O546" s="10">
        <f t="shared" ref="O546:O566" si="30">+MONTH(H546)</f>
        <v>11</v>
      </c>
      <c r="P546" s="10">
        <f t="shared" ref="P546:P566" si="31">+YEAR(H546)</f>
        <v>2025</v>
      </c>
      <c r="Q546" t="str">
        <f>+VLOOKUP(O546,'COMISIONES ENERO-MARZO 2025 (2)'!$X:$Y,2,0)</f>
        <v>Noviembre</v>
      </c>
    </row>
    <row r="547" spans="3:17" x14ac:dyDescent="0.35">
      <c r="C547" t="s">
        <v>326</v>
      </c>
      <c r="D547">
        <v>53059501</v>
      </c>
      <c r="E547" t="s">
        <v>327</v>
      </c>
      <c r="F547" s="26">
        <v>3656.8</v>
      </c>
      <c r="G547" t="s">
        <v>1665</v>
      </c>
      <c r="H547" s="2">
        <v>45967</v>
      </c>
      <c r="I547" t="s">
        <v>208</v>
      </c>
      <c r="J547" t="s">
        <v>208</v>
      </c>
      <c r="K547" t="s">
        <v>29</v>
      </c>
      <c r="O547" s="10">
        <f t="shared" si="30"/>
        <v>11</v>
      </c>
      <c r="P547" s="10">
        <f t="shared" si="31"/>
        <v>2025</v>
      </c>
      <c r="Q547" t="str">
        <f>+VLOOKUP(O547,'COMISIONES ENERO-MARZO 2025 (2)'!$X:$Y,2,0)</f>
        <v>Noviembre</v>
      </c>
    </row>
    <row r="548" spans="3:17" x14ac:dyDescent="0.35">
      <c r="C548" t="s">
        <v>326</v>
      </c>
      <c r="D548">
        <v>53059501</v>
      </c>
      <c r="E548" t="s">
        <v>327</v>
      </c>
      <c r="F548" s="26">
        <v>5416.8</v>
      </c>
      <c r="G548" t="s">
        <v>1667</v>
      </c>
      <c r="H548" s="2">
        <v>45973</v>
      </c>
      <c r="I548" t="s">
        <v>208</v>
      </c>
      <c r="J548" t="s">
        <v>208</v>
      </c>
      <c r="K548" t="s">
        <v>29</v>
      </c>
      <c r="O548" s="10">
        <f t="shared" si="30"/>
        <v>11</v>
      </c>
      <c r="P548" s="10">
        <f t="shared" si="31"/>
        <v>2025</v>
      </c>
      <c r="Q548" t="str">
        <f>+VLOOKUP(O548,'COMISIONES ENERO-MARZO 2025 (2)'!$X:$Y,2,0)</f>
        <v>Noviembre</v>
      </c>
    </row>
    <row r="549" spans="3:17" x14ac:dyDescent="0.35">
      <c r="C549" t="s">
        <v>326</v>
      </c>
      <c r="D549">
        <v>53059501</v>
      </c>
      <c r="E549" t="s">
        <v>327</v>
      </c>
      <c r="F549" s="26">
        <v>5816.8</v>
      </c>
      <c r="G549" t="s">
        <v>1668</v>
      </c>
      <c r="H549" s="2">
        <v>45980</v>
      </c>
      <c r="I549" t="s">
        <v>155</v>
      </c>
      <c r="J549" t="s">
        <v>155</v>
      </c>
      <c r="K549" t="s">
        <v>29</v>
      </c>
      <c r="O549" s="10">
        <f t="shared" si="30"/>
        <v>11</v>
      </c>
      <c r="P549" s="10">
        <f t="shared" si="31"/>
        <v>2025</v>
      </c>
      <c r="Q549" t="str">
        <f>+VLOOKUP(O549,'COMISIONES ENERO-MARZO 2025 (2)'!$X:$Y,2,0)</f>
        <v>Noviembre</v>
      </c>
    </row>
    <row r="550" spans="3:17" x14ac:dyDescent="0.35">
      <c r="C550" t="s">
        <v>326</v>
      </c>
      <c r="D550">
        <v>53059501</v>
      </c>
      <c r="E550" t="s">
        <v>327</v>
      </c>
      <c r="F550" s="26">
        <v>826</v>
      </c>
      <c r="G550" t="s">
        <v>1820</v>
      </c>
      <c r="H550" s="2">
        <v>45985</v>
      </c>
      <c r="I550" t="s">
        <v>1828</v>
      </c>
      <c r="J550" t="s">
        <v>1828</v>
      </c>
      <c r="K550" t="s">
        <v>534</v>
      </c>
      <c r="O550" s="10">
        <f t="shared" si="30"/>
        <v>11</v>
      </c>
      <c r="P550" s="10">
        <f t="shared" si="31"/>
        <v>2025</v>
      </c>
      <c r="Q550" t="str">
        <f>+VLOOKUP(O550,'COMISIONES ENERO-MARZO 2025 (2)'!$X:$Y,2,0)</f>
        <v>Noviembre</v>
      </c>
    </row>
    <row r="551" spans="3:17" x14ac:dyDescent="0.35">
      <c r="C551" t="s">
        <v>326</v>
      </c>
      <c r="D551">
        <v>53059501</v>
      </c>
      <c r="E551" t="s">
        <v>327</v>
      </c>
      <c r="F551" s="26">
        <v>4696.8</v>
      </c>
      <c r="G551" t="s">
        <v>1670</v>
      </c>
      <c r="H551" s="2">
        <v>45985</v>
      </c>
      <c r="I551" t="s">
        <v>155</v>
      </c>
      <c r="J551" t="s">
        <v>155</v>
      </c>
      <c r="K551" t="s">
        <v>29</v>
      </c>
      <c r="O551" s="10">
        <f t="shared" si="30"/>
        <v>11</v>
      </c>
      <c r="P551" s="10">
        <f t="shared" si="31"/>
        <v>2025</v>
      </c>
      <c r="Q551" t="str">
        <f>+VLOOKUP(O551,'COMISIONES ENERO-MARZO 2025 (2)'!$X:$Y,2,0)</f>
        <v>Noviembre</v>
      </c>
    </row>
    <row r="552" spans="3:17" x14ac:dyDescent="0.35">
      <c r="C552" t="s">
        <v>326</v>
      </c>
      <c r="D552">
        <v>53059501</v>
      </c>
      <c r="E552" t="s">
        <v>327</v>
      </c>
      <c r="F552" s="26">
        <v>416.8</v>
      </c>
      <c r="G552" t="s">
        <v>1671</v>
      </c>
      <c r="H552" s="2">
        <v>45989</v>
      </c>
      <c r="I552" t="s">
        <v>155</v>
      </c>
      <c r="J552" t="s">
        <v>155</v>
      </c>
      <c r="K552" t="s">
        <v>29</v>
      </c>
      <c r="O552" s="10">
        <f t="shared" si="30"/>
        <v>11</v>
      </c>
      <c r="P552" s="10">
        <f t="shared" si="31"/>
        <v>2025</v>
      </c>
      <c r="Q552" t="str">
        <f>+VLOOKUP(O552,'COMISIONES ENERO-MARZO 2025 (2)'!$X:$Y,2,0)</f>
        <v>Noviembre</v>
      </c>
    </row>
    <row r="553" spans="3:17" x14ac:dyDescent="0.35">
      <c r="C553" t="s">
        <v>326</v>
      </c>
      <c r="D553">
        <v>53059501</v>
      </c>
      <c r="E553" t="s">
        <v>327</v>
      </c>
      <c r="F553" s="26">
        <v>40933891.189999998</v>
      </c>
      <c r="G553" t="s">
        <v>1672</v>
      </c>
      <c r="H553" s="2">
        <v>45991</v>
      </c>
      <c r="I553" t="s">
        <v>1707</v>
      </c>
      <c r="J553" t="s">
        <v>1707</v>
      </c>
      <c r="K553" t="s">
        <v>29</v>
      </c>
      <c r="O553" s="10">
        <f t="shared" si="30"/>
        <v>11</v>
      </c>
      <c r="P553" s="10">
        <f t="shared" si="31"/>
        <v>2025</v>
      </c>
      <c r="Q553" t="str">
        <f>+VLOOKUP(O553,'COMISIONES ENERO-MARZO 2025 (2)'!$X:$Y,2,0)</f>
        <v>Noviembre</v>
      </c>
    </row>
    <row r="554" spans="3:17" x14ac:dyDescent="0.35">
      <c r="C554" t="s">
        <v>326</v>
      </c>
      <c r="D554">
        <v>53059501</v>
      </c>
      <c r="E554" t="s">
        <v>327</v>
      </c>
      <c r="F554" s="26">
        <v>878604.68</v>
      </c>
      <c r="G554" t="s">
        <v>1673</v>
      </c>
      <c r="H554" s="2">
        <v>45991</v>
      </c>
      <c r="I554" t="s">
        <v>1708</v>
      </c>
      <c r="J554" t="s">
        <v>1708</v>
      </c>
      <c r="K554" t="s">
        <v>29</v>
      </c>
      <c r="O554" s="10">
        <f t="shared" si="30"/>
        <v>11</v>
      </c>
      <c r="P554" s="10">
        <f t="shared" si="31"/>
        <v>2025</v>
      </c>
      <c r="Q554" t="str">
        <f>+VLOOKUP(O554,'COMISIONES ENERO-MARZO 2025 (2)'!$X:$Y,2,0)</f>
        <v>Noviembre</v>
      </c>
    </row>
    <row r="555" spans="3:17" x14ac:dyDescent="0.35">
      <c r="C555" t="s">
        <v>326</v>
      </c>
      <c r="D555">
        <v>53059501</v>
      </c>
      <c r="E555" t="s">
        <v>327</v>
      </c>
      <c r="F555" s="26">
        <v>12892.21</v>
      </c>
      <c r="G555" t="s">
        <v>1821</v>
      </c>
      <c r="H555" s="2">
        <v>45991</v>
      </c>
      <c r="I555" t="s">
        <v>1829</v>
      </c>
      <c r="J555" t="s">
        <v>1829</v>
      </c>
      <c r="K555" t="s">
        <v>29</v>
      </c>
      <c r="O555" s="10">
        <f t="shared" si="30"/>
        <v>11</v>
      </c>
      <c r="P555" s="10">
        <f t="shared" si="31"/>
        <v>2025</v>
      </c>
      <c r="Q555" t="str">
        <f>+VLOOKUP(O555,'COMISIONES ENERO-MARZO 2025 (2)'!$X:$Y,2,0)</f>
        <v>Noviembre</v>
      </c>
    </row>
    <row r="556" spans="3:17" x14ac:dyDescent="0.35">
      <c r="C556" t="s">
        <v>326</v>
      </c>
      <c r="D556">
        <v>53059501</v>
      </c>
      <c r="E556" t="s">
        <v>327</v>
      </c>
      <c r="F556" s="26">
        <v>35006.550000000003</v>
      </c>
      <c r="G556" t="s">
        <v>1822</v>
      </c>
      <c r="H556" s="2">
        <v>45991</v>
      </c>
      <c r="I556" t="s">
        <v>1830</v>
      </c>
      <c r="J556" t="s">
        <v>1830</v>
      </c>
      <c r="K556" t="s">
        <v>25</v>
      </c>
      <c r="O556" s="10">
        <f t="shared" si="30"/>
        <v>11</v>
      </c>
      <c r="P556" s="10">
        <f t="shared" si="31"/>
        <v>2025</v>
      </c>
      <c r="Q556" t="str">
        <f>+VLOOKUP(O556,'COMISIONES ENERO-MARZO 2025 (2)'!$X:$Y,2,0)</f>
        <v>Noviembre</v>
      </c>
    </row>
    <row r="557" spans="3:17" x14ac:dyDescent="0.35">
      <c r="C557" t="s">
        <v>326</v>
      </c>
      <c r="D557">
        <v>53059501</v>
      </c>
      <c r="E557" t="s">
        <v>327</v>
      </c>
      <c r="F557" s="26">
        <v>41390481</v>
      </c>
      <c r="G557" t="s">
        <v>1675</v>
      </c>
      <c r="H557" s="2">
        <v>45991</v>
      </c>
      <c r="I557" t="s">
        <v>1710</v>
      </c>
      <c r="J557" t="s">
        <v>1710</v>
      </c>
      <c r="K557" t="s">
        <v>19</v>
      </c>
      <c r="O557" s="10">
        <f t="shared" si="30"/>
        <v>11</v>
      </c>
      <c r="P557" s="10">
        <f t="shared" si="31"/>
        <v>2025</v>
      </c>
      <c r="Q557" t="str">
        <f>+VLOOKUP(O557,'COMISIONES ENERO-MARZO 2025 (2)'!$X:$Y,2,0)</f>
        <v>Noviembre</v>
      </c>
    </row>
    <row r="558" spans="3:17" x14ac:dyDescent="0.35">
      <c r="C558" t="s">
        <v>326</v>
      </c>
      <c r="D558">
        <v>53059501</v>
      </c>
      <c r="E558" t="s">
        <v>327</v>
      </c>
      <c r="F558" s="26">
        <v>20653</v>
      </c>
      <c r="G558" t="s">
        <v>1676</v>
      </c>
      <c r="H558" s="2">
        <v>45991</v>
      </c>
      <c r="I558" t="s">
        <v>1711</v>
      </c>
      <c r="J558" t="s">
        <v>1711</v>
      </c>
      <c r="K558" t="s">
        <v>19</v>
      </c>
      <c r="O558" s="10">
        <f t="shared" si="30"/>
        <v>11</v>
      </c>
      <c r="P558" s="10">
        <f t="shared" si="31"/>
        <v>2025</v>
      </c>
      <c r="Q558" t="str">
        <f>+VLOOKUP(O558,'COMISIONES ENERO-MARZO 2025 (2)'!$X:$Y,2,0)</f>
        <v>Noviembre</v>
      </c>
    </row>
    <row r="559" spans="3:17" x14ac:dyDescent="0.35">
      <c r="C559" t="s">
        <v>326</v>
      </c>
      <c r="D559">
        <v>53059501</v>
      </c>
      <c r="E559" t="s">
        <v>327</v>
      </c>
      <c r="F559" s="26">
        <v>33131</v>
      </c>
      <c r="G559" t="s">
        <v>1823</v>
      </c>
      <c r="H559" s="2">
        <v>45991</v>
      </c>
      <c r="I559" t="s">
        <v>1831</v>
      </c>
      <c r="J559" t="s">
        <v>1831</v>
      </c>
      <c r="K559" t="s">
        <v>19</v>
      </c>
      <c r="O559" s="10">
        <f t="shared" si="30"/>
        <v>11</v>
      </c>
      <c r="P559" s="10">
        <f t="shared" si="31"/>
        <v>2025</v>
      </c>
      <c r="Q559" t="str">
        <f>+VLOOKUP(O559,'COMISIONES ENERO-MARZO 2025 (2)'!$X:$Y,2,0)</f>
        <v>Noviembre</v>
      </c>
    </row>
    <row r="560" spans="3:17" x14ac:dyDescent="0.35">
      <c r="C560" t="s">
        <v>326</v>
      </c>
      <c r="D560">
        <v>53059501</v>
      </c>
      <c r="E560" t="s">
        <v>327</v>
      </c>
      <c r="F560" s="26">
        <v>20782010.239999998</v>
      </c>
      <c r="G560" t="s">
        <v>1677</v>
      </c>
      <c r="H560" s="2">
        <v>45991</v>
      </c>
      <c r="I560" t="s">
        <v>1712</v>
      </c>
      <c r="J560" t="s">
        <v>1712</v>
      </c>
      <c r="K560" t="s">
        <v>1512</v>
      </c>
      <c r="O560" s="10">
        <f t="shared" si="30"/>
        <v>11</v>
      </c>
      <c r="P560" s="10">
        <f t="shared" si="31"/>
        <v>2025</v>
      </c>
      <c r="Q560" t="str">
        <f>+VLOOKUP(O560,'COMISIONES ENERO-MARZO 2025 (2)'!$X:$Y,2,0)</f>
        <v>Noviembre</v>
      </c>
    </row>
    <row r="561" spans="3:17" x14ac:dyDescent="0.35">
      <c r="C561" t="s">
        <v>326</v>
      </c>
      <c r="D561">
        <v>53059501</v>
      </c>
      <c r="E561" t="s">
        <v>327</v>
      </c>
      <c r="F561" s="26">
        <v>564682</v>
      </c>
      <c r="G561" t="s">
        <v>1679</v>
      </c>
      <c r="H561" s="2">
        <v>45991</v>
      </c>
      <c r="I561" t="s">
        <v>1714</v>
      </c>
      <c r="J561" t="s">
        <v>1714</v>
      </c>
      <c r="K561" t="s">
        <v>40</v>
      </c>
      <c r="O561" s="10">
        <f t="shared" si="30"/>
        <v>11</v>
      </c>
      <c r="P561" s="10">
        <f t="shared" si="31"/>
        <v>2025</v>
      </c>
      <c r="Q561" t="str">
        <f>+VLOOKUP(O561,'COMISIONES ENERO-MARZO 2025 (2)'!$X:$Y,2,0)</f>
        <v>Noviembre</v>
      </c>
    </row>
    <row r="562" spans="3:17" x14ac:dyDescent="0.35">
      <c r="C562" t="s">
        <v>326</v>
      </c>
      <c r="D562">
        <v>53059501</v>
      </c>
      <c r="E562" t="s">
        <v>327</v>
      </c>
      <c r="F562" s="26">
        <v>404.6</v>
      </c>
      <c r="G562" t="s">
        <v>1681</v>
      </c>
      <c r="H562" s="2">
        <v>45991</v>
      </c>
      <c r="I562" t="s">
        <v>1717</v>
      </c>
      <c r="J562" t="s">
        <v>1717</v>
      </c>
      <c r="K562" t="s">
        <v>534</v>
      </c>
      <c r="O562" s="10">
        <f t="shared" si="30"/>
        <v>11</v>
      </c>
      <c r="P562" s="10">
        <f t="shared" si="31"/>
        <v>2025</v>
      </c>
      <c r="Q562" t="str">
        <f>+VLOOKUP(O562,'COMISIONES ENERO-MARZO 2025 (2)'!$X:$Y,2,0)</f>
        <v>Noviembre</v>
      </c>
    </row>
    <row r="563" spans="3:17" x14ac:dyDescent="0.35">
      <c r="C563" t="s">
        <v>326</v>
      </c>
      <c r="D563">
        <v>53059501</v>
      </c>
      <c r="E563" t="s">
        <v>327</v>
      </c>
      <c r="F563" s="26">
        <v>1944146.52</v>
      </c>
      <c r="G563" t="s">
        <v>1824</v>
      </c>
      <c r="H563" s="2">
        <v>45991</v>
      </c>
      <c r="I563" t="s">
        <v>1832</v>
      </c>
      <c r="J563" t="s">
        <v>1832</v>
      </c>
      <c r="K563" t="s">
        <v>616</v>
      </c>
      <c r="O563" s="10">
        <f t="shared" si="30"/>
        <v>11</v>
      </c>
      <c r="P563" s="10">
        <f t="shared" si="31"/>
        <v>2025</v>
      </c>
      <c r="Q563" t="str">
        <f>+VLOOKUP(O563,'COMISIONES ENERO-MARZO 2025 (2)'!$X:$Y,2,0)</f>
        <v>Noviembre</v>
      </c>
    </row>
    <row r="564" spans="3:17" x14ac:dyDescent="0.35">
      <c r="C564" t="s">
        <v>326</v>
      </c>
      <c r="D564">
        <v>53059501</v>
      </c>
      <c r="E564" t="s">
        <v>327</v>
      </c>
      <c r="F564" s="26">
        <v>5520</v>
      </c>
      <c r="G564" t="s">
        <v>1825</v>
      </c>
      <c r="H564" s="2">
        <v>45991</v>
      </c>
      <c r="I564" t="s">
        <v>1833</v>
      </c>
      <c r="J564" t="s">
        <v>1833</v>
      </c>
      <c r="K564" t="s">
        <v>19</v>
      </c>
      <c r="O564" s="10">
        <f t="shared" si="30"/>
        <v>11</v>
      </c>
      <c r="P564" s="10">
        <f t="shared" si="31"/>
        <v>2025</v>
      </c>
      <c r="Q564" t="str">
        <f>+VLOOKUP(O564,'COMISIONES ENERO-MARZO 2025 (2)'!$X:$Y,2,0)</f>
        <v>Noviembre</v>
      </c>
    </row>
    <row r="565" spans="3:17" x14ac:dyDescent="0.35">
      <c r="C565" t="s">
        <v>326</v>
      </c>
      <c r="D565">
        <v>53059501</v>
      </c>
      <c r="E565" t="s">
        <v>327</v>
      </c>
      <c r="F565" s="26">
        <v>28295</v>
      </c>
      <c r="G565" t="s">
        <v>1826</v>
      </c>
      <c r="H565" s="2">
        <v>45991</v>
      </c>
      <c r="I565" t="s">
        <v>1834</v>
      </c>
      <c r="J565" t="s">
        <v>1834</v>
      </c>
      <c r="K565" t="s">
        <v>19</v>
      </c>
      <c r="O565" s="10">
        <f t="shared" si="30"/>
        <v>11</v>
      </c>
      <c r="P565" s="10">
        <f t="shared" si="31"/>
        <v>2025</v>
      </c>
      <c r="Q565" t="str">
        <f>+VLOOKUP(O565,'COMISIONES ENERO-MARZO 2025 (2)'!$X:$Y,2,0)</f>
        <v>Noviembre</v>
      </c>
    </row>
    <row r="566" spans="3:17" x14ac:dyDescent="0.35">
      <c r="C566" t="s">
        <v>326</v>
      </c>
      <c r="D566">
        <v>53059501</v>
      </c>
      <c r="E566" t="s">
        <v>327</v>
      </c>
      <c r="F566" s="26">
        <v>2659</v>
      </c>
      <c r="G566" t="s">
        <v>1827</v>
      </c>
      <c r="H566" s="2">
        <v>45991</v>
      </c>
      <c r="I566" t="s">
        <v>1835</v>
      </c>
      <c r="J566" t="s">
        <v>1835</v>
      </c>
      <c r="K566" t="s">
        <v>1512</v>
      </c>
      <c r="O566" s="10">
        <f t="shared" si="30"/>
        <v>11</v>
      </c>
      <c r="P566" s="10">
        <f t="shared" si="31"/>
        <v>2025</v>
      </c>
      <c r="Q566" t="str">
        <f>+VLOOKUP(O566,'COMISIONES ENERO-MARZO 2025 (2)'!$X:$Y,2,0)</f>
        <v>Noviembre</v>
      </c>
    </row>
    <row r="568" spans="3:17" x14ac:dyDescent="0.35">
      <c r="F568" s="26">
        <f>+F570-F569</f>
        <v>29231.129999995232</v>
      </c>
    </row>
    <row r="569" spans="3:17" x14ac:dyDescent="0.35">
      <c r="F569" s="47">
        <v>126775612.95</v>
      </c>
    </row>
    <row r="570" spans="3:17" x14ac:dyDescent="0.35">
      <c r="F570" s="26">
        <v>126804844.08</v>
      </c>
    </row>
  </sheetData>
  <autoFilter ref="A1:P385" xr:uid="{CD7E8721-0139-49A0-96EA-D1CD7E87F27E}"/>
  <sortState xmlns:xlrd2="http://schemas.microsoft.com/office/spreadsheetml/2017/richdata2" ref="A523:Q544">
    <sortCondition descending="1" ref="F523:F544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25EEF-2AEE-459B-ADFC-E8EDE527F1B5}">
  <dimension ref="A1"/>
  <sheetViews>
    <sheetView workbookViewId="0">
      <selection activeCell="H38" sqref="H38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TD</vt:lpstr>
      <vt:lpstr>TD </vt:lpstr>
      <vt:lpstr>COMISIONES ENERO-MARZO 2025</vt:lpstr>
      <vt:lpstr>COMISIONES ENERO-MARZO 2025 (2)</vt:lpstr>
      <vt:lpstr>COMISIONES</vt:lpstr>
      <vt:lpstr>4 x 1000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Camilo Lopez</dc:creator>
  <cp:lastModifiedBy>Cristian Camilo Lopez</cp:lastModifiedBy>
  <dcterms:created xsi:type="dcterms:W3CDTF">2025-04-05T22:52:38Z</dcterms:created>
  <dcterms:modified xsi:type="dcterms:W3CDTF">2026-01-20T02:04:44Z</dcterms:modified>
</cp:coreProperties>
</file>