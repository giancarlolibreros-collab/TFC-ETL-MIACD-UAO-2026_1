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lopez\Downloads\"/>
    </mc:Choice>
  </mc:AlternateContent>
  <xr:revisionPtr revIDLastSave="0" documentId="8_{364895EF-A9BE-4E04-95B3-F77EAA7BBE93}" xr6:coauthVersionLast="47" xr6:coauthVersionMax="47" xr10:uidLastSave="{00000000-0000-0000-0000-000000000000}"/>
  <bookViews>
    <workbookView xWindow="-120" yWindow="-120" windowWidth="29040" windowHeight="15720" xr2:uid="{7E873DB7-B8E2-42D2-BFB1-28D6B0E29DFE}"/>
  </bookViews>
  <sheets>
    <sheet name="Creditos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D38" i="1"/>
  <c r="C38" i="1"/>
  <c r="D37" i="1"/>
  <c r="C37" i="1"/>
  <c r="D35" i="1"/>
  <c r="C35" i="1"/>
  <c r="C28" i="1"/>
  <c r="D36" i="1" s="1"/>
  <c r="C26" i="1"/>
  <c r="D34" i="1" s="1"/>
  <c r="D16" i="1"/>
  <c r="C36" i="1" l="1"/>
  <c r="C31" i="1"/>
  <c r="C34" i="1"/>
</calcChain>
</file>

<file path=xl/sharedStrings.xml><?xml version="1.0" encoding="utf-8"?>
<sst xmlns="http://schemas.openxmlformats.org/spreadsheetml/2006/main" count="38" uniqueCount="29">
  <si>
    <t>ENTIDAD</t>
  </si>
  <si>
    <t>VALOR</t>
  </si>
  <si>
    <t>NOTA</t>
  </si>
  <si>
    <t>BANCO BOGOTA</t>
  </si>
  <si>
    <t>Periodo de gracia probabilidad de 2 años, negociación de buena tasa.</t>
  </si>
  <si>
    <t>BANCO DE OCCIDENTE</t>
  </si>
  <si>
    <t>A 36 meses, intereses trimestrales y capital semestral</t>
  </si>
  <si>
    <t>BANCO POPULAR</t>
  </si>
  <si>
    <t>Pendiente evaluación de cupos</t>
  </si>
  <si>
    <t>BANCO ITAÚ</t>
  </si>
  <si>
    <t>Plazo de 3 años includo 1 de gracia</t>
  </si>
  <si>
    <t>BANCO DAVIVIENDA</t>
  </si>
  <si>
    <t>BANCO BBVA</t>
  </si>
  <si>
    <t>Cesar BBV</t>
  </si>
  <si>
    <t>BANCOLOMBIA</t>
  </si>
  <si>
    <t>El plazo máximo de la utilización del cupo es de 60 meses con 24 meses de gracia. Para los desembolsos de cartera con un plazo superior a 36 meses se debe contar con fiducia en garantía que tienen constituida en Fiduciaria Popular, por el valor del monto a desembolsar (cobertura 1/1).</t>
  </si>
  <si>
    <t>SERFINANZAS</t>
  </si>
  <si>
    <t>36 MESES - TRIMESTRAL IBR-3.3%</t>
  </si>
  <si>
    <t>TASA SOBREGIRO</t>
  </si>
  <si>
    <t>20.40% N.A.D.V</t>
  </si>
  <si>
    <t>Tasa Nominal Anual, Descontada, Vencida (es decir, nominal anual con capitalización mensual vencida).</t>
  </si>
  <si>
    <t>DAVIVIENDA</t>
  </si>
  <si>
    <t>19,50%EA</t>
  </si>
  <si>
    <t>BOGOTA</t>
  </si>
  <si>
    <t>Antes 18.9% a partir del 25 de julio queda en 20.68%EA</t>
  </si>
  <si>
    <t>Cambia a 18.9 desde el 09 de septiembre de  2025</t>
  </si>
  <si>
    <t>POPULAR</t>
  </si>
  <si>
    <t>ITAÚ</t>
  </si>
  <si>
    <t>14% NDV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</si>
</sst>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&quot;$&quot;#,##0\ &quot;M&quot;"/>
    <numFmt numFmtId="165" formatCode="0.00%\ &quot;E.A&quot;"/>
    <numFmt numFmtId="166" formatCode="0.0%\ &quot;E.A&quot;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double">
        <color theme="0" tint="-0.3499862666707357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/>
    <xf numFmtId="44" fontId="2" fillId="2" borderId="1" xfId="1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166" fontId="0" fillId="0" borderId="0" xfId="2" applyNumberFormat="1" applyFont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left"/>
    </xf>
    <xf numFmtId="166" fontId="3" fillId="0" borderId="0" xfId="0" applyNumberFormat="1" applyFont="1" applyAlignment="1">
      <alignment horizontal="center"/>
    </xf>
    <xf numFmtId="10" fontId="0" fillId="0" borderId="0" xfId="2" applyNumberFormat="1" applyFont="1"/>
    <xf numFmtId="10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416889</xdr:colOff>
      <xdr:row>21</xdr:row>
      <xdr:rowOff>0</xdr:rowOff>
    </xdr:from>
    <xdr:to>
      <xdr:col>14</xdr:col>
      <xdr:colOff>606141</xdr:colOff>
      <xdr:row>41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D14D3A-5ADF-4457-B658-B51D4D446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99189" y="3400425"/>
          <a:ext cx="4761252" cy="3752850"/>
        </a:xfrm>
        <a:prstGeom prst="rect">
          <a:avLst/>
        </a:prstGeom>
      </xdr:spPr>
    </xdr:pic>
    <xdr:clientData/>
  </xdr:twoCellAnchor>
  <xdr:twoCellAnchor editAs="oneCell">
    <xdr:from>
      <xdr:col>4</xdr:col>
      <xdr:colOff>1172810</xdr:colOff>
      <xdr:row>29</xdr:row>
      <xdr:rowOff>123824</xdr:rowOff>
    </xdr:from>
    <xdr:to>
      <xdr:col>7</xdr:col>
      <xdr:colOff>439309</xdr:colOff>
      <xdr:row>42</xdr:row>
      <xdr:rowOff>114873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27DD40-9079-4A0A-9E7B-71DA68D3C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01910" y="4952999"/>
          <a:ext cx="5057699" cy="25056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59A10-4F25-43EB-BCD5-170D4653ABB1}">
  <sheetPr>
    <tabColor theme="3" tint="0.249977111117893"/>
  </sheetPr>
  <dimension ref="B2:F42"/>
  <sheetViews>
    <sheetView showGridLines="0" tabSelected="1" topLeftCell="A19" workbookViewId="0">
      <selection activeCell="E44" sqref="E44"/>
    </sheetView>
  </sheetViews>
  <sheetFormatPr baseColWidth="10" defaultRowHeight="15" x14ac:dyDescent="0.25"/>
  <cols>
    <col min="2" max="2" width="14" bestFit="1" customWidth="1"/>
    <col min="3" max="3" width="20.5703125" bestFit="1" customWidth="1"/>
    <col min="4" max="4" width="17.42578125" style="3" bestFit="1" customWidth="1"/>
    <col min="5" max="5" width="64" bestFit="1" customWidth="1"/>
  </cols>
  <sheetData>
    <row r="2" spans="3:5" ht="15.75" thickBot="1" x14ac:dyDescent="0.3">
      <c r="C2" s="1" t="s">
        <v>0</v>
      </c>
      <c r="D2" s="2" t="s">
        <v>1</v>
      </c>
      <c r="E2" s="1" t="s">
        <v>2</v>
      </c>
    </row>
    <row r="3" spans="3:5" ht="15.75" thickTop="1" x14ac:dyDescent="0.25"/>
    <row r="4" spans="3:5" x14ac:dyDescent="0.25">
      <c r="C4" t="s">
        <v>3</v>
      </c>
      <c r="D4" s="4">
        <v>27000</v>
      </c>
      <c r="E4" t="s">
        <v>4</v>
      </c>
    </row>
    <row r="5" spans="3:5" ht="8.25" customHeight="1" x14ac:dyDescent="0.25">
      <c r="D5" s="4"/>
    </row>
    <row r="6" spans="3:5" x14ac:dyDescent="0.25">
      <c r="C6" t="s">
        <v>5</v>
      </c>
      <c r="D6" s="4">
        <v>7300</v>
      </c>
      <c r="E6" t="s">
        <v>6</v>
      </c>
    </row>
    <row r="7" spans="3:5" ht="8.25" customHeight="1" x14ac:dyDescent="0.25">
      <c r="D7" s="4"/>
    </row>
    <row r="8" spans="3:5" x14ac:dyDescent="0.25">
      <c r="C8" t="s">
        <v>7</v>
      </c>
      <c r="D8" s="4">
        <v>0</v>
      </c>
      <c r="E8" t="s">
        <v>8</v>
      </c>
    </row>
    <row r="9" spans="3:5" ht="8.25" customHeight="1" x14ac:dyDescent="0.25">
      <c r="D9" s="4"/>
    </row>
    <row r="10" spans="3:5" x14ac:dyDescent="0.25">
      <c r="C10" t="s">
        <v>9</v>
      </c>
      <c r="D10" s="4">
        <v>15000</v>
      </c>
      <c r="E10" t="s">
        <v>10</v>
      </c>
    </row>
    <row r="11" spans="3:5" ht="8.25" customHeight="1" x14ac:dyDescent="0.25">
      <c r="D11" s="4"/>
    </row>
    <row r="12" spans="3:5" x14ac:dyDescent="0.25">
      <c r="C12" t="s">
        <v>11</v>
      </c>
      <c r="D12" s="4"/>
    </row>
    <row r="13" spans="3:5" ht="8.25" customHeight="1" x14ac:dyDescent="0.25">
      <c r="D13" s="4"/>
    </row>
    <row r="14" spans="3:5" x14ac:dyDescent="0.25">
      <c r="C14" t="s">
        <v>12</v>
      </c>
      <c r="D14" s="4"/>
      <c r="E14" t="s">
        <v>13</v>
      </c>
    </row>
    <row r="15" spans="3:5" ht="8.25" customHeight="1" x14ac:dyDescent="0.25">
      <c r="D15" s="4"/>
    </row>
    <row r="16" spans="3:5" x14ac:dyDescent="0.25">
      <c r="C16" t="s">
        <v>14</v>
      </c>
      <c r="D16" s="4">
        <f>15012955555/1000000</f>
        <v>15012.955555</v>
      </c>
      <c r="E16" t="s">
        <v>15</v>
      </c>
    </row>
    <row r="17" spans="2:6" ht="6.75" customHeight="1" x14ac:dyDescent="0.25">
      <c r="D17" s="4"/>
    </row>
    <row r="18" spans="2:6" x14ac:dyDescent="0.25">
      <c r="C18" t="s">
        <v>16</v>
      </c>
      <c r="D18" s="4">
        <v>500</v>
      </c>
      <c r="E18" t="s">
        <v>17</v>
      </c>
    </row>
    <row r="24" spans="2:6" ht="15.75" thickBot="1" x14ac:dyDescent="0.3">
      <c r="B24" s="1" t="s">
        <v>0</v>
      </c>
      <c r="C24" s="2" t="s">
        <v>18</v>
      </c>
      <c r="D24"/>
    </row>
    <row r="25" spans="2:6" ht="6.75" customHeight="1" thickTop="1" x14ac:dyDescent="0.25">
      <c r="C25" s="3"/>
      <c r="D25"/>
    </row>
    <row r="26" spans="2:6" x14ac:dyDescent="0.25">
      <c r="B26" t="s">
        <v>14</v>
      </c>
      <c r="C26" s="5">
        <f>+(1+((20.4%)/12))^12-1</f>
        <v>0.22419735005332386</v>
      </c>
      <c r="D26" s="3" t="s">
        <v>19</v>
      </c>
      <c r="E26" t="s">
        <v>20</v>
      </c>
    </row>
    <row r="27" spans="2:6" x14ac:dyDescent="0.25">
      <c r="B27" t="s">
        <v>21</v>
      </c>
      <c r="C27" s="5">
        <v>0.19500000000000001</v>
      </c>
      <c r="D27" s="6" t="s">
        <v>22</v>
      </c>
    </row>
    <row r="28" spans="2:6" x14ac:dyDescent="0.25">
      <c r="B28" t="s">
        <v>23</v>
      </c>
      <c r="C28" s="5">
        <f>+D28</f>
        <v>0.189</v>
      </c>
      <c r="D28" s="7">
        <v>0.189</v>
      </c>
      <c r="E28" t="s">
        <v>24</v>
      </c>
      <c r="F28" t="s">
        <v>25</v>
      </c>
    </row>
    <row r="29" spans="2:6" x14ac:dyDescent="0.25">
      <c r="B29" t="s">
        <v>26</v>
      </c>
      <c r="C29" s="5"/>
      <c r="D29" s="7"/>
    </row>
    <row r="30" spans="2:6" ht="15.75" thickBot="1" x14ac:dyDescent="0.3">
      <c r="B30" t="s">
        <v>27</v>
      </c>
      <c r="C30" s="8">
        <v>0.13619999999999999</v>
      </c>
      <c r="D30" s="9" t="s">
        <v>28</v>
      </c>
      <c r="E30" s="10">
        <v>0.22140000000000001</v>
      </c>
    </row>
    <row r="31" spans="2:6" ht="15.75" thickTop="1" x14ac:dyDescent="0.25">
      <c r="C31" s="11">
        <f>+AVERAGE(C26:C30)</f>
        <v>0.18609933751333096</v>
      </c>
      <c r="D31" s="6"/>
    </row>
    <row r="33" spans="2:4" ht="15.75" thickBot="1" x14ac:dyDescent="0.3">
      <c r="B33" s="1" t="s">
        <v>0</v>
      </c>
      <c r="C33" s="2" t="s">
        <v>18</v>
      </c>
    </row>
    <row r="34" spans="2:4" ht="15.75" thickTop="1" x14ac:dyDescent="0.25">
      <c r="B34" t="s">
        <v>14</v>
      </c>
      <c r="C34" s="12">
        <f>+(1+C26)^(1/12)-1</f>
        <v>1.6999999999999904E-2</v>
      </c>
      <c r="D34" s="12">
        <f>+(1+C26)^(1/365)-1</f>
        <v>5.5436018933074926E-4</v>
      </c>
    </row>
    <row r="35" spans="2:4" x14ac:dyDescent="0.25">
      <c r="B35" t="s">
        <v>21</v>
      </c>
      <c r="C35" s="12">
        <f>+(1+C27)^(1/12)-1</f>
        <v>1.4956257441789633E-2</v>
      </c>
      <c r="D35" s="12">
        <f t="shared" ref="D35:D38" si="0">+(1+C27)^(1/365)-1</f>
        <v>4.8819086716855864E-4</v>
      </c>
    </row>
    <row r="36" spans="2:4" x14ac:dyDescent="0.25">
      <c r="B36" t="s">
        <v>23</v>
      </c>
      <c r="C36" s="12">
        <f t="shared" ref="C36:C38" si="1">+(1+C28)^(1/12)-1</f>
        <v>1.4530609136026662E-2</v>
      </c>
      <c r="D36" s="12">
        <f t="shared" si="0"/>
        <v>4.7439363349233155E-4</v>
      </c>
    </row>
    <row r="37" spans="2:4" x14ac:dyDescent="0.25">
      <c r="B37" t="s">
        <v>26</v>
      </c>
      <c r="C37" s="12">
        <f t="shared" si="1"/>
        <v>0</v>
      </c>
      <c r="D37" s="12">
        <f t="shared" si="0"/>
        <v>0</v>
      </c>
    </row>
    <row r="38" spans="2:4" x14ac:dyDescent="0.25">
      <c r="B38" t="s">
        <v>27</v>
      </c>
      <c r="C38" s="12">
        <f t="shared" si="1"/>
        <v>1.0697594533420451E-2</v>
      </c>
      <c r="D38" s="12">
        <f t="shared" si="0"/>
        <v>3.4989506514260249E-4</v>
      </c>
    </row>
    <row r="39" spans="2:4" x14ac:dyDescent="0.25">
      <c r="C39" s="12"/>
    </row>
    <row r="41" spans="2:4" x14ac:dyDescent="0.25">
      <c r="C41" s="13">
        <v>0.24759999999999999</v>
      </c>
    </row>
    <row r="42" spans="2:4" x14ac:dyDescent="0.25">
      <c r="C42" s="13">
        <f>+C41/12</f>
        <v>2.0633333333333333E-2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Creditos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Camilo Lopez</dc:creator>
  <cp:lastModifiedBy>Cristian Camilo Lopez</cp:lastModifiedBy>
  <dcterms:created xsi:type="dcterms:W3CDTF">2026-02-11T18:23:42Z</dcterms:created>
  <dcterms:modified xsi:type="dcterms:W3CDTF">2026-02-11T18:24:00Z</dcterms:modified>
</cp:coreProperties>
</file>