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lopez\Downloads\"/>
    </mc:Choice>
  </mc:AlternateContent>
  <xr:revisionPtr revIDLastSave="0" documentId="8_{30E2B916-34AA-4D61-AC64-2C1E4B4306BA}" xr6:coauthVersionLast="47" xr6:coauthVersionMax="47" xr10:uidLastSave="{00000000-0000-0000-0000-000000000000}"/>
  <bookViews>
    <workbookView xWindow="-120" yWindow="-120" windowWidth="29040" windowHeight="15720" xr2:uid="{C5FBDAB5-444A-4950-B105-00C6FA3B21A3}"/>
  </bookViews>
  <sheets>
    <sheet name="Intereses" sheetId="1" r:id="rId1"/>
  </sheets>
  <definedNames>
    <definedName name="_xlnm._FilterDatabase" localSheetId="0" hidden="1">Intereses!$A$1:$P$709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62" i="1" l="1"/>
  <c r="O762" i="1"/>
  <c r="N762" i="1"/>
  <c r="O761" i="1"/>
  <c r="P761" i="1" s="1"/>
  <c r="N761" i="1"/>
  <c r="P760" i="1"/>
  <c r="O760" i="1"/>
  <c r="N760" i="1"/>
  <c r="O759" i="1"/>
  <c r="P759" i="1" s="1"/>
  <c r="N759" i="1"/>
  <c r="O758" i="1"/>
  <c r="P758" i="1" s="1"/>
  <c r="N758" i="1"/>
  <c r="O757" i="1"/>
  <c r="P757" i="1" s="1"/>
  <c r="N757" i="1"/>
  <c r="P756" i="1"/>
  <c r="O756" i="1"/>
  <c r="N756" i="1"/>
  <c r="O755" i="1"/>
  <c r="P755" i="1" s="1"/>
  <c r="N755" i="1"/>
  <c r="P754" i="1"/>
  <c r="O754" i="1"/>
  <c r="N754" i="1"/>
  <c r="O753" i="1"/>
  <c r="P753" i="1" s="1"/>
  <c r="N753" i="1"/>
  <c r="P752" i="1"/>
  <c r="O752" i="1"/>
  <c r="N752" i="1"/>
  <c r="O751" i="1"/>
  <c r="P751" i="1" s="1"/>
  <c r="N751" i="1"/>
  <c r="O750" i="1"/>
  <c r="P750" i="1" s="1"/>
  <c r="N750" i="1"/>
  <c r="O749" i="1"/>
  <c r="P749" i="1" s="1"/>
  <c r="N749" i="1"/>
  <c r="P748" i="1"/>
  <c r="O748" i="1"/>
  <c r="N748" i="1"/>
  <c r="O747" i="1"/>
  <c r="P747" i="1" s="1"/>
  <c r="N747" i="1"/>
  <c r="P746" i="1"/>
  <c r="O746" i="1"/>
  <c r="N746" i="1"/>
  <c r="O745" i="1"/>
  <c r="P745" i="1" s="1"/>
  <c r="N745" i="1"/>
  <c r="P744" i="1"/>
  <c r="O744" i="1"/>
  <c r="N744" i="1"/>
  <c r="O743" i="1"/>
  <c r="P743" i="1" s="1"/>
  <c r="N743" i="1"/>
  <c r="O742" i="1"/>
  <c r="P742" i="1" s="1"/>
  <c r="N742" i="1"/>
  <c r="O741" i="1"/>
  <c r="P741" i="1" s="1"/>
  <c r="N741" i="1"/>
  <c r="P740" i="1"/>
  <c r="O740" i="1"/>
  <c r="N740" i="1"/>
  <c r="O739" i="1"/>
  <c r="P739" i="1" s="1"/>
  <c r="N739" i="1"/>
  <c r="P738" i="1"/>
  <c r="O738" i="1"/>
  <c r="N738" i="1"/>
  <c r="O737" i="1"/>
  <c r="P737" i="1" s="1"/>
  <c r="N737" i="1"/>
  <c r="P736" i="1"/>
  <c r="O736" i="1"/>
  <c r="N736" i="1"/>
  <c r="O735" i="1"/>
  <c r="P735" i="1" s="1"/>
  <c r="N735" i="1"/>
  <c r="O734" i="1"/>
  <c r="P734" i="1" s="1"/>
  <c r="N734" i="1"/>
  <c r="O733" i="1"/>
  <c r="P733" i="1" s="1"/>
  <c r="N733" i="1"/>
  <c r="P732" i="1"/>
  <c r="O732" i="1"/>
  <c r="N732" i="1"/>
  <c r="O731" i="1"/>
  <c r="P731" i="1" s="1"/>
  <c r="N731" i="1"/>
  <c r="P730" i="1"/>
  <c r="O730" i="1"/>
  <c r="N730" i="1"/>
  <c r="O729" i="1"/>
  <c r="P729" i="1" s="1"/>
  <c r="N729" i="1"/>
  <c r="P728" i="1"/>
  <c r="O728" i="1"/>
  <c r="N728" i="1"/>
  <c r="O727" i="1"/>
  <c r="P727" i="1" s="1"/>
  <c r="N727" i="1"/>
  <c r="O726" i="1"/>
  <c r="P726" i="1" s="1"/>
  <c r="N726" i="1"/>
  <c r="O725" i="1"/>
  <c r="P725" i="1" s="1"/>
  <c r="N725" i="1"/>
  <c r="P724" i="1"/>
  <c r="O724" i="1"/>
  <c r="N724" i="1"/>
  <c r="P723" i="1"/>
  <c r="O723" i="1"/>
  <c r="N723" i="1"/>
  <c r="P722" i="1"/>
  <c r="O722" i="1"/>
  <c r="N722" i="1"/>
  <c r="O721" i="1"/>
  <c r="P721" i="1" s="1"/>
  <c r="N721" i="1"/>
  <c r="P720" i="1"/>
  <c r="O720" i="1"/>
  <c r="N720" i="1"/>
  <c r="O719" i="1"/>
  <c r="P719" i="1" s="1"/>
  <c r="N719" i="1"/>
  <c r="O718" i="1"/>
  <c r="P718" i="1" s="1"/>
  <c r="N718" i="1"/>
  <c r="O717" i="1"/>
  <c r="P717" i="1" s="1"/>
  <c r="N717" i="1"/>
  <c r="P716" i="1"/>
  <c r="O716" i="1"/>
  <c r="N716" i="1"/>
  <c r="O715" i="1"/>
  <c r="P715" i="1" s="1"/>
  <c r="N715" i="1"/>
  <c r="P713" i="1"/>
  <c r="O713" i="1"/>
  <c r="N713" i="1"/>
  <c r="O712" i="1"/>
  <c r="P712" i="1" s="1"/>
  <c r="N712" i="1"/>
  <c r="P711" i="1"/>
  <c r="O711" i="1"/>
  <c r="N711" i="1"/>
  <c r="O710" i="1"/>
  <c r="P710" i="1" s="1"/>
  <c r="N710" i="1"/>
  <c r="O709" i="1"/>
  <c r="P709" i="1" s="1"/>
  <c r="N709" i="1"/>
  <c r="O708" i="1"/>
  <c r="P708" i="1" s="1"/>
  <c r="N708" i="1"/>
  <c r="P707" i="1"/>
  <c r="O707" i="1"/>
  <c r="N707" i="1"/>
  <c r="O706" i="1"/>
  <c r="P706" i="1" s="1"/>
  <c r="N706" i="1"/>
  <c r="P705" i="1"/>
  <c r="O705" i="1"/>
  <c r="N705" i="1"/>
  <c r="O704" i="1"/>
  <c r="P704" i="1" s="1"/>
  <c r="N704" i="1"/>
  <c r="P703" i="1"/>
  <c r="O703" i="1"/>
  <c r="N703" i="1"/>
  <c r="O702" i="1"/>
  <c r="P702" i="1" s="1"/>
  <c r="N702" i="1"/>
  <c r="O701" i="1"/>
  <c r="P701" i="1" s="1"/>
  <c r="N701" i="1"/>
  <c r="O700" i="1"/>
  <c r="P700" i="1" s="1"/>
  <c r="N700" i="1"/>
  <c r="P699" i="1"/>
  <c r="O699" i="1"/>
  <c r="N699" i="1"/>
  <c r="O698" i="1"/>
  <c r="P698" i="1" s="1"/>
  <c r="N698" i="1"/>
  <c r="P697" i="1"/>
  <c r="O697" i="1"/>
  <c r="N697" i="1"/>
  <c r="O696" i="1"/>
  <c r="P696" i="1" s="1"/>
  <c r="N696" i="1"/>
  <c r="P695" i="1"/>
  <c r="O695" i="1"/>
  <c r="N695" i="1"/>
  <c r="O694" i="1"/>
  <c r="P694" i="1" s="1"/>
  <c r="N694" i="1"/>
  <c r="O693" i="1"/>
  <c r="P693" i="1" s="1"/>
  <c r="N693" i="1"/>
  <c r="O692" i="1"/>
  <c r="P692" i="1" s="1"/>
  <c r="N692" i="1"/>
  <c r="P691" i="1"/>
  <c r="O691" i="1"/>
  <c r="N691" i="1"/>
  <c r="O690" i="1"/>
  <c r="P690" i="1" s="1"/>
  <c r="N690" i="1"/>
  <c r="P689" i="1"/>
  <c r="O689" i="1"/>
  <c r="N689" i="1"/>
  <c r="O688" i="1"/>
  <c r="P688" i="1" s="1"/>
  <c r="N688" i="1"/>
  <c r="P687" i="1"/>
  <c r="O687" i="1"/>
  <c r="N687" i="1"/>
  <c r="O686" i="1"/>
  <c r="P686" i="1" s="1"/>
  <c r="N686" i="1"/>
  <c r="O685" i="1"/>
  <c r="P685" i="1" s="1"/>
  <c r="N685" i="1"/>
  <c r="O684" i="1"/>
  <c r="P684" i="1" s="1"/>
  <c r="N684" i="1"/>
  <c r="P683" i="1"/>
  <c r="O683" i="1"/>
  <c r="N683" i="1"/>
  <c r="O682" i="1"/>
  <c r="P682" i="1" s="1"/>
  <c r="N682" i="1"/>
  <c r="P681" i="1"/>
  <c r="O681" i="1"/>
  <c r="N681" i="1"/>
  <c r="O680" i="1"/>
  <c r="P680" i="1" s="1"/>
  <c r="N680" i="1"/>
  <c r="P679" i="1"/>
  <c r="O679" i="1"/>
  <c r="N679" i="1"/>
  <c r="O678" i="1"/>
  <c r="P678" i="1" s="1"/>
  <c r="N678" i="1"/>
  <c r="O677" i="1"/>
  <c r="P677" i="1" s="1"/>
  <c r="N677" i="1"/>
  <c r="O676" i="1"/>
  <c r="P676" i="1" s="1"/>
  <c r="N676" i="1"/>
  <c r="P675" i="1"/>
  <c r="O675" i="1"/>
  <c r="N675" i="1"/>
  <c r="O674" i="1"/>
  <c r="P674" i="1" s="1"/>
  <c r="N674" i="1"/>
  <c r="P673" i="1"/>
  <c r="O673" i="1"/>
  <c r="N673" i="1"/>
  <c r="O672" i="1"/>
  <c r="P672" i="1" s="1"/>
  <c r="N672" i="1"/>
  <c r="P671" i="1"/>
  <c r="O671" i="1"/>
  <c r="N671" i="1"/>
  <c r="O670" i="1"/>
  <c r="P670" i="1" s="1"/>
  <c r="N670" i="1"/>
  <c r="O669" i="1"/>
  <c r="P669" i="1" s="1"/>
  <c r="N669" i="1"/>
  <c r="O668" i="1"/>
  <c r="P668" i="1" s="1"/>
  <c r="N668" i="1"/>
  <c r="P667" i="1"/>
  <c r="O667" i="1"/>
  <c r="N667" i="1"/>
  <c r="O666" i="1"/>
  <c r="P666" i="1" s="1"/>
  <c r="N666" i="1"/>
  <c r="P664" i="1"/>
  <c r="O664" i="1"/>
  <c r="N664" i="1"/>
  <c r="O663" i="1"/>
  <c r="P663" i="1" s="1"/>
  <c r="N663" i="1"/>
  <c r="P662" i="1"/>
  <c r="O662" i="1"/>
  <c r="N662" i="1"/>
  <c r="O661" i="1"/>
  <c r="P661" i="1" s="1"/>
  <c r="N661" i="1"/>
  <c r="O660" i="1"/>
  <c r="P660" i="1" s="1"/>
  <c r="N660" i="1"/>
  <c r="O659" i="1"/>
  <c r="P659" i="1" s="1"/>
  <c r="N659" i="1"/>
  <c r="P658" i="1"/>
  <c r="O658" i="1"/>
  <c r="N658" i="1"/>
  <c r="O657" i="1"/>
  <c r="P657" i="1" s="1"/>
  <c r="N657" i="1"/>
  <c r="P656" i="1"/>
  <c r="O656" i="1"/>
  <c r="N656" i="1"/>
  <c r="O655" i="1"/>
  <c r="P655" i="1" s="1"/>
  <c r="N655" i="1"/>
  <c r="P654" i="1"/>
  <c r="O654" i="1"/>
  <c r="N654" i="1"/>
  <c r="O653" i="1"/>
  <c r="P653" i="1" s="1"/>
  <c r="N653" i="1"/>
  <c r="O652" i="1"/>
  <c r="P652" i="1" s="1"/>
  <c r="N652" i="1"/>
  <c r="O651" i="1"/>
  <c r="P651" i="1" s="1"/>
  <c r="N651" i="1"/>
  <c r="P650" i="1"/>
  <c r="O650" i="1"/>
  <c r="N650" i="1"/>
  <c r="O649" i="1"/>
  <c r="P649" i="1" s="1"/>
  <c r="N649" i="1"/>
  <c r="P648" i="1"/>
  <c r="O648" i="1"/>
  <c r="N648" i="1"/>
  <c r="O647" i="1"/>
  <c r="P647" i="1" s="1"/>
  <c r="N647" i="1"/>
  <c r="P646" i="1"/>
  <c r="O646" i="1"/>
  <c r="N646" i="1"/>
  <c r="O645" i="1"/>
  <c r="P645" i="1" s="1"/>
  <c r="N645" i="1"/>
  <c r="O644" i="1"/>
  <c r="P644" i="1" s="1"/>
  <c r="N644" i="1"/>
  <c r="O643" i="1"/>
  <c r="P643" i="1" s="1"/>
  <c r="N643" i="1"/>
  <c r="P642" i="1"/>
  <c r="O642" i="1"/>
  <c r="N642" i="1"/>
  <c r="O641" i="1"/>
  <c r="P641" i="1" s="1"/>
  <c r="N641" i="1"/>
  <c r="P640" i="1"/>
  <c r="O640" i="1"/>
  <c r="N640" i="1"/>
  <c r="O639" i="1"/>
  <c r="P639" i="1" s="1"/>
  <c r="N639" i="1"/>
  <c r="P638" i="1"/>
  <c r="O638" i="1"/>
  <c r="N638" i="1"/>
  <c r="O637" i="1"/>
  <c r="P637" i="1" s="1"/>
  <c r="N637" i="1"/>
  <c r="O636" i="1"/>
  <c r="P636" i="1" s="1"/>
  <c r="N636" i="1"/>
  <c r="O635" i="1"/>
  <c r="P635" i="1" s="1"/>
  <c r="N635" i="1"/>
  <c r="P634" i="1"/>
  <c r="O634" i="1"/>
  <c r="N634" i="1"/>
  <c r="O633" i="1"/>
  <c r="P633" i="1" s="1"/>
  <c r="N633" i="1"/>
  <c r="P632" i="1"/>
  <c r="O632" i="1"/>
  <c r="N632" i="1"/>
  <c r="O631" i="1"/>
  <c r="P631" i="1" s="1"/>
  <c r="N631" i="1"/>
  <c r="P630" i="1"/>
  <c r="O630" i="1"/>
  <c r="N630" i="1"/>
  <c r="O629" i="1"/>
  <c r="P629" i="1" s="1"/>
  <c r="N629" i="1"/>
  <c r="O628" i="1"/>
  <c r="P628" i="1" s="1"/>
  <c r="N628" i="1"/>
  <c r="O627" i="1"/>
  <c r="P627" i="1" s="1"/>
  <c r="N627" i="1"/>
  <c r="P626" i="1"/>
  <c r="O626" i="1"/>
  <c r="N626" i="1"/>
  <c r="O625" i="1"/>
  <c r="P625" i="1" s="1"/>
  <c r="N625" i="1"/>
  <c r="P623" i="1"/>
  <c r="O623" i="1"/>
  <c r="N623" i="1"/>
  <c r="O622" i="1"/>
  <c r="P622" i="1" s="1"/>
  <c r="N622" i="1"/>
  <c r="P621" i="1"/>
  <c r="O621" i="1"/>
  <c r="N621" i="1"/>
  <c r="O620" i="1"/>
  <c r="P620" i="1" s="1"/>
  <c r="N620" i="1"/>
  <c r="O619" i="1"/>
  <c r="P619" i="1" s="1"/>
  <c r="N619" i="1"/>
  <c r="O618" i="1"/>
  <c r="P618" i="1" s="1"/>
  <c r="N618" i="1"/>
  <c r="P617" i="1"/>
  <c r="O617" i="1"/>
  <c r="N617" i="1"/>
  <c r="O616" i="1"/>
  <c r="P616" i="1" s="1"/>
  <c r="N616" i="1"/>
  <c r="P615" i="1"/>
  <c r="O615" i="1"/>
  <c r="N615" i="1"/>
  <c r="O614" i="1"/>
  <c r="P614" i="1" s="1"/>
  <c r="N614" i="1"/>
  <c r="P613" i="1"/>
  <c r="O613" i="1"/>
  <c r="N613" i="1"/>
  <c r="O612" i="1"/>
  <c r="P612" i="1" s="1"/>
  <c r="N612" i="1"/>
  <c r="O611" i="1"/>
  <c r="P611" i="1" s="1"/>
  <c r="N611" i="1"/>
  <c r="O610" i="1"/>
  <c r="P610" i="1" s="1"/>
  <c r="N610" i="1"/>
  <c r="P609" i="1"/>
  <c r="O609" i="1"/>
  <c r="N609" i="1"/>
  <c r="O608" i="1"/>
  <c r="P608" i="1" s="1"/>
  <c r="N608" i="1"/>
  <c r="P607" i="1"/>
  <c r="O607" i="1"/>
  <c r="N607" i="1"/>
  <c r="O606" i="1"/>
  <c r="P606" i="1" s="1"/>
  <c r="N606" i="1"/>
  <c r="P605" i="1"/>
  <c r="O605" i="1"/>
  <c r="N605" i="1"/>
  <c r="O604" i="1"/>
  <c r="P604" i="1" s="1"/>
  <c r="N604" i="1"/>
  <c r="O603" i="1"/>
  <c r="P603" i="1" s="1"/>
  <c r="N603" i="1"/>
  <c r="O602" i="1"/>
  <c r="P602" i="1" s="1"/>
  <c r="N602" i="1"/>
  <c r="P601" i="1"/>
  <c r="O601" i="1"/>
  <c r="N601" i="1"/>
  <c r="O600" i="1"/>
  <c r="P600" i="1" s="1"/>
  <c r="N600" i="1"/>
  <c r="P599" i="1"/>
  <c r="O599" i="1"/>
  <c r="N599" i="1"/>
  <c r="O598" i="1"/>
  <c r="P598" i="1" s="1"/>
  <c r="N598" i="1"/>
  <c r="P597" i="1"/>
  <c r="O597" i="1"/>
  <c r="N597" i="1"/>
  <c r="O596" i="1"/>
  <c r="P596" i="1" s="1"/>
  <c r="N596" i="1"/>
  <c r="O595" i="1"/>
  <c r="P595" i="1" s="1"/>
  <c r="N595" i="1"/>
  <c r="O594" i="1"/>
  <c r="P594" i="1" s="1"/>
  <c r="N594" i="1"/>
  <c r="P593" i="1"/>
  <c r="O593" i="1"/>
  <c r="N593" i="1"/>
  <c r="O592" i="1"/>
  <c r="P592" i="1" s="1"/>
  <c r="N592" i="1"/>
  <c r="P591" i="1"/>
  <c r="O591" i="1"/>
  <c r="N591" i="1"/>
  <c r="O590" i="1"/>
  <c r="P590" i="1" s="1"/>
  <c r="N590" i="1"/>
  <c r="P589" i="1"/>
  <c r="O589" i="1"/>
  <c r="N589" i="1"/>
  <c r="O588" i="1"/>
  <c r="P588" i="1" s="1"/>
  <c r="N588" i="1"/>
  <c r="O587" i="1"/>
  <c r="P587" i="1" s="1"/>
  <c r="N587" i="1"/>
  <c r="O586" i="1"/>
  <c r="P586" i="1" s="1"/>
  <c r="N586" i="1"/>
  <c r="P585" i="1"/>
  <c r="O585" i="1"/>
  <c r="N585" i="1"/>
  <c r="O584" i="1"/>
  <c r="P584" i="1" s="1"/>
  <c r="N584" i="1"/>
  <c r="P583" i="1"/>
  <c r="O583" i="1"/>
  <c r="N583" i="1"/>
  <c r="O582" i="1"/>
  <c r="P582" i="1" s="1"/>
  <c r="N582" i="1"/>
  <c r="P581" i="1"/>
  <c r="O581" i="1"/>
  <c r="N581" i="1"/>
  <c r="O580" i="1"/>
  <c r="P580" i="1" s="1"/>
  <c r="N580" i="1"/>
  <c r="O579" i="1"/>
  <c r="P579" i="1" s="1"/>
  <c r="N579" i="1"/>
  <c r="O578" i="1"/>
  <c r="P578" i="1" s="1"/>
  <c r="N578" i="1"/>
  <c r="P577" i="1"/>
  <c r="O577" i="1"/>
  <c r="N577" i="1"/>
  <c r="O576" i="1"/>
  <c r="P576" i="1" s="1"/>
  <c r="N576" i="1"/>
  <c r="P575" i="1"/>
  <c r="O575" i="1"/>
  <c r="N575" i="1"/>
  <c r="O574" i="1"/>
  <c r="P574" i="1" s="1"/>
  <c r="N574" i="1"/>
  <c r="P573" i="1"/>
  <c r="O573" i="1"/>
  <c r="N573" i="1"/>
  <c r="O572" i="1"/>
  <c r="P572" i="1" s="1"/>
  <c r="N572" i="1"/>
  <c r="O571" i="1"/>
  <c r="P571" i="1" s="1"/>
  <c r="N571" i="1"/>
  <c r="O570" i="1"/>
  <c r="P570" i="1" s="1"/>
  <c r="N570" i="1"/>
  <c r="P569" i="1"/>
  <c r="O569" i="1"/>
  <c r="N569" i="1"/>
  <c r="O568" i="1"/>
  <c r="P568" i="1" s="1"/>
  <c r="N568" i="1"/>
  <c r="P567" i="1"/>
  <c r="O567" i="1"/>
  <c r="N567" i="1"/>
  <c r="O566" i="1"/>
  <c r="P566" i="1" s="1"/>
  <c r="N566" i="1"/>
  <c r="P565" i="1"/>
  <c r="O565" i="1"/>
  <c r="N565" i="1"/>
  <c r="O564" i="1"/>
  <c r="P564" i="1" s="1"/>
  <c r="N564" i="1"/>
  <c r="O563" i="1"/>
  <c r="P563" i="1" s="1"/>
  <c r="N563" i="1"/>
  <c r="O561" i="1"/>
  <c r="P561" i="1" s="1"/>
  <c r="N561" i="1"/>
  <c r="P560" i="1"/>
  <c r="O560" i="1"/>
  <c r="N560" i="1"/>
  <c r="O559" i="1"/>
  <c r="P559" i="1" s="1"/>
  <c r="N559" i="1"/>
  <c r="P558" i="1"/>
  <c r="O558" i="1"/>
  <c r="N558" i="1"/>
  <c r="O557" i="1"/>
  <c r="P557" i="1" s="1"/>
  <c r="N557" i="1"/>
  <c r="P556" i="1"/>
  <c r="O556" i="1"/>
  <c r="N556" i="1"/>
  <c r="O555" i="1"/>
  <c r="P555" i="1" s="1"/>
  <c r="N555" i="1"/>
  <c r="O554" i="1"/>
  <c r="P554" i="1" s="1"/>
  <c r="N554" i="1"/>
  <c r="O553" i="1"/>
  <c r="P553" i="1" s="1"/>
  <c r="N553" i="1"/>
  <c r="P552" i="1"/>
  <c r="O552" i="1"/>
  <c r="N552" i="1"/>
  <c r="O551" i="1"/>
  <c r="P551" i="1" s="1"/>
  <c r="N551" i="1"/>
  <c r="P550" i="1"/>
  <c r="O550" i="1"/>
  <c r="N550" i="1"/>
  <c r="O549" i="1"/>
  <c r="P549" i="1" s="1"/>
  <c r="N549" i="1"/>
  <c r="P548" i="1"/>
  <c r="O548" i="1"/>
  <c r="N548" i="1"/>
  <c r="O547" i="1"/>
  <c r="P547" i="1" s="1"/>
  <c r="N547" i="1"/>
  <c r="O546" i="1"/>
  <c r="P546" i="1" s="1"/>
  <c r="N546" i="1"/>
  <c r="O545" i="1"/>
  <c r="P545" i="1" s="1"/>
  <c r="N545" i="1"/>
  <c r="P544" i="1"/>
  <c r="O544" i="1"/>
  <c r="N544" i="1"/>
  <c r="O543" i="1"/>
  <c r="P543" i="1" s="1"/>
  <c r="N543" i="1"/>
  <c r="P542" i="1"/>
  <c r="O542" i="1"/>
  <c r="N542" i="1"/>
  <c r="O541" i="1"/>
  <c r="P541" i="1" s="1"/>
  <c r="N541" i="1"/>
  <c r="P540" i="1"/>
  <c r="O540" i="1"/>
  <c r="N540" i="1"/>
  <c r="O539" i="1"/>
  <c r="P539" i="1" s="1"/>
  <c r="N539" i="1"/>
  <c r="O538" i="1"/>
  <c r="P538" i="1" s="1"/>
  <c r="N538" i="1"/>
  <c r="O537" i="1"/>
  <c r="P537" i="1" s="1"/>
  <c r="N537" i="1"/>
  <c r="P536" i="1"/>
  <c r="O536" i="1"/>
  <c r="N536" i="1"/>
  <c r="O535" i="1"/>
  <c r="P535" i="1" s="1"/>
  <c r="N535" i="1"/>
  <c r="P534" i="1"/>
  <c r="O534" i="1"/>
  <c r="N534" i="1"/>
  <c r="O533" i="1"/>
  <c r="P533" i="1" s="1"/>
  <c r="N533" i="1"/>
  <c r="P532" i="1"/>
  <c r="O532" i="1"/>
  <c r="N532" i="1"/>
  <c r="O531" i="1"/>
  <c r="P531" i="1" s="1"/>
  <c r="N531" i="1"/>
  <c r="O530" i="1"/>
  <c r="P530" i="1" s="1"/>
  <c r="N530" i="1"/>
  <c r="O529" i="1"/>
  <c r="P529" i="1" s="1"/>
  <c r="N529" i="1"/>
  <c r="P528" i="1"/>
  <c r="O528" i="1"/>
  <c r="N528" i="1"/>
  <c r="O527" i="1"/>
  <c r="P527" i="1" s="1"/>
  <c r="N527" i="1"/>
  <c r="P526" i="1"/>
  <c r="O526" i="1"/>
  <c r="N526" i="1"/>
  <c r="O525" i="1"/>
  <c r="P525" i="1" s="1"/>
  <c r="N525" i="1"/>
  <c r="P524" i="1"/>
  <c r="O524" i="1"/>
  <c r="N524" i="1"/>
  <c r="O523" i="1"/>
  <c r="P523" i="1" s="1"/>
  <c r="N523" i="1"/>
  <c r="O522" i="1"/>
  <c r="P522" i="1" s="1"/>
  <c r="N522" i="1"/>
  <c r="O521" i="1"/>
  <c r="P521" i="1" s="1"/>
  <c r="N521" i="1"/>
  <c r="P520" i="1"/>
  <c r="O520" i="1"/>
  <c r="N520" i="1"/>
  <c r="O519" i="1"/>
  <c r="P519" i="1" s="1"/>
  <c r="N519" i="1"/>
  <c r="P518" i="1"/>
  <c r="O518" i="1"/>
  <c r="N518" i="1"/>
  <c r="O517" i="1"/>
  <c r="P517" i="1" s="1"/>
  <c r="N517" i="1"/>
  <c r="P516" i="1"/>
  <c r="O516" i="1"/>
  <c r="N516" i="1"/>
  <c r="O515" i="1"/>
  <c r="P515" i="1" s="1"/>
  <c r="N515" i="1"/>
  <c r="O514" i="1"/>
  <c r="P514" i="1" s="1"/>
  <c r="N514" i="1"/>
  <c r="O513" i="1"/>
  <c r="P513" i="1" s="1"/>
  <c r="N513" i="1"/>
  <c r="P512" i="1"/>
  <c r="O512" i="1"/>
  <c r="N512" i="1"/>
  <c r="O511" i="1"/>
  <c r="P511" i="1" s="1"/>
  <c r="N511" i="1"/>
  <c r="P510" i="1"/>
  <c r="O510" i="1"/>
  <c r="N510" i="1"/>
  <c r="O509" i="1"/>
  <c r="P509" i="1" s="1"/>
  <c r="N509" i="1"/>
  <c r="P508" i="1"/>
  <c r="O508" i="1"/>
  <c r="N508" i="1"/>
  <c r="O507" i="1"/>
  <c r="P507" i="1" s="1"/>
  <c r="N507" i="1"/>
  <c r="O506" i="1"/>
  <c r="P506" i="1" s="1"/>
  <c r="N506" i="1"/>
  <c r="O505" i="1"/>
  <c r="P505" i="1" s="1"/>
  <c r="N505" i="1"/>
  <c r="P504" i="1"/>
  <c r="O504" i="1"/>
  <c r="N504" i="1"/>
  <c r="O503" i="1"/>
  <c r="P503" i="1" s="1"/>
  <c r="N503" i="1"/>
  <c r="P502" i="1"/>
  <c r="O502" i="1"/>
  <c r="N502" i="1"/>
  <c r="P501" i="1"/>
  <c r="O501" i="1"/>
  <c r="N501" i="1"/>
  <c r="P500" i="1"/>
  <c r="O500" i="1"/>
  <c r="N500" i="1"/>
  <c r="O499" i="1"/>
  <c r="P499" i="1" s="1"/>
  <c r="N499" i="1"/>
  <c r="O498" i="1"/>
  <c r="P498" i="1" s="1"/>
  <c r="N498" i="1"/>
  <c r="O497" i="1"/>
  <c r="P497" i="1" s="1"/>
  <c r="N497" i="1"/>
  <c r="P496" i="1"/>
  <c r="O496" i="1"/>
  <c r="N496" i="1"/>
  <c r="O495" i="1"/>
  <c r="P495" i="1" s="1"/>
  <c r="N495" i="1"/>
  <c r="P494" i="1"/>
  <c r="O494" i="1"/>
  <c r="N494" i="1"/>
  <c r="P493" i="1"/>
  <c r="O493" i="1"/>
  <c r="N493" i="1"/>
  <c r="P492" i="1"/>
  <c r="O492" i="1"/>
  <c r="N492" i="1"/>
  <c r="O491" i="1"/>
  <c r="P491" i="1" s="1"/>
  <c r="N491" i="1"/>
  <c r="O490" i="1"/>
  <c r="P490" i="1" s="1"/>
  <c r="N490" i="1"/>
  <c r="O489" i="1"/>
  <c r="P489" i="1" s="1"/>
  <c r="N489" i="1"/>
  <c r="P488" i="1"/>
  <c r="O488" i="1"/>
  <c r="N488" i="1"/>
  <c r="O487" i="1"/>
  <c r="P487" i="1" s="1"/>
  <c r="N487" i="1"/>
  <c r="P486" i="1"/>
  <c r="O486" i="1"/>
  <c r="N486" i="1"/>
  <c r="P485" i="1"/>
  <c r="O485" i="1"/>
  <c r="N485" i="1"/>
  <c r="P484" i="1"/>
  <c r="O484" i="1"/>
  <c r="N484" i="1"/>
  <c r="O483" i="1"/>
  <c r="P483" i="1" s="1"/>
  <c r="N483" i="1"/>
  <c r="O482" i="1"/>
  <c r="P482" i="1" s="1"/>
  <c r="N482" i="1"/>
  <c r="O481" i="1"/>
  <c r="P481" i="1" s="1"/>
  <c r="N481" i="1"/>
  <c r="P480" i="1"/>
  <c r="O480" i="1"/>
  <c r="N480" i="1"/>
  <c r="P479" i="1"/>
  <c r="O479" i="1"/>
  <c r="N479" i="1"/>
  <c r="P478" i="1"/>
  <c r="O478" i="1"/>
  <c r="N478" i="1"/>
  <c r="P477" i="1"/>
  <c r="O477" i="1"/>
  <c r="N477" i="1"/>
  <c r="P476" i="1"/>
  <c r="O476" i="1"/>
  <c r="N476" i="1"/>
  <c r="O475" i="1"/>
  <c r="P475" i="1" s="1"/>
  <c r="N475" i="1"/>
  <c r="O474" i="1"/>
  <c r="P474" i="1" s="1"/>
  <c r="N474" i="1"/>
  <c r="O473" i="1"/>
  <c r="P473" i="1" s="1"/>
  <c r="N473" i="1"/>
  <c r="P472" i="1"/>
  <c r="O472" i="1"/>
  <c r="N472" i="1"/>
  <c r="O471" i="1"/>
  <c r="P471" i="1" s="1"/>
  <c r="N471" i="1"/>
  <c r="P470" i="1"/>
  <c r="O470" i="1"/>
  <c r="N470" i="1"/>
  <c r="P469" i="1"/>
  <c r="O469" i="1"/>
  <c r="N469" i="1"/>
  <c r="P468" i="1"/>
  <c r="O468" i="1"/>
  <c r="N468" i="1"/>
  <c r="O467" i="1"/>
  <c r="P467" i="1" s="1"/>
  <c r="N467" i="1"/>
  <c r="O466" i="1"/>
  <c r="P466" i="1" s="1"/>
  <c r="N466" i="1"/>
  <c r="O465" i="1"/>
  <c r="P465" i="1" s="1"/>
  <c r="N465" i="1"/>
  <c r="P464" i="1"/>
  <c r="O464" i="1"/>
  <c r="N464" i="1"/>
  <c r="P463" i="1"/>
  <c r="O463" i="1"/>
  <c r="N463" i="1"/>
  <c r="P462" i="1"/>
  <c r="O462" i="1"/>
  <c r="N462" i="1"/>
  <c r="P461" i="1"/>
  <c r="O461" i="1"/>
  <c r="N461" i="1"/>
  <c r="P460" i="1"/>
  <c r="O460" i="1"/>
  <c r="N460" i="1"/>
  <c r="O459" i="1"/>
  <c r="P459" i="1" s="1"/>
  <c r="N459" i="1"/>
  <c r="O458" i="1"/>
  <c r="P458" i="1" s="1"/>
  <c r="N458" i="1"/>
  <c r="O457" i="1"/>
  <c r="P457" i="1" s="1"/>
  <c r="N457" i="1"/>
  <c r="P456" i="1"/>
  <c r="O456" i="1"/>
  <c r="N456" i="1"/>
  <c r="O455" i="1"/>
  <c r="P455" i="1" s="1"/>
  <c r="N455" i="1"/>
  <c r="P454" i="1"/>
  <c r="O454" i="1"/>
  <c r="N454" i="1"/>
  <c r="P453" i="1"/>
  <c r="O453" i="1"/>
  <c r="N453" i="1"/>
  <c r="P452" i="1"/>
  <c r="O452" i="1"/>
  <c r="N452" i="1"/>
  <c r="O451" i="1"/>
  <c r="P451" i="1" s="1"/>
  <c r="N451" i="1"/>
  <c r="O450" i="1"/>
  <c r="P450" i="1" s="1"/>
  <c r="N450" i="1"/>
  <c r="O449" i="1"/>
  <c r="P449" i="1" s="1"/>
  <c r="N449" i="1"/>
  <c r="P448" i="1"/>
  <c r="O448" i="1"/>
  <c r="N448" i="1"/>
  <c r="P447" i="1"/>
  <c r="O447" i="1"/>
  <c r="N447" i="1"/>
  <c r="P446" i="1"/>
  <c r="O446" i="1"/>
  <c r="N446" i="1"/>
  <c r="P445" i="1"/>
  <c r="O445" i="1"/>
  <c r="N445" i="1"/>
  <c r="P444" i="1"/>
  <c r="O444" i="1"/>
  <c r="N444" i="1"/>
  <c r="O443" i="1"/>
  <c r="P443" i="1" s="1"/>
  <c r="N443" i="1"/>
  <c r="O442" i="1"/>
  <c r="P442" i="1" s="1"/>
  <c r="N442" i="1"/>
  <c r="O441" i="1"/>
  <c r="P441" i="1" s="1"/>
  <c r="N441" i="1"/>
  <c r="P440" i="1"/>
  <c r="O440" i="1"/>
  <c r="N440" i="1"/>
  <c r="O439" i="1"/>
  <c r="P439" i="1" s="1"/>
  <c r="N439" i="1"/>
  <c r="P438" i="1"/>
  <c r="O438" i="1"/>
  <c r="N438" i="1"/>
  <c r="P437" i="1"/>
  <c r="O437" i="1"/>
  <c r="N437" i="1"/>
  <c r="P436" i="1"/>
  <c r="O436" i="1"/>
  <c r="N436" i="1"/>
  <c r="O435" i="1"/>
  <c r="P435" i="1" s="1"/>
  <c r="N435" i="1"/>
  <c r="O434" i="1"/>
  <c r="P434" i="1" s="1"/>
  <c r="N434" i="1"/>
  <c r="O433" i="1"/>
  <c r="P433" i="1" s="1"/>
  <c r="N433" i="1"/>
  <c r="P432" i="1"/>
  <c r="O432" i="1"/>
  <c r="N432" i="1"/>
  <c r="O431" i="1"/>
  <c r="P431" i="1" s="1"/>
  <c r="N431" i="1"/>
  <c r="P430" i="1"/>
  <c r="O430" i="1"/>
  <c r="N430" i="1"/>
  <c r="P429" i="1"/>
  <c r="O429" i="1"/>
  <c r="N429" i="1"/>
  <c r="P428" i="1"/>
  <c r="O428" i="1"/>
  <c r="N428" i="1"/>
  <c r="O427" i="1"/>
  <c r="P427" i="1" s="1"/>
  <c r="N427" i="1"/>
  <c r="O426" i="1"/>
  <c r="P426" i="1" s="1"/>
  <c r="N426" i="1"/>
  <c r="O425" i="1"/>
  <c r="P425" i="1" s="1"/>
  <c r="N425" i="1"/>
  <c r="P424" i="1"/>
  <c r="O424" i="1"/>
  <c r="N424" i="1"/>
  <c r="O423" i="1"/>
  <c r="P423" i="1" s="1"/>
  <c r="N423" i="1"/>
  <c r="P422" i="1"/>
  <c r="O422" i="1"/>
  <c r="N422" i="1"/>
  <c r="P421" i="1"/>
  <c r="O421" i="1"/>
  <c r="N421" i="1"/>
  <c r="P420" i="1"/>
  <c r="O420" i="1"/>
  <c r="N420" i="1"/>
  <c r="O419" i="1"/>
  <c r="P419" i="1" s="1"/>
  <c r="N419" i="1"/>
  <c r="O418" i="1"/>
  <c r="P418" i="1" s="1"/>
  <c r="N418" i="1"/>
  <c r="O417" i="1"/>
  <c r="P417" i="1" s="1"/>
  <c r="N417" i="1"/>
  <c r="P416" i="1"/>
  <c r="O416" i="1"/>
  <c r="N416" i="1"/>
  <c r="P415" i="1"/>
  <c r="O415" i="1"/>
  <c r="N415" i="1"/>
  <c r="P414" i="1"/>
  <c r="O414" i="1"/>
  <c r="N414" i="1"/>
  <c r="P413" i="1"/>
  <c r="O413" i="1"/>
  <c r="N413" i="1"/>
  <c r="P412" i="1"/>
  <c r="O412" i="1"/>
  <c r="N412" i="1"/>
  <c r="O411" i="1"/>
  <c r="P411" i="1" s="1"/>
  <c r="N411" i="1"/>
  <c r="O410" i="1"/>
  <c r="P410" i="1" s="1"/>
  <c r="N410" i="1"/>
  <c r="O409" i="1"/>
  <c r="P409" i="1" s="1"/>
  <c r="N409" i="1"/>
  <c r="P408" i="1"/>
  <c r="O408" i="1"/>
  <c r="N408" i="1"/>
  <c r="O407" i="1"/>
  <c r="P407" i="1" s="1"/>
  <c r="N407" i="1"/>
  <c r="P406" i="1"/>
  <c r="O406" i="1"/>
  <c r="N406" i="1"/>
  <c r="P405" i="1"/>
  <c r="O405" i="1"/>
  <c r="N405" i="1"/>
  <c r="P404" i="1"/>
  <c r="O404" i="1"/>
  <c r="N404" i="1"/>
  <c r="O403" i="1"/>
  <c r="P403" i="1" s="1"/>
  <c r="N403" i="1"/>
  <c r="O402" i="1"/>
  <c r="P402" i="1" s="1"/>
  <c r="N402" i="1"/>
  <c r="O401" i="1"/>
  <c r="P401" i="1" s="1"/>
  <c r="N401" i="1"/>
  <c r="P400" i="1"/>
  <c r="O400" i="1"/>
  <c r="N400" i="1"/>
  <c r="P399" i="1"/>
  <c r="O399" i="1"/>
  <c r="N399" i="1"/>
  <c r="P398" i="1"/>
  <c r="O398" i="1"/>
  <c r="N398" i="1"/>
  <c r="P397" i="1"/>
  <c r="O397" i="1"/>
  <c r="N397" i="1"/>
  <c r="P396" i="1"/>
  <c r="O396" i="1"/>
  <c r="N396" i="1"/>
  <c r="O395" i="1"/>
  <c r="P395" i="1" s="1"/>
  <c r="N395" i="1"/>
  <c r="O394" i="1"/>
  <c r="P394" i="1" s="1"/>
  <c r="N394" i="1"/>
  <c r="O393" i="1"/>
  <c r="P393" i="1" s="1"/>
  <c r="N393" i="1"/>
  <c r="P392" i="1"/>
  <c r="O392" i="1"/>
  <c r="N392" i="1"/>
  <c r="P391" i="1"/>
  <c r="O391" i="1"/>
  <c r="N391" i="1"/>
  <c r="P390" i="1"/>
  <c r="O390" i="1"/>
  <c r="N390" i="1"/>
  <c r="P389" i="1"/>
  <c r="O389" i="1"/>
  <c r="N389" i="1"/>
  <c r="P388" i="1"/>
  <c r="O388" i="1"/>
  <c r="N388" i="1"/>
  <c r="O387" i="1"/>
  <c r="P387" i="1" s="1"/>
  <c r="N387" i="1"/>
  <c r="O386" i="1"/>
  <c r="P386" i="1" s="1"/>
  <c r="N386" i="1"/>
  <c r="O385" i="1"/>
  <c r="P385" i="1" s="1"/>
  <c r="N385" i="1"/>
  <c r="P384" i="1"/>
  <c r="O384" i="1"/>
  <c r="N384" i="1"/>
  <c r="P383" i="1"/>
  <c r="O383" i="1"/>
  <c r="N383" i="1"/>
  <c r="P382" i="1"/>
  <c r="O382" i="1"/>
  <c r="N382" i="1"/>
  <c r="P381" i="1"/>
  <c r="O381" i="1"/>
  <c r="N381" i="1"/>
  <c r="P380" i="1"/>
  <c r="O380" i="1"/>
  <c r="N380" i="1"/>
  <c r="O379" i="1"/>
  <c r="P379" i="1" s="1"/>
  <c r="N379" i="1"/>
  <c r="O378" i="1"/>
  <c r="P378" i="1" s="1"/>
  <c r="N378" i="1"/>
  <c r="O377" i="1"/>
  <c r="P377" i="1" s="1"/>
  <c r="N377" i="1"/>
  <c r="P376" i="1"/>
  <c r="O376" i="1"/>
  <c r="N376" i="1"/>
  <c r="O375" i="1"/>
  <c r="P375" i="1" s="1"/>
  <c r="N375" i="1"/>
  <c r="P374" i="1"/>
  <c r="O374" i="1"/>
  <c r="N374" i="1"/>
  <c r="P373" i="1"/>
  <c r="O373" i="1"/>
  <c r="N373" i="1"/>
  <c r="P372" i="1"/>
  <c r="O372" i="1"/>
  <c r="N372" i="1"/>
  <c r="O371" i="1"/>
  <c r="P371" i="1" s="1"/>
  <c r="N371" i="1"/>
  <c r="O370" i="1"/>
  <c r="P370" i="1" s="1"/>
  <c r="N370" i="1"/>
  <c r="O369" i="1"/>
  <c r="P369" i="1" s="1"/>
  <c r="N369" i="1"/>
  <c r="P368" i="1"/>
  <c r="O368" i="1"/>
  <c r="N368" i="1"/>
  <c r="O367" i="1"/>
  <c r="P367" i="1" s="1"/>
  <c r="N367" i="1"/>
  <c r="P366" i="1"/>
  <c r="O366" i="1"/>
  <c r="N366" i="1"/>
  <c r="P365" i="1"/>
  <c r="O365" i="1"/>
  <c r="N365" i="1"/>
  <c r="P364" i="1"/>
  <c r="O364" i="1"/>
  <c r="N364" i="1"/>
  <c r="O363" i="1"/>
  <c r="P363" i="1" s="1"/>
  <c r="N363" i="1"/>
  <c r="O362" i="1"/>
  <c r="P362" i="1" s="1"/>
  <c r="N362" i="1"/>
  <c r="O361" i="1"/>
  <c r="P361" i="1" s="1"/>
  <c r="N361" i="1"/>
  <c r="P360" i="1"/>
  <c r="O360" i="1"/>
  <c r="N360" i="1"/>
  <c r="O359" i="1"/>
  <c r="P359" i="1" s="1"/>
  <c r="N359" i="1"/>
  <c r="P358" i="1"/>
  <c r="O358" i="1"/>
  <c r="N358" i="1"/>
  <c r="P357" i="1"/>
  <c r="O357" i="1"/>
  <c r="N357" i="1"/>
  <c r="P356" i="1"/>
  <c r="O356" i="1"/>
  <c r="N356" i="1"/>
  <c r="O355" i="1"/>
  <c r="P355" i="1" s="1"/>
  <c r="N355" i="1"/>
  <c r="O354" i="1"/>
  <c r="P354" i="1" s="1"/>
  <c r="N354" i="1"/>
  <c r="O353" i="1"/>
  <c r="P353" i="1" s="1"/>
  <c r="N353" i="1"/>
  <c r="P352" i="1"/>
  <c r="O352" i="1"/>
  <c r="N352" i="1"/>
  <c r="P351" i="1"/>
  <c r="O351" i="1"/>
  <c r="N351" i="1"/>
  <c r="P350" i="1"/>
  <c r="O350" i="1"/>
  <c r="N350" i="1"/>
  <c r="P349" i="1"/>
  <c r="O349" i="1"/>
  <c r="N349" i="1"/>
  <c r="P348" i="1"/>
  <c r="O348" i="1"/>
  <c r="N348" i="1"/>
  <c r="O347" i="1"/>
  <c r="P347" i="1" s="1"/>
  <c r="N347" i="1"/>
  <c r="O346" i="1"/>
  <c r="P346" i="1" s="1"/>
  <c r="N346" i="1"/>
  <c r="O345" i="1"/>
  <c r="P345" i="1" s="1"/>
  <c r="N345" i="1"/>
  <c r="P344" i="1"/>
  <c r="O344" i="1"/>
  <c r="N344" i="1"/>
  <c r="O343" i="1"/>
  <c r="P343" i="1" s="1"/>
  <c r="N343" i="1"/>
  <c r="P342" i="1"/>
  <c r="O342" i="1"/>
  <c r="N342" i="1"/>
  <c r="P341" i="1"/>
  <c r="O341" i="1"/>
  <c r="N341" i="1"/>
  <c r="P340" i="1"/>
  <c r="O340" i="1"/>
  <c r="N340" i="1"/>
  <c r="O339" i="1"/>
  <c r="P339" i="1" s="1"/>
  <c r="N339" i="1"/>
  <c r="O338" i="1"/>
  <c r="P338" i="1" s="1"/>
  <c r="N338" i="1"/>
  <c r="O337" i="1"/>
  <c r="P337" i="1" s="1"/>
  <c r="N337" i="1"/>
  <c r="P336" i="1"/>
  <c r="O336" i="1"/>
  <c r="N336" i="1"/>
  <c r="P335" i="1"/>
  <c r="O335" i="1"/>
  <c r="N335" i="1"/>
  <c r="P334" i="1"/>
  <c r="O334" i="1"/>
  <c r="N334" i="1"/>
  <c r="P333" i="1"/>
  <c r="O333" i="1"/>
  <c r="N333" i="1"/>
  <c r="P332" i="1"/>
  <c r="O332" i="1"/>
  <c r="N332" i="1"/>
  <c r="O331" i="1"/>
  <c r="P331" i="1" s="1"/>
  <c r="N331" i="1"/>
  <c r="O330" i="1"/>
  <c r="P330" i="1" s="1"/>
  <c r="N330" i="1"/>
  <c r="O329" i="1"/>
  <c r="P329" i="1" s="1"/>
  <c r="N329" i="1"/>
  <c r="P328" i="1"/>
  <c r="O328" i="1"/>
  <c r="N328" i="1"/>
  <c r="P327" i="1"/>
  <c r="O327" i="1"/>
  <c r="N327" i="1"/>
  <c r="P326" i="1"/>
  <c r="O326" i="1"/>
  <c r="N326" i="1"/>
  <c r="P325" i="1"/>
  <c r="O325" i="1"/>
  <c r="N325" i="1"/>
  <c r="P324" i="1"/>
  <c r="O324" i="1"/>
  <c r="N324" i="1"/>
  <c r="O323" i="1"/>
  <c r="P323" i="1" s="1"/>
  <c r="N323" i="1"/>
  <c r="O322" i="1"/>
  <c r="P322" i="1" s="1"/>
  <c r="N322" i="1"/>
  <c r="O321" i="1"/>
  <c r="P321" i="1" s="1"/>
  <c r="N321" i="1"/>
  <c r="P320" i="1"/>
  <c r="O320" i="1"/>
  <c r="N320" i="1"/>
  <c r="P319" i="1"/>
  <c r="O319" i="1"/>
  <c r="N319" i="1"/>
  <c r="P318" i="1"/>
  <c r="O318" i="1"/>
  <c r="N318" i="1"/>
  <c r="P317" i="1"/>
  <c r="O317" i="1"/>
  <c r="N317" i="1"/>
  <c r="P316" i="1"/>
  <c r="O316" i="1"/>
  <c r="N316" i="1"/>
  <c r="O315" i="1"/>
  <c r="P315" i="1" s="1"/>
  <c r="N315" i="1"/>
  <c r="O314" i="1"/>
  <c r="P314" i="1" s="1"/>
  <c r="N314" i="1"/>
  <c r="O313" i="1"/>
  <c r="P313" i="1" s="1"/>
  <c r="N313" i="1"/>
  <c r="P312" i="1"/>
  <c r="O312" i="1"/>
  <c r="N312" i="1"/>
  <c r="O311" i="1"/>
  <c r="P311" i="1" s="1"/>
  <c r="N311" i="1"/>
  <c r="P310" i="1"/>
  <c r="O310" i="1"/>
  <c r="N310" i="1"/>
  <c r="P309" i="1"/>
  <c r="O309" i="1"/>
  <c r="N309" i="1"/>
  <c r="P308" i="1"/>
  <c r="O308" i="1"/>
  <c r="N308" i="1"/>
  <c r="O307" i="1"/>
  <c r="P307" i="1" s="1"/>
  <c r="N307" i="1"/>
  <c r="O306" i="1"/>
  <c r="P306" i="1" s="1"/>
  <c r="N306" i="1"/>
  <c r="O305" i="1"/>
  <c r="P305" i="1" s="1"/>
  <c r="N305" i="1"/>
  <c r="P304" i="1"/>
  <c r="O304" i="1"/>
  <c r="N304" i="1"/>
  <c r="O303" i="1"/>
  <c r="P303" i="1" s="1"/>
  <c r="N303" i="1"/>
  <c r="P302" i="1"/>
  <c r="O302" i="1"/>
  <c r="N302" i="1"/>
  <c r="P301" i="1"/>
  <c r="O301" i="1"/>
  <c r="N301" i="1"/>
  <c r="P300" i="1"/>
  <c r="O300" i="1"/>
  <c r="N300" i="1"/>
  <c r="O299" i="1"/>
  <c r="P299" i="1" s="1"/>
  <c r="N299" i="1"/>
  <c r="O298" i="1"/>
  <c r="P298" i="1" s="1"/>
  <c r="N298" i="1"/>
  <c r="O297" i="1"/>
  <c r="P297" i="1" s="1"/>
  <c r="N297" i="1"/>
  <c r="P296" i="1"/>
  <c r="O296" i="1"/>
  <c r="N296" i="1"/>
  <c r="O295" i="1"/>
  <c r="P295" i="1" s="1"/>
  <c r="N295" i="1"/>
  <c r="P294" i="1"/>
  <c r="O294" i="1"/>
  <c r="N294" i="1"/>
  <c r="P293" i="1"/>
  <c r="O293" i="1"/>
  <c r="N293" i="1"/>
  <c r="P292" i="1"/>
  <c r="O292" i="1"/>
  <c r="N292" i="1"/>
  <c r="O291" i="1"/>
  <c r="P291" i="1" s="1"/>
  <c r="N291" i="1"/>
  <c r="O290" i="1"/>
  <c r="P290" i="1" s="1"/>
  <c r="N290" i="1"/>
  <c r="O289" i="1"/>
  <c r="P289" i="1" s="1"/>
  <c r="N289" i="1"/>
  <c r="P288" i="1"/>
  <c r="O288" i="1"/>
  <c r="N288" i="1"/>
  <c r="P287" i="1"/>
  <c r="O287" i="1"/>
  <c r="N287" i="1"/>
  <c r="P286" i="1"/>
  <c r="O286" i="1"/>
  <c r="N286" i="1"/>
  <c r="P285" i="1"/>
  <c r="O285" i="1"/>
  <c r="N285" i="1"/>
  <c r="P284" i="1"/>
  <c r="O284" i="1"/>
  <c r="N284" i="1"/>
  <c r="O283" i="1"/>
  <c r="P283" i="1" s="1"/>
  <c r="N283" i="1"/>
  <c r="O282" i="1"/>
  <c r="P282" i="1" s="1"/>
  <c r="N282" i="1"/>
  <c r="O281" i="1"/>
  <c r="P281" i="1" s="1"/>
  <c r="N281" i="1"/>
  <c r="P280" i="1"/>
  <c r="O280" i="1"/>
  <c r="N280" i="1"/>
  <c r="O279" i="1"/>
  <c r="P279" i="1" s="1"/>
  <c r="N279" i="1"/>
  <c r="P278" i="1"/>
  <c r="O278" i="1"/>
  <c r="N278" i="1"/>
  <c r="P277" i="1"/>
  <c r="O277" i="1"/>
  <c r="N277" i="1"/>
  <c r="P276" i="1"/>
  <c r="O276" i="1"/>
  <c r="N276" i="1"/>
  <c r="O275" i="1"/>
  <c r="P275" i="1" s="1"/>
  <c r="N275" i="1"/>
  <c r="O274" i="1"/>
  <c r="P274" i="1" s="1"/>
  <c r="N274" i="1"/>
  <c r="O273" i="1"/>
  <c r="P273" i="1" s="1"/>
  <c r="N273" i="1"/>
  <c r="P272" i="1"/>
  <c r="O272" i="1"/>
  <c r="N272" i="1"/>
  <c r="P271" i="1"/>
  <c r="O271" i="1"/>
  <c r="N271" i="1"/>
  <c r="P270" i="1"/>
  <c r="O270" i="1"/>
  <c r="N270" i="1"/>
  <c r="P269" i="1"/>
  <c r="O269" i="1"/>
  <c r="N269" i="1"/>
  <c r="P268" i="1"/>
  <c r="O268" i="1"/>
  <c r="N268" i="1"/>
  <c r="O267" i="1"/>
  <c r="P267" i="1" s="1"/>
  <c r="N267" i="1"/>
  <c r="O266" i="1"/>
  <c r="P266" i="1" s="1"/>
  <c r="N266" i="1"/>
  <c r="O265" i="1"/>
  <c r="P265" i="1" s="1"/>
  <c r="N265" i="1"/>
  <c r="P264" i="1"/>
  <c r="O264" i="1"/>
  <c r="N264" i="1"/>
  <c r="P263" i="1"/>
  <c r="O263" i="1"/>
  <c r="N263" i="1"/>
  <c r="P262" i="1"/>
  <c r="O262" i="1"/>
  <c r="N262" i="1"/>
  <c r="P261" i="1"/>
  <c r="O261" i="1"/>
  <c r="N261" i="1"/>
  <c r="P260" i="1"/>
  <c r="O260" i="1"/>
  <c r="N260" i="1"/>
  <c r="O259" i="1"/>
  <c r="P259" i="1" s="1"/>
  <c r="N259" i="1"/>
  <c r="O258" i="1"/>
  <c r="P258" i="1" s="1"/>
  <c r="N258" i="1"/>
  <c r="O257" i="1"/>
  <c r="P257" i="1" s="1"/>
  <c r="N257" i="1"/>
  <c r="O256" i="1"/>
  <c r="P256" i="1" s="1"/>
  <c r="N256" i="1"/>
  <c r="P255" i="1"/>
  <c r="O255" i="1"/>
  <c r="N255" i="1"/>
  <c r="P254" i="1"/>
  <c r="O254" i="1"/>
  <c r="N254" i="1"/>
  <c r="P253" i="1"/>
  <c r="O253" i="1"/>
  <c r="N253" i="1"/>
  <c r="P252" i="1"/>
  <c r="O252" i="1"/>
  <c r="N252" i="1"/>
  <c r="O251" i="1"/>
  <c r="P251" i="1" s="1"/>
  <c r="N251" i="1"/>
  <c r="O250" i="1"/>
  <c r="P250" i="1" s="1"/>
  <c r="N250" i="1"/>
  <c r="O249" i="1"/>
  <c r="P249" i="1" s="1"/>
  <c r="N249" i="1"/>
  <c r="O248" i="1"/>
  <c r="P248" i="1" s="1"/>
  <c r="N248" i="1"/>
  <c r="O247" i="1"/>
  <c r="P247" i="1" s="1"/>
  <c r="N247" i="1"/>
  <c r="P246" i="1"/>
  <c r="O246" i="1"/>
  <c r="N246" i="1"/>
  <c r="P245" i="1"/>
  <c r="O245" i="1"/>
  <c r="N245" i="1"/>
  <c r="P244" i="1"/>
  <c r="O244" i="1"/>
  <c r="N244" i="1"/>
  <c r="O243" i="1"/>
  <c r="P243" i="1" s="1"/>
  <c r="N243" i="1"/>
  <c r="O242" i="1"/>
  <c r="P242" i="1" s="1"/>
  <c r="N242" i="1"/>
  <c r="O241" i="1"/>
  <c r="P241" i="1" s="1"/>
  <c r="N241" i="1"/>
  <c r="O240" i="1"/>
  <c r="P240" i="1" s="1"/>
  <c r="N240" i="1"/>
  <c r="O239" i="1"/>
  <c r="P239" i="1" s="1"/>
  <c r="N239" i="1"/>
  <c r="P238" i="1"/>
  <c r="O238" i="1"/>
  <c r="N238" i="1"/>
  <c r="P237" i="1"/>
  <c r="O237" i="1"/>
  <c r="N237" i="1"/>
  <c r="P236" i="1"/>
  <c r="O236" i="1"/>
  <c r="N236" i="1"/>
  <c r="O235" i="1"/>
  <c r="P235" i="1" s="1"/>
  <c r="N235" i="1"/>
  <c r="O234" i="1"/>
  <c r="P234" i="1" s="1"/>
  <c r="N234" i="1"/>
  <c r="O233" i="1"/>
  <c r="P233" i="1" s="1"/>
  <c r="N233" i="1"/>
  <c r="P232" i="1"/>
  <c r="O232" i="1"/>
  <c r="N232" i="1"/>
  <c r="O231" i="1"/>
  <c r="P231" i="1" s="1"/>
  <c r="N231" i="1"/>
  <c r="P230" i="1"/>
  <c r="O230" i="1"/>
  <c r="N230" i="1"/>
  <c r="P229" i="1"/>
  <c r="O229" i="1"/>
  <c r="N229" i="1"/>
  <c r="P228" i="1"/>
  <c r="O228" i="1"/>
  <c r="N228" i="1"/>
  <c r="O227" i="1"/>
  <c r="P227" i="1" s="1"/>
  <c r="N227" i="1"/>
  <c r="O226" i="1"/>
  <c r="P226" i="1" s="1"/>
  <c r="N226" i="1"/>
  <c r="O225" i="1"/>
  <c r="P225" i="1" s="1"/>
  <c r="N225" i="1"/>
  <c r="O224" i="1"/>
  <c r="P224" i="1" s="1"/>
  <c r="N224" i="1"/>
  <c r="P223" i="1"/>
  <c r="O223" i="1"/>
  <c r="N223" i="1"/>
  <c r="P222" i="1"/>
  <c r="O222" i="1"/>
  <c r="N222" i="1"/>
  <c r="P221" i="1"/>
  <c r="O221" i="1"/>
  <c r="N221" i="1"/>
  <c r="P220" i="1"/>
  <c r="O220" i="1"/>
  <c r="N220" i="1"/>
  <c r="O219" i="1"/>
  <c r="P219" i="1" s="1"/>
  <c r="N219" i="1"/>
  <c r="O218" i="1"/>
  <c r="P218" i="1" s="1"/>
  <c r="N218" i="1"/>
  <c r="O217" i="1"/>
  <c r="P217" i="1" s="1"/>
  <c r="N217" i="1"/>
  <c r="P216" i="1"/>
  <c r="O216" i="1"/>
  <c r="N216" i="1"/>
  <c r="O215" i="1"/>
  <c r="P215" i="1" s="1"/>
  <c r="N215" i="1"/>
  <c r="P214" i="1"/>
  <c r="O214" i="1"/>
  <c r="N214" i="1"/>
  <c r="P213" i="1"/>
  <c r="O213" i="1"/>
  <c r="N213" i="1"/>
  <c r="P212" i="1"/>
  <c r="O212" i="1"/>
  <c r="N212" i="1"/>
  <c r="O211" i="1"/>
  <c r="P211" i="1" s="1"/>
  <c r="N211" i="1"/>
  <c r="O210" i="1"/>
  <c r="P210" i="1" s="1"/>
  <c r="N210" i="1"/>
  <c r="O209" i="1"/>
  <c r="P209" i="1" s="1"/>
  <c r="N209" i="1"/>
  <c r="O208" i="1"/>
  <c r="P208" i="1" s="1"/>
  <c r="N208" i="1"/>
  <c r="P207" i="1"/>
  <c r="O207" i="1"/>
  <c r="N207" i="1"/>
  <c r="P206" i="1"/>
  <c r="O206" i="1"/>
  <c r="N206" i="1"/>
  <c r="P205" i="1"/>
  <c r="O205" i="1"/>
  <c r="N205" i="1"/>
  <c r="P204" i="1"/>
  <c r="O204" i="1"/>
  <c r="N204" i="1"/>
  <c r="O203" i="1"/>
  <c r="P203" i="1" s="1"/>
  <c r="N203" i="1"/>
  <c r="O202" i="1"/>
  <c r="P202" i="1" s="1"/>
  <c r="N202" i="1"/>
  <c r="P201" i="1"/>
  <c r="O201" i="1"/>
  <c r="N201" i="1"/>
  <c r="O200" i="1"/>
  <c r="P200" i="1" s="1"/>
  <c r="N200" i="1"/>
  <c r="P199" i="1"/>
  <c r="O199" i="1"/>
  <c r="N199" i="1"/>
  <c r="P198" i="1"/>
  <c r="O198" i="1"/>
  <c r="N198" i="1"/>
  <c r="P197" i="1"/>
  <c r="O197" i="1"/>
  <c r="N197" i="1"/>
  <c r="O196" i="1"/>
  <c r="P196" i="1" s="1"/>
  <c r="N196" i="1"/>
  <c r="O195" i="1"/>
  <c r="P195" i="1" s="1"/>
  <c r="N195" i="1"/>
  <c r="O194" i="1"/>
  <c r="P194" i="1" s="1"/>
  <c r="N194" i="1"/>
  <c r="P193" i="1"/>
  <c r="O193" i="1"/>
  <c r="N193" i="1"/>
  <c r="O192" i="1"/>
  <c r="P192" i="1" s="1"/>
  <c r="N192" i="1"/>
  <c r="O191" i="1"/>
  <c r="P191" i="1" s="1"/>
  <c r="N191" i="1"/>
  <c r="P190" i="1"/>
  <c r="O190" i="1"/>
  <c r="N190" i="1"/>
  <c r="P189" i="1"/>
  <c r="O189" i="1"/>
  <c r="N189" i="1"/>
  <c r="O188" i="1"/>
  <c r="P188" i="1" s="1"/>
  <c r="N188" i="1"/>
  <c r="O187" i="1"/>
  <c r="P187" i="1" s="1"/>
  <c r="N187" i="1"/>
  <c r="O186" i="1"/>
  <c r="P186" i="1" s="1"/>
  <c r="N186" i="1"/>
  <c r="O185" i="1"/>
  <c r="P185" i="1" s="1"/>
  <c r="N185" i="1"/>
  <c r="O184" i="1"/>
  <c r="P184" i="1" s="1"/>
  <c r="N184" i="1"/>
  <c r="P183" i="1"/>
  <c r="O183" i="1"/>
  <c r="N183" i="1"/>
  <c r="P182" i="1"/>
  <c r="O182" i="1"/>
  <c r="N182" i="1"/>
  <c r="P181" i="1"/>
  <c r="O181" i="1"/>
  <c r="N181" i="1"/>
  <c r="O180" i="1"/>
  <c r="P180" i="1" s="1"/>
  <c r="N180" i="1"/>
  <c r="O179" i="1"/>
  <c r="P179" i="1" s="1"/>
  <c r="N179" i="1"/>
  <c r="O178" i="1"/>
  <c r="P178" i="1" s="1"/>
  <c r="N178" i="1"/>
  <c r="P177" i="1"/>
  <c r="O177" i="1"/>
  <c r="N177" i="1"/>
  <c r="O176" i="1"/>
  <c r="P176" i="1" s="1"/>
  <c r="N176" i="1"/>
  <c r="P175" i="1"/>
  <c r="O175" i="1"/>
  <c r="N175" i="1"/>
  <c r="P174" i="1"/>
  <c r="O174" i="1"/>
  <c r="N174" i="1"/>
  <c r="P173" i="1"/>
  <c r="O173" i="1"/>
  <c r="N173" i="1"/>
  <c r="O172" i="1"/>
  <c r="P172" i="1" s="1"/>
  <c r="N172" i="1"/>
  <c r="O171" i="1"/>
  <c r="P171" i="1" s="1"/>
  <c r="N171" i="1"/>
  <c r="O170" i="1"/>
  <c r="P170" i="1" s="1"/>
  <c r="N170" i="1"/>
  <c r="P169" i="1"/>
  <c r="O169" i="1"/>
  <c r="N169" i="1"/>
  <c r="O168" i="1"/>
  <c r="P168" i="1" s="1"/>
  <c r="N168" i="1"/>
  <c r="P167" i="1"/>
  <c r="O167" i="1"/>
  <c r="N167" i="1"/>
  <c r="P166" i="1"/>
  <c r="O166" i="1"/>
  <c r="N166" i="1"/>
  <c r="P165" i="1"/>
  <c r="O165" i="1"/>
  <c r="N165" i="1"/>
  <c r="O164" i="1"/>
  <c r="P164" i="1" s="1"/>
  <c r="N164" i="1"/>
  <c r="O163" i="1"/>
  <c r="P163" i="1" s="1"/>
  <c r="N163" i="1"/>
  <c r="O162" i="1"/>
  <c r="P162" i="1" s="1"/>
  <c r="N162" i="1"/>
  <c r="P161" i="1"/>
  <c r="O161" i="1"/>
  <c r="N161" i="1"/>
  <c r="O160" i="1"/>
  <c r="P160" i="1" s="1"/>
  <c r="N160" i="1"/>
  <c r="O159" i="1"/>
  <c r="P159" i="1" s="1"/>
  <c r="N159" i="1"/>
  <c r="P158" i="1"/>
  <c r="O158" i="1"/>
  <c r="N158" i="1"/>
  <c r="P157" i="1"/>
  <c r="O157" i="1"/>
  <c r="N157" i="1"/>
  <c r="O156" i="1"/>
  <c r="P156" i="1" s="1"/>
  <c r="N156" i="1"/>
  <c r="O155" i="1"/>
  <c r="P155" i="1" s="1"/>
  <c r="N155" i="1"/>
  <c r="O154" i="1"/>
  <c r="P154" i="1" s="1"/>
  <c r="N154" i="1"/>
  <c r="O153" i="1"/>
  <c r="P153" i="1" s="1"/>
  <c r="N153" i="1"/>
  <c r="O152" i="1"/>
  <c r="P152" i="1" s="1"/>
  <c r="N152" i="1"/>
  <c r="P151" i="1"/>
  <c r="O151" i="1"/>
  <c r="N151" i="1"/>
  <c r="P150" i="1"/>
  <c r="O150" i="1"/>
  <c r="N150" i="1"/>
  <c r="P149" i="1"/>
  <c r="O149" i="1"/>
  <c r="N149" i="1"/>
  <c r="O148" i="1"/>
  <c r="P148" i="1" s="1"/>
  <c r="N148" i="1"/>
  <c r="O147" i="1"/>
  <c r="P147" i="1" s="1"/>
  <c r="N147" i="1"/>
  <c r="O146" i="1"/>
  <c r="P146" i="1" s="1"/>
  <c r="N146" i="1"/>
  <c r="P145" i="1"/>
  <c r="O145" i="1"/>
  <c r="N145" i="1"/>
  <c r="O144" i="1"/>
  <c r="P144" i="1" s="1"/>
  <c r="N144" i="1"/>
  <c r="P143" i="1"/>
  <c r="O143" i="1"/>
  <c r="N143" i="1"/>
  <c r="P142" i="1"/>
  <c r="O142" i="1"/>
  <c r="N142" i="1"/>
  <c r="P141" i="1"/>
  <c r="O141" i="1"/>
  <c r="N141" i="1"/>
  <c r="O140" i="1"/>
  <c r="P140" i="1" s="1"/>
  <c r="N140" i="1"/>
  <c r="O139" i="1"/>
  <c r="P139" i="1" s="1"/>
  <c r="N139" i="1"/>
  <c r="O138" i="1"/>
  <c r="P138" i="1" s="1"/>
  <c r="N138" i="1"/>
  <c r="P137" i="1"/>
  <c r="O137" i="1"/>
  <c r="N137" i="1"/>
  <c r="O136" i="1"/>
  <c r="P136" i="1" s="1"/>
  <c r="N136" i="1"/>
  <c r="P135" i="1"/>
  <c r="O135" i="1"/>
  <c r="N135" i="1"/>
  <c r="P134" i="1"/>
  <c r="O134" i="1"/>
  <c r="N134" i="1"/>
  <c r="P133" i="1"/>
  <c r="O133" i="1"/>
  <c r="N133" i="1"/>
  <c r="O132" i="1"/>
  <c r="P132" i="1" s="1"/>
  <c r="N132" i="1"/>
  <c r="O131" i="1"/>
  <c r="P131" i="1" s="1"/>
  <c r="N131" i="1"/>
  <c r="O130" i="1"/>
  <c r="P130" i="1" s="1"/>
  <c r="N130" i="1"/>
  <c r="P129" i="1"/>
  <c r="O129" i="1"/>
  <c r="N129" i="1"/>
  <c r="O128" i="1"/>
  <c r="P128" i="1" s="1"/>
  <c r="N128" i="1"/>
  <c r="O127" i="1"/>
  <c r="P127" i="1" s="1"/>
  <c r="N127" i="1"/>
  <c r="P126" i="1"/>
  <c r="O126" i="1"/>
  <c r="N126" i="1"/>
  <c r="P125" i="1"/>
  <c r="O125" i="1"/>
  <c r="N125" i="1"/>
  <c r="O124" i="1"/>
  <c r="P124" i="1" s="1"/>
  <c r="N124" i="1"/>
  <c r="O123" i="1"/>
  <c r="P123" i="1" s="1"/>
  <c r="N123" i="1"/>
  <c r="O122" i="1"/>
  <c r="P122" i="1" s="1"/>
  <c r="N122" i="1"/>
  <c r="O121" i="1"/>
  <c r="P121" i="1" s="1"/>
  <c r="N121" i="1"/>
  <c r="O120" i="1"/>
  <c r="P120" i="1" s="1"/>
  <c r="N120" i="1"/>
  <c r="P119" i="1"/>
  <c r="O119" i="1"/>
  <c r="N119" i="1"/>
  <c r="P118" i="1"/>
  <c r="O118" i="1"/>
  <c r="N118" i="1"/>
  <c r="P117" i="1"/>
  <c r="O117" i="1"/>
  <c r="N117" i="1"/>
  <c r="O116" i="1"/>
  <c r="P116" i="1" s="1"/>
  <c r="N116" i="1"/>
  <c r="O115" i="1"/>
  <c r="P115" i="1" s="1"/>
  <c r="N115" i="1"/>
  <c r="O114" i="1"/>
  <c r="P114" i="1" s="1"/>
  <c r="N114" i="1"/>
  <c r="P113" i="1"/>
  <c r="O113" i="1"/>
  <c r="N113" i="1"/>
  <c r="O112" i="1"/>
  <c r="P112" i="1" s="1"/>
  <c r="N112" i="1"/>
  <c r="P111" i="1"/>
  <c r="O111" i="1"/>
  <c r="N111" i="1"/>
  <c r="P110" i="1"/>
  <c r="O110" i="1"/>
  <c r="N110" i="1"/>
  <c r="P109" i="1"/>
  <c r="O109" i="1"/>
  <c r="N109" i="1"/>
  <c r="O108" i="1"/>
  <c r="P108" i="1" s="1"/>
  <c r="N108" i="1"/>
  <c r="O107" i="1"/>
  <c r="P107" i="1" s="1"/>
  <c r="N107" i="1"/>
  <c r="O106" i="1"/>
  <c r="P106" i="1" s="1"/>
  <c r="N106" i="1"/>
  <c r="P105" i="1"/>
  <c r="O105" i="1"/>
  <c r="N105" i="1"/>
  <c r="O104" i="1"/>
  <c r="P104" i="1" s="1"/>
  <c r="N104" i="1"/>
  <c r="P103" i="1"/>
  <c r="O103" i="1"/>
  <c r="N103" i="1"/>
  <c r="P102" i="1"/>
  <c r="O102" i="1"/>
  <c r="N102" i="1"/>
  <c r="P101" i="1"/>
  <c r="O101" i="1"/>
  <c r="N101" i="1"/>
  <c r="O100" i="1"/>
  <c r="P100" i="1" s="1"/>
  <c r="N100" i="1"/>
  <c r="O99" i="1"/>
  <c r="P99" i="1" s="1"/>
  <c r="N99" i="1"/>
  <c r="O98" i="1"/>
  <c r="P98" i="1" s="1"/>
  <c r="N98" i="1"/>
  <c r="P97" i="1"/>
  <c r="O97" i="1"/>
  <c r="N97" i="1"/>
  <c r="O96" i="1"/>
  <c r="P96" i="1" s="1"/>
  <c r="N96" i="1"/>
  <c r="O95" i="1"/>
  <c r="P95" i="1" s="1"/>
  <c r="N95" i="1"/>
  <c r="P94" i="1"/>
  <c r="O94" i="1"/>
  <c r="N94" i="1"/>
  <c r="P93" i="1"/>
  <c r="O93" i="1"/>
  <c r="N93" i="1"/>
  <c r="O92" i="1"/>
  <c r="P92" i="1" s="1"/>
  <c r="N92" i="1"/>
  <c r="O91" i="1"/>
  <c r="P91" i="1" s="1"/>
  <c r="N91" i="1"/>
  <c r="O90" i="1"/>
  <c r="P90" i="1" s="1"/>
  <c r="N90" i="1"/>
  <c r="O89" i="1"/>
  <c r="P89" i="1" s="1"/>
  <c r="N89" i="1"/>
  <c r="O88" i="1"/>
  <c r="P88" i="1" s="1"/>
  <c r="N88" i="1"/>
  <c r="P87" i="1"/>
  <c r="O87" i="1"/>
  <c r="N87" i="1"/>
  <c r="P86" i="1"/>
  <c r="O86" i="1"/>
  <c r="N86" i="1"/>
  <c r="P85" i="1"/>
  <c r="O85" i="1"/>
  <c r="N85" i="1"/>
  <c r="O84" i="1"/>
  <c r="P84" i="1" s="1"/>
  <c r="N84" i="1"/>
  <c r="O83" i="1"/>
  <c r="P83" i="1" s="1"/>
  <c r="N83" i="1"/>
  <c r="O82" i="1"/>
  <c r="P82" i="1" s="1"/>
  <c r="N82" i="1"/>
  <c r="P81" i="1"/>
  <c r="O81" i="1"/>
  <c r="N81" i="1"/>
  <c r="O80" i="1"/>
  <c r="P80" i="1" s="1"/>
  <c r="N80" i="1"/>
  <c r="P79" i="1"/>
  <c r="O79" i="1"/>
  <c r="N79" i="1"/>
  <c r="O78" i="1"/>
  <c r="P78" i="1" s="1"/>
  <c r="N78" i="1"/>
  <c r="P77" i="1"/>
  <c r="O77" i="1"/>
  <c r="N77" i="1"/>
  <c r="O76" i="1"/>
  <c r="P76" i="1" s="1"/>
  <c r="N76" i="1"/>
  <c r="O75" i="1"/>
  <c r="P75" i="1" s="1"/>
  <c r="N75" i="1"/>
  <c r="O74" i="1"/>
  <c r="P74" i="1" s="1"/>
  <c r="N74" i="1"/>
  <c r="P73" i="1"/>
  <c r="O73" i="1"/>
  <c r="N73" i="1"/>
  <c r="O72" i="1"/>
  <c r="P72" i="1" s="1"/>
  <c r="N72" i="1"/>
  <c r="P71" i="1"/>
  <c r="O71" i="1"/>
  <c r="N71" i="1"/>
  <c r="O70" i="1"/>
  <c r="P70" i="1" s="1"/>
  <c r="N70" i="1"/>
  <c r="P69" i="1"/>
  <c r="O69" i="1"/>
  <c r="N69" i="1"/>
  <c r="O68" i="1"/>
  <c r="P68" i="1" s="1"/>
  <c r="N68" i="1"/>
  <c r="O67" i="1"/>
  <c r="P67" i="1" s="1"/>
  <c r="N67" i="1"/>
  <c r="O66" i="1"/>
  <c r="P66" i="1" s="1"/>
  <c r="N66" i="1"/>
  <c r="P65" i="1"/>
  <c r="O65" i="1"/>
  <c r="N65" i="1"/>
  <c r="O64" i="1"/>
  <c r="P64" i="1" s="1"/>
  <c r="N64" i="1"/>
  <c r="P63" i="1"/>
  <c r="O63" i="1"/>
  <c r="N63" i="1"/>
  <c r="O62" i="1"/>
  <c r="P62" i="1" s="1"/>
  <c r="N62" i="1"/>
  <c r="P61" i="1"/>
  <c r="O61" i="1"/>
  <c r="N61" i="1"/>
  <c r="O60" i="1"/>
  <c r="P60" i="1" s="1"/>
  <c r="N60" i="1"/>
  <c r="O59" i="1"/>
  <c r="P59" i="1" s="1"/>
  <c r="N59" i="1"/>
  <c r="O58" i="1"/>
  <c r="P58" i="1" s="1"/>
  <c r="N58" i="1"/>
  <c r="P57" i="1"/>
  <c r="O57" i="1"/>
  <c r="N57" i="1"/>
  <c r="O56" i="1"/>
  <c r="P56" i="1" s="1"/>
  <c r="N56" i="1"/>
  <c r="P55" i="1"/>
  <c r="O55" i="1"/>
  <c r="N55" i="1"/>
  <c r="O54" i="1"/>
  <c r="P54" i="1" s="1"/>
  <c r="N54" i="1"/>
  <c r="P53" i="1"/>
  <c r="O53" i="1"/>
  <c r="N53" i="1"/>
  <c r="O52" i="1"/>
  <c r="P52" i="1" s="1"/>
  <c r="N52" i="1"/>
  <c r="O51" i="1"/>
  <c r="P51" i="1" s="1"/>
  <c r="N51" i="1"/>
  <c r="O50" i="1"/>
  <c r="P50" i="1" s="1"/>
  <c r="N50" i="1"/>
  <c r="P49" i="1"/>
  <c r="O49" i="1"/>
  <c r="N49" i="1"/>
  <c r="O48" i="1"/>
  <c r="P48" i="1" s="1"/>
  <c r="N48" i="1"/>
  <c r="P47" i="1"/>
  <c r="O47" i="1"/>
  <c r="N47" i="1"/>
  <c r="O46" i="1"/>
  <c r="P46" i="1" s="1"/>
  <c r="N46" i="1"/>
  <c r="P45" i="1"/>
  <c r="O45" i="1"/>
  <c r="N45" i="1"/>
  <c r="O44" i="1"/>
  <c r="P44" i="1" s="1"/>
  <c r="N44" i="1"/>
  <c r="O43" i="1"/>
  <c r="P43" i="1" s="1"/>
  <c r="N43" i="1"/>
  <c r="O42" i="1"/>
  <c r="P42" i="1" s="1"/>
  <c r="N42" i="1"/>
  <c r="P41" i="1"/>
  <c r="O41" i="1"/>
  <c r="N41" i="1"/>
  <c r="O40" i="1"/>
  <c r="P40" i="1" s="1"/>
  <c r="N40" i="1"/>
  <c r="P39" i="1"/>
  <c r="O39" i="1"/>
  <c r="N39" i="1"/>
  <c r="O38" i="1"/>
  <c r="P38" i="1" s="1"/>
  <c r="N38" i="1"/>
  <c r="P37" i="1"/>
  <c r="O37" i="1"/>
  <c r="N37" i="1"/>
  <c r="O36" i="1"/>
  <c r="P36" i="1" s="1"/>
  <c r="N36" i="1"/>
  <c r="O35" i="1"/>
  <c r="P35" i="1" s="1"/>
  <c r="N35" i="1"/>
  <c r="O34" i="1"/>
  <c r="P34" i="1" s="1"/>
  <c r="N34" i="1"/>
  <c r="P33" i="1"/>
  <c r="O33" i="1"/>
  <c r="N33" i="1"/>
  <c r="O32" i="1"/>
  <c r="P32" i="1" s="1"/>
  <c r="N32" i="1"/>
  <c r="P31" i="1"/>
  <c r="O31" i="1"/>
  <c r="N31" i="1"/>
  <c r="O30" i="1"/>
  <c r="P30" i="1" s="1"/>
  <c r="N30" i="1"/>
  <c r="P29" i="1"/>
  <c r="O29" i="1"/>
  <c r="N29" i="1"/>
  <c r="O28" i="1"/>
  <c r="P28" i="1" s="1"/>
  <c r="N28" i="1"/>
  <c r="O27" i="1"/>
  <c r="P27" i="1" s="1"/>
  <c r="N27" i="1"/>
  <c r="O26" i="1"/>
  <c r="P26" i="1" s="1"/>
  <c r="N26" i="1"/>
  <c r="P25" i="1"/>
  <c r="O25" i="1"/>
  <c r="N25" i="1"/>
  <c r="O24" i="1"/>
  <c r="P24" i="1" s="1"/>
  <c r="N24" i="1"/>
  <c r="P23" i="1"/>
  <c r="O23" i="1"/>
  <c r="N23" i="1"/>
  <c r="O22" i="1"/>
  <c r="P22" i="1" s="1"/>
  <c r="N22" i="1"/>
  <c r="P21" i="1"/>
  <c r="O21" i="1"/>
  <c r="N21" i="1"/>
  <c r="O20" i="1"/>
  <c r="P20" i="1" s="1"/>
  <c r="N20" i="1"/>
  <c r="O19" i="1"/>
  <c r="P19" i="1" s="1"/>
  <c r="N19" i="1"/>
  <c r="O18" i="1"/>
  <c r="P18" i="1" s="1"/>
  <c r="N18" i="1"/>
  <c r="P17" i="1"/>
  <c r="O17" i="1"/>
  <c r="N17" i="1"/>
  <c r="O16" i="1"/>
  <c r="P16" i="1" s="1"/>
  <c r="N16" i="1"/>
  <c r="P15" i="1"/>
  <c r="O15" i="1"/>
  <c r="N15" i="1"/>
  <c r="O14" i="1"/>
  <c r="P14" i="1" s="1"/>
  <c r="N14" i="1"/>
  <c r="P13" i="1"/>
  <c r="O13" i="1"/>
  <c r="N13" i="1"/>
  <c r="O12" i="1"/>
  <c r="P12" i="1" s="1"/>
  <c r="N12" i="1"/>
  <c r="O11" i="1"/>
  <c r="P11" i="1" s="1"/>
  <c r="N11" i="1"/>
  <c r="O10" i="1"/>
  <c r="P10" i="1" s="1"/>
  <c r="N10" i="1"/>
  <c r="P9" i="1"/>
  <c r="O9" i="1"/>
  <c r="N9" i="1"/>
  <c r="O8" i="1"/>
  <c r="P8" i="1" s="1"/>
  <c r="N8" i="1"/>
  <c r="P7" i="1"/>
  <c r="O7" i="1"/>
  <c r="N7" i="1"/>
  <c r="O6" i="1"/>
  <c r="P6" i="1" s="1"/>
  <c r="N6" i="1"/>
  <c r="P5" i="1"/>
  <c r="O5" i="1"/>
  <c r="N5" i="1"/>
  <c r="O4" i="1"/>
  <c r="P4" i="1" s="1"/>
  <c r="N4" i="1"/>
  <c r="O3" i="1"/>
  <c r="P3" i="1" s="1"/>
  <c r="N3" i="1"/>
  <c r="O2" i="1"/>
  <c r="P2" i="1" s="1"/>
  <c r="N2" i="1"/>
</calcChain>
</file>

<file path=xl/sharedStrings.xml><?xml version="1.0" encoding="utf-8"?>
<sst xmlns="http://schemas.openxmlformats.org/spreadsheetml/2006/main" count="4920" uniqueCount="1273">
  <si>
    <t>C.Costo</t>
  </si>
  <si>
    <t>Desc. C.Costo</t>
  </si>
  <si>
    <t>CUENTA</t>
  </si>
  <si>
    <t>Auxiliar</t>
  </si>
  <si>
    <t>Desc. auxiliar</t>
  </si>
  <si>
    <t>Neto</t>
  </si>
  <si>
    <t>Docto.</t>
  </si>
  <si>
    <t>Fecha</t>
  </si>
  <si>
    <t>Notas</t>
  </si>
  <si>
    <t>Notas docto</t>
  </si>
  <si>
    <t>Razón social tercero movto.</t>
  </si>
  <si>
    <t>SECCION</t>
  </si>
  <si>
    <t>Prefijo tipo docto</t>
  </si>
  <si>
    <t>SUB SUBCUENTA</t>
  </si>
  <si>
    <t>Mes</t>
  </si>
  <si>
    <t>Nombre Mes</t>
  </si>
  <si>
    <t>Enero</t>
  </si>
  <si>
    <t xml:space="preserve">5501 - COSTO DE LA DEUDA                       </t>
  </si>
  <si>
    <t>INTERESES POR OBLIGACIONES FINANCIERAS</t>
  </si>
  <si>
    <t>NIC-00037065</t>
  </si>
  <si>
    <t>AJUSTE DE CUENTA EN NIB6567 -DEB. AUTOMATICO OBLIGACION LEASING FINANCIERO LP #3-1034698700 - CUOTA 10/60</t>
  </si>
  <si>
    <t>BANCOLOMBIA</t>
  </si>
  <si>
    <t xml:space="preserve">    </t>
  </si>
  <si>
    <t>Febrero</t>
  </si>
  <si>
    <t>INTERESES COGENERACION</t>
  </si>
  <si>
    <t>NIC-00036200</t>
  </si>
  <si>
    <t>AJUSTE DE CUENTA INTERESES DE COGENERACION</t>
  </si>
  <si>
    <t>BANCO DAVIVIENDA S.A</t>
  </si>
  <si>
    <t>Marzo</t>
  </si>
  <si>
    <t>NIC-00038354</t>
  </si>
  <si>
    <t>AJUSTE EN OBLIGACION 5602005087-4 - BANCO POPULAR</t>
  </si>
  <si>
    <t>BANCO POPULAR</t>
  </si>
  <si>
    <t>Abril</t>
  </si>
  <si>
    <t>NIC-00036438</t>
  </si>
  <si>
    <t>AJUSTE Y RECONOCIMIENTO DE INTERESES PAGADOS A FEB 28 2025 OBLIGACIONES FINANCIERAS</t>
  </si>
  <si>
    <t>BANCO DE BOGOTA</t>
  </si>
  <si>
    <t>Mayo</t>
  </si>
  <si>
    <t>BBVA COLOMBIA S.A.</t>
  </si>
  <si>
    <t>Junio</t>
  </si>
  <si>
    <t>Julio</t>
  </si>
  <si>
    <t>Agosto</t>
  </si>
  <si>
    <t>SERVICIOS FINANCIEROS S.A. SERFINANZA CIA DE FINANCIAMIENTO</t>
  </si>
  <si>
    <t>Septiembre</t>
  </si>
  <si>
    <t>Octubre</t>
  </si>
  <si>
    <t>NIC-00037900</t>
  </si>
  <si>
    <t>AMORIZACION OBLIGACION FINANCIERA JULIO 2025</t>
  </si>
  <si>
    <t>RENTING COLOMBIA S.A.</t>
  </si>
  <si>
    <t>CAJA DE COMPENSACION FAMILIAR DEL VALLE CAUCA - COMFAMILIAR COMFANDI</t>
  </si>
  <si>
    <t>Noviembre</t>
  </si>
  <si>
    <t>NIC-00036356</t>
  </si>
  <si>
    <t>AMORTIZACION ARRENAMIENTO FEBRERO 2025</t>
  </si>
  <si>
    <t>COLREMAQ SUGAR CANE S.A.</t>
  </si>
  <si>
    <t>Diciembre</t>
  </si>
  <si>
    <t>NIC-00037211</t>
  </si>
  <si>
    <t>AMORTIZACION ARRENDAMENTO FINANCIERO MAYO 2025</t>
  </si>
  <si>
    <t>NIC-00035987</t>
  </si>
  <si>
    <t>AMORTIZACION ARRENDAMIENTO ENERO 2025</t>
  </si>
  <si>
    <t>RENTEK S.A.S.</t>
  </si>
  <si>
    <t>NIC-00036981</t>
  </si>
  <si>
    <t>AMORTIZACION ARRENDAMIENTO FIN ABRIL 2025</t>
  </si>
  <si>
    <t>IMERENT S.A.S</t>
  </si>
  <si>
    <t>NIC-00037001</t>
  </si>
  <si>
    <t>NIC-00036874</t>
  </si>
  <si>
    <t>NIC-00036876</t>
  </si>
  <si>
    <t>NIC-00036877</t>
  </si>
  <si>
    <t>NIC-00036880</t>
  </si>
  <si>
    <t>NIC-00037185</t>
  </si>
  <si>
    <t>AMORTIZACION ARRENDAMIENTO FINANCIERO 2025</t>
  </si>
  <si>
    <t>AMORTIZACION ARRENDAMIENTO FINANCIERO MAYO 2025</t>
  </si>
  <si>
    <t>BANCO DE OCCIDENTE</t>
  </si>
  <si>
    <t>NIC-00037651</t>
  </si>
  <si>
    <t>AMORTIZACION ARRENDAMIENTO FINANCIERO JUNIO 2025</t>
  </si>
  <si>
    <t>NIC-00036599</t>
  </si>
  <si>
    <t>AMORTIZACION ARRENDAMIENTO FINANCIERO MARZO 2025</t>
  </si>
  <si>
    <t>NIC-00037180</t>
  </si>
  <si>
    <t>NIC-00037183</t>
  </si>
  <si>
    <t>NIC-00037620</t>
  </si>
  <si>
    <t>AMORTIZACION ARRENDAMIENTO JUNIO 2025</t>
  </si>
  <si>
    <t>NIC-00036608</t>
  </si>
  <si>
    <t>AMORTIZACION ARRENDAMIENTO MARZO 2025</t>
  </si>
  <si>
    <t>NIC-00036732</t>
  </si>
  <si>
    <t>NIC-00036875</t>
  </si>
  <si>
    <t>AMORTIZACION ARRENNDAMIENTO FIN ABRIL 2025</t>
  </si>
  <si>
    <t>AMD-00000170</t>
  </si>
  <si>
    <t>AMORTIZACION DIFERIDOS AGOSTO 2025</t>
  </si>
  <si>
    <t>AMD-00000168</t>
  </si>
  <si>
    <t>AMORTIZACION DIFERIDOS JULIO 2025</t>
  </si>
  <si>
    <t>NIC-00036248</t>
  </si>
  <si>
    <t>AMORTIZACION OBLIGACION FEBRERO 2025</t>
  </si>
  <si>
    <t>NIC-00036965</t>
  </si>
  <si>
    <t>AMORTIZACION OBLIGACION FIN ABRIL 2025</t>
  </si>
  <si>
    <t>NIC-00035977</t>
  </si>
  <si>
    <t>AMORTIZACION OBLIGACION FINACIERA ENERO 2025</t>
  </si>
  <si>
    <t xml:space="preserve">DSF </t>
  </si>
  <si>
    <t>NIC-00037940</t>
  </si>
  <si>
    <t>AMORTIZACION OBLIGACION FINACIERA JULIO 2025</t>
  </si>
  <si>
    <t>NIC-00036613</t>
  </si>
  <si>
    <t>AMORTIZACION OBLIGACION FINACIERA MARZO 2025</t>
  </si>
  <si>
    <t>NIC-00036252</t>
  </si>
  <si>
    <t>AMORTIZACION OBLIGACION FINANCERA FEBRERO 2025</t>
  </si>
  <si>
    <t>NIC-00036862</t>
  </si>
  <si>
    <t>AMORTIZACION OBLIGACION FINANCIERA ABRIL 2025</t>
  </si>
  <si>
    <t>NIC-00038281</t>
  </si>
  <si>
    <t>AMORTIZACION OBLIGACION FINANCIERA AGOSTO 2025</t>
  </si>
  <si>
    <t>NIC-00038265</t>
  </si>
  <si>
    <t>NIC-00038269</t>
  </si>
  <si>
    <t>NIC-00038299</t>
  </si>
  <si>
    <t>NIC-00038308</t>
  </si>
  <si>
    <t>NIC-00038370</t>
  </si>
  <si>
    <t>NIC-00038284</t>
  </si>
  <si>
    <t>AMORTIZACION OBLIGACION FINANCIERA AGOSTOS 2025</t>
  </si>
  <si>
    <t>NIC-00035985</t>
  </si>
  <si>
    <t>AMORTIZACION OBLIGACION FINANCIERA ENERO 2024</t>
  </si>
  <si>
    <t>NIC-00036068</t>
  </si>
  <si>
    <t>AMORTIZACION OBLIGACION FINANCIERA ENERO 2025</t>
  </si>
  <si>
    <t>NIC-00036000</t>
  </si>
  <si>
    <t>NIC-00035998</t>
  </si>
  <si>
    <t>NIC-00036251</t>
  </si>
  <si>
    <t>AMORTIZACION OBLIGACION FINANCIERA FEBRERO 2025</t>
  </si>
  <si>
    <t>NIC-00036334</t>
  </si>
  <si>
    <t>NIC-00036340</t>
  </si>
  <si>
    <t>NIC-00037932</t>
  </si>
  <si>
    <t>AMORTIZACION OBLIGACION FINANCIERA JULIO 2025</t>
  </si>
  <si>
    <t>NIC-00037942</t>
  </si>
  <si>
    <t>NIC-00037943</t>
  </si>
  <si>
    <t>NIC-00037944</t>
  </si>
  <si>
    <t>NIC-00037952</t>
  </si>
  <si>
    <t>NIC-00037981</t>
  </si>
  <si>
    <t>NIC-00037636</t>
  </si>
  <si>
    <t>AMORTIZACION OBLIGACION FINANCIERA JUNIO 2025</t>
  </si>
  <si>
    <t>NIC-00037571</t>
  </si>
  <si>
    <t>NIC-00037612</t>
  </si>
  <si>
    <t>NIC-00037629</t>
  </si>
  <si>
    <t>NIC-00037655</t>
  </si>
  <si>
    <t>NIC-00036585</t>
  </si>
  <si>
    <t>AMORTIZACION OBLIGACION FINANCIERA MARZO 2025</t>
  </si>
  <si>
    <t>NIC-00036596</t>
  </si>
  <si>
    <t>NIC-00037198</t>
  </si>
  <si>
    <t>AMORTIZACION OBLIGACION FINANCIERA MAYO 2025</t>
  </si>
  <si>
    <t>NIC-00037167</t>
  </si>
  <si>
    <t>NIB-00006417</t>
  </si>
  <si>
    <t>APGO DE OBLIGACIONES FINANCIERAS : N°: 7001016200483485 - CCAPITAL E INTEREESES</t>
  </si>
  <si>
    <t>NIC-00036785</t>
  </si>
  <si>
    <t>APLICACIÓN PROVISIÓN CON NIB-6300 PAGO OBLIGACIÓN 5602005301 TRIMESTRAL SOLO INTERESES</t>
  </si>
  <si>
    <t>NIC-00037006</t>
  </si>
  <si>
    <t>CAUSACIÓN INTERESES OBLIGACIONES FINANCIERAS # 119000025101 SERFINANZA ABRIL 2025</t>
  </si>
  <si>
    <t>PROVISION INTERESES ABRIL 2025</t>
  </si>
  <si>
    <t>NIC-00038477</t>
  </si>
  <si>
    <t>CAUSACIÓN INTERESES OBLIGACIONES FINANCIERAS # 119000025101 SERFINANZA AGOSTO 2025</t>
  </si>
  <si>
    <t>PROVISION INTERESES AGOSTO 2025</t>
  </si>
  <si>
    <t>NIC-00036003</t>
  </si>
  <si>
    <t>CAUSACIÓN INTERESES OBLIGACIONES FINANCIERAS # 119000025101 SERFINANZA ENERO 2025</t>
  </si>
  <si>
    <t>CAUSACIÓN INTERESES OBLIGACIONES FINANCIERAS ENERO 2025</t>
  </si>
  <si>
    <t>NIC-00036407</t>
  </si>
  <si>
    <t>CAUSACIÓN INTERESES OBLIGACIONES FINANCIERAS # 119000025101 SERFINANZA FEBRERO 2025</t>
  </si>
  <si>
    <t>CAUSACIÓN INTERESESOBLIGACIONES FINANCIERAS FEBRERO 2025</t>
  </si>
  <si>
    <t>NIC-00037751</t>
  </si>
  <si>
    <t>CAUSACIÓN INTERESES OBLIGACIONES FINANCIERAS # 119000025101 SERFINANZA JUNIO 2025</t>
  </si>
  <si>
    <t>CAUSACION INTERESES OBLIGACIONES FINANCIERAS JUNIO 2025</t>
  </si>
  <si>
    <t>NIC-00036694</t>
  </si>
  <si>
    <t>CAUSACIÓN INTERESES OBLIGACIONES FINANCIERAS # 119000025101 SERFINANZA MARZO 2025</t>
  </si>
  <si>
    <t>CAUSACIÓN INTERESES OBLIGACIONES FINANCIERAS MARZO 2025</t>
  </si>
  <si>
    <t>NIC-00037435</t>
  </si>
  <si>
    <t>CAUSACIÓN INTERESES OBLIGACIONES FINANCIERAS # 119000025101 SERFINANZA MAYO 2025</t>
  </si>
  <si>
    <t>PROVISION INTERESES MAYO 2025</t>
  </si>
  <si>
    <t>CAUSACIÓN INTERESES OBLIGACIONES FINANCIERAS # 502-9600090517 BBVA ABRIL 2025</t>
  </si>
  <si>
    <t>CAUSACIÓN INTERESES OBLIGACIONES FINANCIERAS # 502-9600090517 BBVA ENERO 2025</t>
  </si>
  <si>
    <t>CAUSACIÓN INTERESES OBLIGACIONES FINANCIERAS # 502-9600090517 BBVA FEBRERO 2025</t>
  </si>
  <si>
    <t>CAUSACIÓN INTERESES OBLIGACIONES FINANCIERAS # 502-9600090517 BBVA JUNIO 2025</t>
  </si>
  <si>
    <t>CAUSACIÓN INTERESES OBLIGACIONES FINANCIERAS # 502-9600090517 BBVA MARZO 2025</t>
  </si>
  <si>
    <t>CAUSACIÓN INTERESES OBLIGACIONES FINANCIERAS # 502-9600090517 BBVA MAYO 2025</t>
  </si>
  <si>
    <t>CAUSACIÓN INTERESES OBLIGACIONES FINANCIERAS # 553753720 BANCO BOGOTA FEBRERO 2025</t>
  </si>
  <si>
    <t>CAUSACIÓN INTERESES OBLIGACIONES FINANCIERAS # 553753720 BANCO BOGOTA MARZO 2025</t>
  </si>
  <si>
    <t>CAUSACIÓN INTERESES OBLIGACIONES FINANCIERAS # 553753720 BANCO DE BOGOTA ENERO 2025</t>
  </si>
  <si>
    <t>CAUSACIÓN INTERESES OBLIGACIONES FINANCIERAS # 56020053016 BANCO BOGOTA POPULAR 2025</t>
  </si>
  <si>
    <t>CAUSACIÓN INTERESES OBLIGACIONES FINANCIERAS # 56020053016 BANCO BOGOTA POPULAR AGOSTO 2025</t>
  </si>
  <si>
    <t>CAUSACIÓN INTERESES OBLIGACIONES FINANCIERAS # 56020053016 BANCO BOGOTA POPULAR JUNIO 2025</t>
  </si>
  <si>
    <t>CAUSACIÓN INTERESES OBLIGACIONES FINANCIERAS # 56020053016 BANCO BOGOTA POPULAR MARZO 2025</t>
  </si>
  <si>
    <t>CAUSACIÓN INTERESES OBLIGACIONES FINANCIERAS # 56020053016 BANCO BOGOTA POPULAR MAYO 2025</t>
  </si>
  <si>
    <t>CAUSACIÓN INTERESES OBLIGACIONES FINANCIERAS # 7001016200313591 DAVIVIENDA ABRIL 2025</t>
  </si>
  <si>
    <t>CAUSACIÓN INTERESES OBLIGACIONES FINANCIERAS # 7001016200313591 DAVIVIENDA ENERO 2025</t>
  </si>
  <si>
    <t>CAUSACIÓN INTERESES OBLIGACIONES FINANCIERAS # 7001016200313591 DAVIVIENDA FEB 2025</t>
  </si>
  <si>
    <t>CAUSACIÓN INTERESES OBLIGACIONES FINANCIERAS # 7001016200313591 DAVIVIENDA JUNIO 2025</t>
  </si>
  <si>
    <t>CAUSACIÓN INTERESES OBLIGACIONES FINANCIERAS # 7001016200313591 DAVIVIENDA MARZO 2025</t>
  </si>
  <si>
    <t>CAUSACIÓN INTERESES OBLIGACIONES FINANCIERAS # 7001016200313591 DAVIVIENDA MAYO 2025</t>
  </si>
  <si>
    <t>CAUSACIÓN INTERESES OBLIGACIONES FINANCIERAS # 8010034243 BANCOLOMBIA ABRIL 2025</t>
  </si>
  <si>
    <t>CAUSACIÓN INTERESES OBLIGACIONES FINANCIERAS # 8010034243 BANCOLOMBIA AGOSTOE 2025</t>
  </si>
  <si>
    <t>CAUSACIÓN INTERESES OBLIGACIONES FINANCIERAS # 8010034243 BANCOLOMBIA ENERO 2025</t>
  </si>
  <si>
    <t>CAUSACIÓN INTERESES OBLIGACIONES FINANCIERAS # 8010034243 BANCOLOMBIA FEBRERO 2025</t>
  </si>
  <si>
    <t>CAUSACIÓN INTERESES OBLIGACIONES FINANCIERAS # 8010034243 BANCOLOMBIA JUNIO 2025</t>
  </si>
  <si>
    <t>CAUSACIÓN INTERESES OBLIGACIONES FINANCIERAS # 8010034243 BANCOLOMBIA MARZO 2025</t>
  </si>
  <si>
    <t>CAUSACIÓN INTERESES OBLIGACIONES FINANCIERAS # 8010034243 BANCOLOMBIA MAYO 2025</t>
  </si>
  <si>
    <t>NIP-00017606</t>
  </si>
  <si>
    <t>CESIÓN FEPA AGOSTO 2025</t>
  </si>
  <si>
    <t>ASOCANA</t>
  </si>
  <si>
    <t>NIP-00016822</t>
  </si>
  <si>
    <t>CESIÓN FEPA CORRESPONDIENTE AL MES DE FEBRERO DE 2025</t>
  </si>
  <si>
    <t>NIP-00017203</t>
  </si>
  <si>
    <t>CESIÓN FEPA CORRESPONDIENTE AL MES DE MAYO DE 2025</t>
  </si>
  <si>
    <t>NIP-00016650</t>
  </si>
  <si>
    <t>CESIÓN FEPA ENERO DE 2025</t>
  </si>
  <si>
    <t>CESIÓN FEPA ENERO DE 2025 $881.904.911</t>
  </si>
  <si>
    <t>NIB-00006160</t>
  </si>
  <si>
    <t>Comision por generacion de extractos bancarios , Interes ´por sobregiro en extracto Febero 2025</t>
  </si>
  <si>
    <t>NIC-00036991</t>
  </si>
  <si>
    <t>COSTO AMORTIZADO REFINANCIACION MES DE ABRIL 2025</t>
  </si>
  <si>
    <t>INGENIO CARMELITA S.A.</t>
  </si>
  <si>
    <t>NIC-00038397</t>
  </si>
  <si>
    <t>COSTO AMORTIZADO REFINANCIACION MES DE AGOSTO 2025</t>
  </si>
  <si>
    <t>NIC-00036371</t>
  </si>
  <si>
    <t>COSTO AMORTIZADO REFINANCIACION MES DE FEBRERO 2025</t>
  </si>
  <si>
    <t>NIC-00036075</t>
  </si>
  <si>
    <t>COSTO AMORTIZADO REFINANCIACION MES DE JULIO</t>
  </si>
  <si>
    <t>COSTO AMORTIZADO REFINANCIACIÓN MES DE ENERO 2025</t>
  </si>
  <si>
    <t>NIC-00038056</t>
  </si>
  <si>
    <t>COSTO AMORTIZADO REFINANCIACION MES DE JULIO 2025</t>
  </si>
  <si>
    <t>NIC-00036701</t>
  </si>
  <si>
    <t>COSTO AMORTIZADO REFINANCIACION MES DE MARZO 2025</t>
  </si>
  <si>
    <t>NIC-00037432</t>
  </si>
  <si>
    <t>COSTO AMORTIZADO REFINANCIACION MES DE MAYO 2025</t>
  </si>
  <si>
    <t>NIB-00006146</t>
  </si>
  <si>
    <t>DE. AUTOMATICO OBLIGACION LEASING FINANCIERO LP #3-1034698700 - CUOTA8/60</t>
  </si>
  <si>
    <t>NIB-00007245</t>
  </si>
  <si>
    <t>DEB. AUTOMATICO - INTERES DE OBLIGACION 8010034243 MES DE JULIO 2025</t>
  </si>
  <si>
    <t>NIB-00007431</t>
  </si>
  <si>
    <t>DEB. AUTOMATICO LEASING 3-10-346987 MES DE AGOSTO 2025</t>
  </si>
  <si>
    <t>NIB-00007240</t>
  </si>
  <si>
    <t>DEB. AUTOMATICO LEASING 3-10-346987 MES DE JULIO 2025</t>
  </si>
  <si>
    <t>NIB-00006763</t>
  </si>
  <si>
    <t>DEB. AUTOMATICO OBLIGACION LEASING FINANCIERO LP #3-1034698700 - CUOTA 11/60</t>
  </si>
  <si>
    <t>NIB-00007025</t>
  </si>
  <si>
    <t>DEB. AUTOMATICO OBLIGACION LEASING FINANCIERO LP #3-1034698700 - CUOTA 12/60</t>
  </si>
  <si>
    <t>NIB-00006312</t>
  </si>
  <si>
    <t>DEB. AUTOMATICO OBLIGACION LEASING FINANCIERO LP #3-1034698700 - CUOTA 9/60</t>
  </si>
  <si>
    <t>NIB-00005932</t>
  </si>
  <si>
    <t>DEB. AUTOMATICO OBLIGACION LEASING FINANCIERO LP #3-1034698700 - CUOTA7/60</t>
  </si>
  <si>
    <t>$ 26,716,821.00  DEB. AUTOMATICO OBLIGACION LEASING FINANCIERO LP #3-1034698700 - CUOTA7/60</t>
  </si>
  <si>
    <t>OF-00000062</t>
  </si>
  <si>
    <t>Débito de obligaciones (30318132-00137912-30318116-30255722-130392822) Banco de occidente por unificacion de Creditos la cruza con la Obligacion #00130459803</t>
  </si>
  <si>
    <t>OBLIG 00130459803 -TCN:9.80% - LINEA:U011 FINAGRO RECURSOS PROPIOS - TEA:10.17% -TM- EA: 24.86-% FECHA INICIO:02/9/2025 - F. FIN:04/09/2028</t>
  </si>
  <si>
    <t>NIC-00037188</t>
  </si>
  <si>
    <t>DEVOLUCION DE DSF - GASTOS BANCARIOS CORRESPONDIENTES AL MES DE ABRIL 2025- (DESDE DSF1221 AL DSF1229)</t>
  </si>
  <si>
    <t>NIC-00036228</t>
  </si>
  <si>
    <t>DEVOLUCION DE DSF - GASTOS BANCARIOS MES DE ENERO 2025</t>
  </si>
  <si>
    <t>NIC-00036582</t>
  </si>
  <si>
    <t>DEVOLUCION DE DSF - GASTOS BANCARIOS MES DE FEBRERO 2025 (DSF1104 AL 1114)</t>
  </si>
  <si>
    <t>NIC-00037857</t>
  </si>
  <si>
    <t>DEVOLUCION DE DSF (1257 AL 12849 GASTOS BANCARIOS MAYO Y JUNIO 2025</t>
  </si>
  <si>
    <t>INSTITUTO COLOMBIANO DE BIENESTAR FAMILIAR</t>
  </si>
  <si>
    <t>AFP OBLIGATORIAS COLFONDOS</t>
  </si>
  <si>
    <t>EPS SURA</t>
  </si>
  <si>
    <t>EPS SANITAS</t>
  </si>
  <si>
    <t>NIC-00038078</t>
  </si>
  <si>
    <t>DEVOLUCION DE DSF 1271- GASTOS BANCARIOS MES DE JUNIO 2025</t>
  </si>
  <si>
    <t>NIC-00036854</t>
  </si>
  <si>
    <t>DEVOLUCION DE DSF GASTOS BANCARIOS CORRESPONDIENTES AL MES DE MARZO 2025- (1149 AL 1162)</t>
  </si>
  <si>
    <t>NIC-00038264</t>
  </si>
  <si>
    <t>DEVOLUCION DE DSF MES DE JULIO 2025- GASTOS BANCARIOS (DSF1375 AL DSF 1386)</t>
  </si>
  <si>
    <t>NIC-00036787</t>
  </si>
  <si>
    <t>DEVOLUCIÓN MAYOR VALOR PROVISIÓN INTERESES FINANCIEROS</t>
  </si>
  <si>
    <t>NIC-00036788</t>
  </si>
  <si>
    <t>DEVOLUCIÓN PROVISIÓN OBLIGACIONES A MARZO 31 DE 2025</t>
  </si>
  <si>
    <t>NIP-00016545</t>
  </si>
  <si>
    <t>E21-1052416 -  Canon Según Contrato R-0843-0001, 0002 Y 0003 , INTERES DE MORA DE LA FACTURA 103286</t>
  </si>
  <si>
    <t>NIP-00017106</t>
  </si>
  <si>
    <t>E21109832- CANON SEGUN CONTRATO No. R-0843-001, 002, 003 , INTERES DE MORA 29 DIAS FACTURA 107975</t>
  </si>
  <si>
    <t>NIP-00017375</t>
  </si>
  <si>
    <t>E21112236 - CANON SEGUN CONTRATO No. R-0843-001,002,003 INTERES FACTURA 109204 5 DIAS DE MORA</t>
  </si>
  <si>
    <t>SERVICIO OCCIDENTAL DE SALUD</t>
  </si>
  <si>
    <t>NIP-00017487</t>
  </si>
  <si>
    <t>E21113475 - CANON SEGUN CONTRATO No. R-0843-001,002,003 INTERES FACTURA 111075- 2 DIAS DE MORA</t>
  </si>
  <si>
    <t>NIP-00017024</t>
  </si>
  <si>
    <t>E2E21109204- CANON SEGUN CONTRATO No. R-0843-0001-0002-0003</t>
  </si>
  <si>
    <t>E2 E21109204- CANON SEGUN CONTRATO No. R-0843-0001-0002-0003</t>
  </si>
  <si>
    <t>FAC-00046891</t>
  </si>
  <si>
    <t>FCAL94282 - INTERESES POR MORA</t>
  </si>
  <si>
    <t>INTERESES POR SOBREGIROS</t>
  </si>
  <si>
    <t>NIB-00006094</t>
  </si>
  <si>
    <t>GASTOS BANCARIOS - BANCO BOGOTA CALI CTE 256096355 - MES DE ENERO 2025</t>
  </si>
  <si>
    <t>NIC-00035976</t>
  </si>
  <si>
    <t>GASTOS BANCARIOS 27 AL 31 DICIEMBRE 2024 -BANCOLOMBIA 801</t>
  </si>
  <si>
    <t>DEVOLUCION DE DSF 1059-1060-1061 - GASTOS BANCARIOS 27 AL 31 DIC 2024</t>
  </si>
  <si>
    <t>DSF-00001061</t>
  </si>
  <si>
    <t xml:space="preserve">GASTOS BANCARIOS 27 AL 31 DICIEMBRE 2024 -BANCOLOMBIA  </t>
  </si>
  <si>
    <t>GASTOS BANCARIOS 27 AL 31 DICIEMBRE 2024 -BGTA CALI</t>
  </si>
  <si>
    <t>DSF-00001059</t>
  </si>
  <si>
    <t xml:space="preserve">GASTOS BANCARIOS 27 AL 31 DICIEMBRE 2024  </t>
  </si>
  <si>
    <t>GASTOS BANCARIOS 27 AL 31 DICIEMBRE 2024 -BGTA ESPECIAL</t>
  </si>
  <si>
    <t>GASTOS BANCARIOS 27 AL 31 DICIEMBRE 2024 -BGTA TULUA</t>
  </si>
  <si>
    <t>GASTOS BANCARIOS 27 AL 31 DICIEMBRE 2024 -POPULAR 2276</t>
  </si>
  <si>
    <t>DSF-00001060</t>
  </si>
  <si>
    <t xml:space="preserve">GASTOS BANCARIOS 27 AL 31 DICIEMBRE 2024 -POPULAR 2276 </t>
  </si>
  <si>
    <t>NIB-00007480</t>
  </si>
  <si>
    <t>GASTOS BANCARIOS BANCO BOGOTA CALI CTE 256096355 MES DE AGOSTO 2025</t>
  </si>
  <si>
    <t>NIB-00007247</t>
  </si>
  <si>
    <t>GASTOS BANCARIOS BANCO BOGOTA CALI CTE 256096355 MES DE JULIO 2025</t>
  </si>
  <si>
    <t>NIB-00007498</t>
  </si>
  <si>
    <t>GASTOS BANCARIOS BANCO DAVIVIENDA CTE 379469997678 MES DE AGOSTO 2025</t>
  </si>
  <si>
    <t>NIB-00007249</t>
  </si>
  <si>
    <t>GASTOS BANCARIOS BANCO DAVIVIENDA CTE 379469997678 MES DE JULIO 2025</t>
  </si>
  <si>
    <t>NIB-00007000</t>
  </si>
  <si>
    <t>GASTOS BANCARIOS BANCO DAVIVIENDA CTE 379469997678 MES DE JUNIO</t>
  </si>
  <si>
    <t>NIB-00006781</t>
  </si>
  <si>
    <t>GASTOS BANCARIOS BANCO DE BOGOTA CALI CTA CTE 256096355 - MES DE MAYO 2025</t>
  </si>
  <si>
    <t>NIB-00006782</t>
  </si>
  <si>
    <t>GASTOS BANCARIOS BANCO DE BOGOTA CTA CTE  612036319 - MES DE MAYO 2025</t>
  </si>
  <si>
    <t>NIB-00006783</t>
  </si>
  <si>
    <t>GASTOS BANCARIOS BANCO DE BOGOTA ESPECIAL 484183223 MES DE MAYO 2025</t>
  </si>
  <si>
    <t>NIB-00006093</t>
  </si>
  <si>
    <t>GASTOS BANCARIOS BANCO DE BOGOTA SOBREGIRO 484183223</t>
  </si>
  <si>
    <t>NIB-00007248</t>
  </si>
  <si>
    <t>GASTOS BANCARIOS BANCO DE BOGOTA SOBREGIRO 484183223 MES DE JULIO 2025</t>
  </si>
  <si>
    <t>NIB-00006995</t>
  </si>
  <si>
    <t>GASTOS BANCARIOS BANCO DE BOGOTA SOBREGIRO 484183223 MES DE JUNIO 2025</t>
  </si>
  <si>
    <t>NIB-00006363</t>
  </si>
  <si>
    <t>GASTOS BANCARIOS BANCO DE BOGOTA SOBREGIRO 484183223 MES DE MARZO 2025</t>
  </si>
  <si>
    <t>NIB-00006362</t>
  </si>
  <si>
    <t>GASTOS BANCARIOS BANCO DE BOGOTA TULUA CTE 612036319  MES DE MARZO 2025</t>
  </si>
  <si>
    <t>NIB-00007479</t>
  </si>
  <si>
    <t>GASTOS BANCARIOS BANCO DE BOGOTA TULUA CTE 612036319 MES DE AGOSTO 2025</t>
  </si>
  <si>
    <t>NIB-00007246</t>
  </si>
  <si>
    <t>GASTOS BANCARIOS BANCO DE BOGOTA TULUA CTE 612036319 MES DE JULIO 2025</t>
  </si>
  <si>
    <t>NIB-00006993</t>
  </si>
  <si>
    <t>GASTOS BANCARIOS BANCO DE BOGOTA TULUA CTE 612036319 MES DE JUNIO 2025</t>
  </si>
  <si>
    <t>NIB-00006981</t>
  </si>
  <si>
    <t>GASTOS BANCARIOS BANCO DE OCCIDENTE CTE 001526318 MES DE JUNIO</t>
  </si>
  <si>
    <t>NIB-00007483</t>
  </si>
  <si>
    <t>GASTOS BANCARIOS BANCO POPULAR CTA CTE 110560212276 MES DE AGOSTO 2025</t>
  </si>
  <si>
    <t>NIB-00006777</t>
  </si>
  <si>
    <t>GASTOS BANCARIOS BANCOLOMBIA 762-823167-03 - MES DE MAYO 2025</t>
  </si>
  <si>
    <t>NIB-00005911</t>
  </si>
  <si>
    <t>GASTOS BANCARIOS BANCOLOMBIA CTA CTE 80104152201 - MES DE ENERO 2025</t>
  </si>
  <si>
    <t>NIB-00006776</t>
  </si>
  <si>
    <t>GASTOS BANCARIOS BANCOLOMBIA CTA CTE 80104152201 - MES DE MAYO 2025</t>
  </si>
  <si>
    <t>NIB-00006647</t>
  </si>
  <si>
    <t>GASTOS BANCARIOS BANCOLOMBIA CTE 801-041522-01 MES DE ABRIL 2025</t>
  </si>
  <si>
    <t>NIB-00007251</t>
  </si>
  <si>
    <t>GASTOS BANCARIOS BANCOLOMBIA CTE 80104152201 MES DE JULIO 2025</t>
  </si>
  <si>
    <t>NIB-00007476</t>
  </si>
  <si>
    <t>NIB-00006997</t>
  </si>
  <si>
    <t>GASTOS BANCARIOS BANCOLOMBIA CTE 80104152201 MES DE JUNIO 2025</t>
  </si>
  <si>
    <t>NIB-00006563</t>
  </si>
  <si>
    <t>GASTOS BANCARIOS BANCOLOMBIA ESPECIAL 762-823167-03 MES DE ABRIL 2025</t>
  </si>
  <si>
    <t>NIB-00005912</t>
  </si>
  <si>
    <t>GASTOS BANCARIOS BANCOLOMBIA ESPECIAL 76282316703 MES DE ENERO 2025</t>
  </si>
  <si>
    <t>NIB-00007255</t>
  </si>
  <si>
    <t>GASTOS BANCARIOS BANCOLOMBIA SOBREGIRO 76282316703 MES DE JULIO 2025</t>
  </si>
  <si>
    <t>NIB-00006998</t>
  </si>
  <si>
    <t>GASTOS BANCARIOS BANCOLOMBIA SOBREGIRO 76282316703 MES DE JUNIO 2025</t>
  </si>
  <si>
    <t>NIB-00006364</t>
  </si>
  <si>
    <t>GASTOS BANCARIOS BANCOLOMBIA SOBREGIRO 76282316703 MES DE MARZO 2025</t>
  </si>
  <si>
    <t>NIB-00006559</t>
  </si>
  <si>
    <t>GASTOS BANCARIOS BGTA CALI 256096355 MES DE ABRIL 2025</t>
  </si>
  <si>
    <t>NIB-00005936</t>
  </si>
  <si>
    <t>GASTOS BANCARIOS BGTA CALI 256096355 MES DE ENERO 2025</t>
  </si>
  <si>
    <t>NIB-00006361</t>
  </si>
  <si>
    <t>GASTOS BANCARIOS BGTA CALI MES DE MARZO 2025</t>
  </si>
  <si>
    <t>NIB-00006560</t>
  </si>
  <si>
    <t>GASTOS BANCARIOS BGTA ESPCIAL 484183223 MES DE ABRIL 2025</t>
  </si>
  <si>
    <t>GASTOS BANCARIOS BGTA ESPECIAL 484183223 MES DE ABRIL 2025</t>
  </si>
  <si>
    <t>NIB-00005910</t>
  </si>
  <si>
    <t>GASTOS BANCARIOS BGTA ESPECIAL- 484183223 - MES DE ENERO 2025</t>
  </si>
  <si>
    <t>NIB-00006558</t>
  </si>
  <si>
    <t>GASTOS BANCARIOS BGTA TULUA 612036319 MES DE ABRIL 2025</t>
  </si>
  <si>
    <t>NIB-00005906</t>
  </si>
  <si>
    <t>GASTOS BANCARIOS BOGOTA TULUA 612036319- MES DE ENERO 2025</t>
  </si>
  <si>
    <t>DSF-00001227</t>
  </si>
  <si>
    <t>GASTOS BANCARIOS CORRESPONDIENTE AL MES DE ABRIL 2025</t>
  </si>
  <si>
    <t>DSF-00001375</t>
  </si>
  <si>
    <t>GASTOS BANCARIOS CORRESPONDIENTE AL MES DE JULIO 2025</t>
  </si>
  <si>
    <t>DSF-00001270</t>
  </si>
  <si>
    <t>GASTOS BANCARIOS CORRESPONDIENTE AL MES DE JUNIO 2025</t>
  </si>
  <si>
    <t>DSF-00001271</t>
  </si>
  <si>
    <t>CAJA DE COMPENSACION FAMILIAR COMFAMILIAR ATLANTICO</t>
  </si>
  <si>
    <t>DSF-00001272</t>
  </si>
  <si>
    <t>Capital Salud EPS-S S.A.S.</t>
  </si>
  <si>
    <t>DSF-00001273</t>
  </si>
  <si>
    <t>ASMET SALUD EPS SAS</t>
  </si>
  <si>
    <t>DSF-00001276</t>
  </si>
  <si>
    <t>FOSYGA RÉGIMEN DE EXCEPCIÓN</t>
  </si>
  <si>
    <t>DSF-00001278</t>
  </si>
  <si>
    <t>DSF-00001274</t>
  </si>
  <si>
    <t>GASTOS BANCARIOS CORRESPONDIENTE AL MES DE JUNIO 2025- COGENERACION</t>
  </si>
  <si>
    <t>COOSALUD ENTIDAD PROMOTORA DE SALUD S.A.</t>
  </si>
  <si>
    <t>DSF-00001150</t>
  </si>
  <si>
    <t>GASTOS BANCARIOS CORRESPONDIENTE AL MES DE MARZO 2025</t>
  </si>
  <si>
    <t>DSF-00001158</t>
  </si>
  <si>
    <t>DSF-00001259</t>
  </si>
  <si>
    <t>GASTOS BANCARIOS CORRESPONDIENTE AL MES DE MAYO 2025</t>
  </si>
  <si>
    <t>DSF-00001260</t>
  </si>
  <si>
    <t>DSF-00001263</t>
  </si>
  <si>
    <t>DSF-00001264</t>
  </si>
  <si>
    <t>DSF-00001265</t>
  </si>
  <si>
    <t>DSF-00001261</t>
  </si>
  <si>
    <t>GASTOS BANCARIOS CORRESPONDIENTE AL MES DE MAYO 2025- COGENERACION</t>
  </si>
  <si>
    <t>DSF-00001221</t>
  </si>
  <si>
    <t>GASTOS BANCARIOS CORRESPONDIENTES AL MES DE ABRIL 2025</t>
  </si>
  <si>
    <t>DSF-00001222</t>
  </si>
  <si>
    <t>DSF-00001223</t>
  </si>
  <si>
    <t>DSF-00001224</t>
  </si>
  <si>
    <t>DSF-00001228</t>
  </si>
  <si>
    <t>DSF-00001229</t>
  </si>
  <si>
    <t>DSF-00001074</t>
  </si>
  <si>
    <t>GASTOS BANCARIOS CORRESPONDIENTES AL MES DE ENERO 2025</t>
  </si>
  <si>
    <t>DSF-00001075</t>
  </si>
  <si>
    <t>DSF-00001076</t>
  </si>
  <si>
    <t>DSF-00001077</t>
  </si>
  <si>
    <t>DSF-00001079</t>
  </si>
  <si>
    <t>DSF-00001080</t>
  </si>
  <si>
    <t>DSF-00001081</t>
  </si>
  <si>
    <t>DSF-00001104</t>
  </si>
  <si>
    <t>GASTOS BANCARIOS CORRESPONDIENTES AL MES DE FEBRERO 2025</t>
  </si>
  <si>
    <t>DSF-00001105</t>
  </si>
  <si>
    <t>DSF-00001106</t>
  </si>
  <si>
    <t>DSF-00001109</t>
  </si>
  <si>
    <t>DSF-00001110</t>
  </si>
  <si>
    <t>DSF-00001111</t>
  </si>
  <si>
    <t>DSF-00001107</t>
  </si>
  <si>
    <t>GASTOS BANCARIOS CORRESPONDIENTES AL MES DE FEBRERO 2025 - INCLUYE INT. COGENERACION</t>
  </si>
  <si>
    <t>DSF-00001376</t>
  </si>
  <si>
    <t>GASTOS BANCARIOS CORRESPONDIENTES AL MES DE JULIO 2025</t>
  </si>
  <si>
    <t>DSF-00001377</t>
  </si>
  <si>
    <t>DSF-00001378</t>
  </si>
  <si>
    <t>DSF-00001381</t>
  </si>
  <si>
    <t>DSF-00001382</t>
  </si>
  <si>
    <t>DSF-00001383</t>
  </si>
  <si>
    <t>DSF-00001379</t>
  </si>
  <si>
    <t>GASTOS BANCARIOS CORRESPONDIENTES AL MES DE JULIO 2025- COGENERACION</t>
  </si>
  <si>
    <t>DSF-00001279</t>
  </si>
  <si>
    <t>GASTOS BANCARIOS CORRESPONDIENTES AL MES DE JUNIO 2025</t>
  </si>
  <si>
    <t>SALUD TOTAL</t>
  </si>
  <si>
    <t>DSF-00001280</t>
  </si>
  <si>
    <t>ASOCIACION MUTUAL EMPRESA SOLIDARIA DE SALUD EMSSANAR ESS</t>
  </si>
  <si>
    <t>DSF-00001149</t>
  </si>
  <si>
    <t>GASTOS BANCARIOS CORRESPONDIENTES AL MES DE MARZO 2025</t>
  </si>
  <si>
    <t>DSF-00001151</t>
  </si>
  <si>
    <t>DSF-00001152</t>
  </si>
  <si>
    <t>DSF-00001154</t>
  </si>
  <si>
    <t>DSF-00001155</t>
  </si>
  <si>
    <t>GASTOS BANCARIOS CORRESPONDIENTES AL MES DE MARZO 2025- COGENERACION</t>
  </si>
  <si>
    <t>DSF-00001257</t>
  </si>
  <si>
    <t>Gastos Bancarios correspondientes al mes de mayo 2025</t>
  </si>
  <si>
    <t>DSF-00001258</t>
  </si>
  <si>
    <t>GASTOS BANCARIOS CORRESPONDIENTES AL MES DE MAYO 2025</t>
  </si>
  <si>
    <t>NIB-00006839</t>
  </si>
  <si>
    <t>GASTOS BANCARIOS DAVIVIENDA 379469997678 - MES DE MAYO 2025</t>
  </si>
  <si>
    <t>NIB-00005919</t>
  </si>
  <si>
    <t>GASTOS BANCARIOS DAVIVIENDA 7678 MES DE ENERO 2025</t>
  </si>
  <si>
    <t>NIB-00006357</t>
  </si>
  <si>
    <t>GASTOS BANCARIOS DAVIVIENDA 7678 MES DE MARZO 2025</t>
  </si>
  <si>
    <t>DSF-00001225</t>
  </si>
  <si>
    <t>GASTOS BANCARIOS INTERES COGENERACION CORRESPONDIENTES AL MES DE ABRIL 2025</t>
  </si>
  <si>
    <t>NIB-00006164</t>
  </si>
  <si>
    <t>GASTOS BANCARIOS MES DE FEBRERO 2025 - BANCO DAVIVIENDA CTE 379469997678</t>
  </si>
  <si>
    <t>NIB-00006159</t>
  </si>
  <si>
    <t>GASTOS BANCARIOS MES DE FEBRERO 2025 - BANCO DE BOGOTA TULUA CTE 612036319</t>
  </si>
  <si>
    <t xml:space="preserve">GASTOS BANCARIOS MES DE FEBRERO 2025 - BANCO DE BOGOTA TULUA CTE 612036319 </t>
  </si>
  <si>
    <t>NIB-00006134</t>
  </si>
  <si>
    <t>GASTOS BANCARIOS MES DE FEBRERO 2025 - BANCO POPULAR CTA CTE 110560212276</t>
  </si>
  <si>
    <t>NIB-00006131</t>
  </si>
  <si>
    <t>GASTOS BANCARIOS MES DE FEBRERO 2025 - BANCOLOMBIA CTE 80104152201</t>
  </si>
  <si>
    <t>NIB-00006132</t>
  </si>
  <si>
    <t>GASTOS BANCARIOS MES DE FEBRERO 2025 - BANCOLOMBIA SOBREGIRO 76282316703|</t>
  </si>
  <si>
    <t>NIB-00006360</t>
  </si>
  <si>
    <t>GASTOS BANCARIOS MES DE MARZO 2025 -BANCOLOMBIA CTA CTE 2201</t>
  </si>
  <si>
    <t>NIB-00005915</t>
  </si>
  <si>
    <t>GASTOS BANCARIOS POPULAR 2276 MES DE ENERO 2025</t>
  </si>
  <si>
    <t>NIB-00006714</t>
  </si>
  <si>
    <t>GASTOS DE INTERES POR OOPERACION COMERCIAL INTERNACIONAL EXENTA DE GMF</t>
  </si>
  <si>
    <t>NIB-00006911</t>
  </si>
  <si>
    <t>Gastos Interes de Sobregiro Marzo 2025 - - BANCO DE OCCIDENTE CTE 001526318</t>
  </si>
  <si>
    <t>REGISTRO DE PARTIDAS CONCILIADAS AL 31 DE MAYO 2025</t>
  </si>
  <si>
    <t>NIB-00006564</t>
  </si>
  <si>
    <t>GASTROS BANCARIOS DAVIVIENDA CAT CTE 7678 MES DE ABRIL 2025</t>
  </si>
  <si>
    <t>NIP-00016871</t>
  </si>
  <si>
    <t>INTERES DE MORA 2 DIAS DE LA FACTURA 105416</t>
  </si>
  <si>
    <t>E21107975 - CANON SEGUN CONTRATO N°. R-083-0001 - R-083-0002 - R-083-0003 - INTERES DE MORA 2 DIAS DE LA FACTURA 105416</t>
  </si>
  <si>
    <t>NIB-00006400</t>
  </si>
  <si>
    <t>INTERES POR SOBREGIRO BANCO DE BOGOTA CALI  CTA CTE 256096355 MES DE MARZO 2025</t>
  </si>
  <si>
    <t>NIP-00016632</t>
  </si>
  <si>
    <t>LEGALIZACION TARJETA CREDITO FRANCISCO MONCAYO No. 5592 2520 0002 0529 PERIODO LIQUIDADO NOV/29/2024 A DIC/30/2024</t>
  </si>
  <si>
    <t>NIP-00016898</t>
  </si>
  <si>
    <t>LEGALIZACIÓN TARJETA DE CRÉDITO # 5592 2520 9372 1520 DEL 30 DE DICIEMBRE DE 2024 AL 30 DE ENERO DE  2025</t>
  </si>
  <si>
    <t>NIP-00017433</t>
  </si>
  <si>
    <t>LEGALIZACIÓN TC BANOCCIDENTE MRESTREPO No. 512835-0-028970-288 MONEDA COP CORTE 30 JUNIO 2025</t>
  </si>
  <si>
    <t>NIP-00017394</t>
  </si>
  <si>
    <t>LEGALIZACIÓN TC DAVIVIENDA MRESTREPO FEB MAR 2025 INTERESES</t>
  </si>
  <si>
    <t>LEGALIZACIÓN TC DAVIVIENDA MRESTREPO N° 5592 2520 3442 1750 FEB MAR 2025</t>
  </si>
  <si>
    <t>NIP-00017444</t>
  </si>
  <si>
    <t>LEGALIZACIÓN TC DAVIVIENDA MRESTREPO N° 5592 2520 3442 1750 ENE FEB 2025</t>
  </si>
  <si>
    <t>NIP-00017442</t>
  </si>
  <si>
    <t>NIP-00017565</t>
  </si>
  <si>
    <t>LEGALIZACIÓN TC DAVIVIENDA MRESTREPO No. 5592 2520 3442 1750 ABR-MAY 2025</t>
  </si>
  <si>
    <t>NIP-00016735</t>
  </si>
  <si>
    <t>LEGALIZACIÓN TC MRESTREPO No. 5592 2520 3442 1750 NOV-DIC 2024</t>
  </si>
  <si>
    <t>NIP-00016579</t>
  </si>
  <si>
    <t>LIQUDACION SANCION REQUERIMIENTO RENTA AG 2019</t>
  </si>
  <si>
    <t>DIRECCION DE IMPUESTOS Y ADUANAS NACIONALES SECCIONAL TULUA</t>
  </si>
  <si>
    <t>NIB-00006032</t>
  </si>
  <si>
    <t>MORA</t>
  </si>
  <si>
    <t>PAGO DE OBLIGACION FINANCIERA - 1021450 - CAPITAL E INTERESES</t>
  </si>
  <si>
    <t>NIC-00038184</t>
  </si>
  <si>
    <t>NIB7121</t>
  </si>
  <si>
    <t>DIFERIDO DE GASTOS DE INTERES BANCARIO ME DE JULIO EN NIB7121- NIB7135 - NIB7147</t>
  </si>
  <si>
    <t>NIB7135</t>
  </si>
  <si>
    <t>NIB7147</t>
  </si>
  <si>
    <t>NIB-00006667</t>
  </si>
  <si>
    <t>OBLIGACION FINANCIERA - N°: 5602005087 - SOLO INTERESES</t>
  </si>
  <si>
    <t>NIB-00007190</t>
  </si>
  <si>
    <t>obligación No.80181081193 registrada en la cuenta No.21051001, cuyo valor fue debitado de la Cuenta Bancolombia 801-041522-01</t>
  </si>
  <si>
    <t>NIB-00006034</t>
  </si>
  <si>
    <t>Pago Automatico Cuota de Credito 7678 - Credito Rotativo Mes de Febrero 2025</t>
  </si>
  <si>
    <t>NIB-00006303</t>
  </si>
  <si>
    <t>pago dde obligaciones financieras - n°: 7001376000622025- sdolo intereses</t>
  </si>
  <si>
    <t>NIB-00006604</t>
  </si>
  <si>
    <t>PAGO DE I¿OBLIAGACION FINANCIERA N|: 300001021038 - CAPITAL E INTRESES</t>
  </si>
  <si>
    <t>NIB-00007147</t>
  </si>
  <si>
    <t>PAGO DE IBLIGACION FINANCIERA: N°: 700137600644532 - SOLO INTERESES</t>
  </si>
  <si>
    <t>NIB-00007264</t>
  </si>
  <si>
    <t>PAGO DE INTERESES - BANCO POPULAR -. SOLO INTERESES</t>
  </si>
  <si>
    <t>NIB-00006453</t>
  </si>
  <si>
    <t>PAGO DE INTERESES DE LA OBLIGACION # 8010034243</t>
  </si>
  <si>
    <t>NIB-00006367</t>
  </si>
  <si>
    <t>PAGO DE INTERESES OBLIGACION N°119000028444 - (ESTUDIO SOPORTE GARANTIA)</t>
  </si>
  <si>
    <t>NIB-00006791</t>
  </si>
  <si>
    <t>pago de la obligación No.130392822 del Banco de Occiendente para el mes de mayo con la siguiente distribución para Capital e Intereses; pago de la obligación No.130392822 del Banco de Occiendente para el mes de mayo con la siguiente distribución para Cap</t>
  </si>
  <si>
    <t>NIB-00006653</t>
  </si>
  <si>
    <t>PAGO DE OBLGACION FINANCIERA N°: 00130137912 - INTERESESY CAPITAL</t>
  </si>
  <si>
    <t>NIB-00006260</t>
  </si>
  <si>
    <t>PAGO DE OBLIAGACION FINANCIERA - N°: 30001020900 - CAPITAL E INTERESES</t>
  </si>
  <si>
    <t>NIB-00006606</t>
  </si>
  <si>
    <t>PAGO DE OBLIAGACION FINANCIERA N°: 7001016200483485 - CAPITAL E INTERESES</t>
  </si>
  <si>
    <t>NIB-00005761</t>
  </si>
  <si>
    <t>PAGO DE OBLIGACION - 30001020681 . LEASING - CAPITAL E INTERESES</t>
  </si>
  <si>
    <t>NIB-00006016</t>
  </si>
  <si>
    <t>PAGO DE OBLIGACION - 30001020900 - CAPITAL E INTERESES -</t>
  </si>
  <si>
    <t>NIB-00006280</t>
  </si>
  <si>
    <t>PAGO DE OBLIGACION - N°: 119000025101 - SOLO INTERESES</t>
  </si>
  <si>
    <t>NIB-00005765</t>
  </si>
  <si>
    <t>PAGO DE OBLIGACION 00130288103 - CAPITAL E INTERESES</t>
  </si>
  <si>
    <t>NIB-00005790</t>
  </si>
  <si>
    <t>PAGO DE OBLIGACION 30001020900 - CAPITAL E INTERESES</t>
  </si>
  <si>
    <t>NIB-00006471</t>
  </si>
  <si>
    <t>PAGO DE OBLIGACION 30001020900- CAPITAL E INTERESES</t>
  </si>
  <si>
    <t>NIB-00007474</t>
  </si>
  <si>
    <t>PAGO DE OBLIGACION 502 – 9600090517</t>
  </si>
  <si>
    <t>NIB-00006543</t>
  </si>
  <si>
    <t>PAGO DE OBLIGACION 5602005347 - CAPITAL  INTERESES</t>
  </si>
  <si>
    <t>NIB-00005749</t>
  </si>
  <si>
    <t>PAGO DE OBLIGACION 755647678 - CREDITO ROTATIVO BANCO DE BOGOTA - CAPITAL E INTERESES</t>
  </si>
  <si>
    <t>NIB-00007121</t>
  </si>
  <si>
    <t>PAGO DE OBLIGACION 80181081193 - BANCOLOMBIA</t>
  </si>
  <si>
    <t>DEBITO AUTOMATICO DE OBLIGACION 80181081193 - BANCOLOMBIA</t>
  </si>
  <si>
    <t>NIB-00006454</t>
  </si>
  <si>
    <t>PAGO DE OBLIGACION CREDITO ROTATIVO BANCOLOMBIA #80181080571 (CAPITAL E INTERES)</t>
  </si>
  <si>
    <t>NIB-00007454</t>
  </si>
  <si>
    <t>PAGO DE OBLIGACION FIANNCIERA N°; 5602005079 - CAPITAL E INTERESES</t>
  </si>
  <si>
    <t>NIB-00006181</t>
  </si>
  <si>
    <t>PAGO DE OBLIGACION FINANCIERA - 00130137912 - CAPITAL E INTERESES</t>
  </si>
  <si>
    <t>NIB-00005851</t>
  </si>
  <si>
    <t>PAGO DE OBLIGACION FINANCIERA - 00130255722 - INTERESES Y CAPITA</t>
  </si>
  <si>
    <t>NIB-00006315</t>
  </si>
  <si>
    <t>PAGO DE OBLIGACION FINANCIERA - 00130318132 - CAPITAL E INTERESES</t>
  </si>
  <si>
    <t>NIB-00006314</t>
  </si>
  <si>
    <t>PAGO DE OBLIGACION FINANCIERA - 0013318116 - CAPITAL E INTERESES</t>
  </si>
  <si>
    <t>NIB-00006534</t>
  </si>
  <si>
    <t>PAGO DE OBLIGACION FINANCIERA - 1190000284444 - CAPITAL E INTERESES</t>
  </si>
  <si>
    <t>NIB-00006447</t>
  </si>
  <si>
    <t>PAGO DE OBLIGACION FINANCIERA - 30001020681 - CAPITAL E INTERESES</t>
  </si>
  <si>
    <t>NIB-00006172</t>
  </si>
  <si>
    <t>PAGO DE OBLIGACION FINANCIERA - 30001021038 - CAPITAL E INTERESES</t>
  </si>
  <si>
    <t>NIB-00006528</t>
  </si>
  <si>
    <t>PAGO DE OBLIGACION FINANCIERA - 553753720 - SOLO CAPITAL</t>
  </si>
  <si>
    <t>NIB-00006175</t>
  </si>
  <si>
    <t>PAGO DE OBLIGACION FINANCIERA - 5602005079 - SOLO SE PAGAN INTERESES</t>
  </si>
  <si>
    <t>NIB-00005982</t>
  </si>
  <si>
    <t>pago de obligacion financiera - 5602005087 - solo intereses</t>
  </si>
  <si>
    <t>NIB-00006081</t>
  </si>
  <si>
    <t>PAGO DE OBLIGACION FINANCIERA - 7001363676000622025 - SOLO INTERESES</t>
  </si>
  <si>
    <t>NIB-00005844</t>
  </si>
  <si>
    <t>PAGO DE OBLIGACION FINANCIERA - 7001376000592970 - INTERESES - 29.540.353</t>
  </si>
  <si>
    <t>NIB-00006082</t>
  </si>
  <si>
    <t>PAGO DE OBLIGACION FINANCIERA - 7001376000592970 - SOLO INTERESES</t>
  </si>
  <si>
    <t>NIB-00007071</t>
  </si>
  <si>
    <t>PAGO DE OBLIGACION FINANCIERA - N°: 0001021038 - CAPITAL E INTERESES</t>
  </si>
  <si>
    <t>NIB-00006868</t>
  </si>
  <si>
    <t>PAGO DE OBLIGACION FINANCIERA - N°: 00130392822 - SOLO INTERESES</t>
  </si>
  <si>
    <t>NIB-00006457</t>
  </si>
  <si>
    <t>PAGO DE OBLIGACION FINANCIERA - N°: 1021450 - INTERESES Y CAPITAL</t>
  </si>
  <si>
    <t>NIB-00006764</t>
  </si>
  <si>
    <t>PAGO DE OBLIGACION FINANCIERA - N°: 119000028444 - SOLO INTERESES</t>
  </si>
  <si>
    <t>NIB-00006878</t>
  </si>
  <si>
    <t>PAGO DE OBLIGACION FINANCIERA - N°: 300010020900 - CAPITAL E INTERESES</t>
  </si>
  <si>
    <t>NIB-00006669</t>
  </si>
  <si>
    <t>PAGO DE OBLIGACION FINANCIERA - N°: 3001021450 - CAPOTAL E INTERESES</t>
  </si>
  <si>
    <t>NIB-00006996</t>
  </si>
  <si>
    <t>PAGO DE OBLIGACION FINANCIERA - N°: 502-9600090517 - CAPITAL E INTERESES</t>
  </si>
  <si>
    <t>NIB-00006789</t>
  </si>
  <si>
    <t>PAGO DE OBLIGACION FINANCIERA - N°: 5602005079 - SOLO INTERESES</t>
  </si>
  <si>
    <t>NIB-00007088</t>
  </si>
  <si>
    <t>PAGO DE OBLIGACION FINANCIERA - N°: 5602005087-4 - SOLO INTERESES</t>
  </si>
  <si>
    <t>NIB-00006300</t>
  </si>
  <si>
    <t>PAGO DE OBLIGACION FINANCIERA - N°: 5602005301 - SOLO INTERESES</t>
  </si>
  <si>
    <t>NIB-00006893</t>
  </si>
  <si>
    <t>PAGO DE OBLIGACION FINANCIERA - N°: 5602005347 - SOLO INTERESES</t>
  </si>
  <si>
    <t>NIB-00006851</t>
  </si>
  <si>
    <t>PAGO DE OBLIGACION FINANCIERA - N°: 5602005363 - SOLO INTERESES</t>
  </si>
  <si>
    <t>NIB-00006830</t>
  </si>
  <si>
    <t>PAGO DE OBLIGACION FINANCIERA - N°: 7001016200483485 - CAPITAL E IMNTERESES</t>
  </si>
  <si>
    <t>NIB-00006302</t>
  </si>
  <si>
    <t>PAGO DE OBLIGACION FINANCIERA - N°: 7001376000592970 - SOLO INTERESES</t>
  </si>
  <si>
    <t>NIB-00006730</t>
  </si>
  <si>
    <t>PAGO DE OBLIGACION FINANCIERA - N°°: 7001376000592970 -SOLO INTERESES</t>
  </si>
  <si>
    <t>NIB-00006115</t>
  </si>
  <si>
    <t>PAGO DE OBLIGACION FINANCIERA #11900028444 - INTERES CORRIENTE</t>
  </si>
  <si>
    <t>PAGO DE OBLIGACION FINANCIERA #11900028444- INTERES CORRIENTE</t>
  </si>
  <si>
    <t>NIB-00006252</t>
  </si>
  <si>
    <t>PAGO DE OBLIGACION FINANCIERA #755647678 BANCO DE BOGOTA</t>
  </si>
  <si>
    <t>NIB-00005947</t>
  </si>
  <si>
    <t>PAGO DE OBLIGACION FINANCIERA (INTERESES) - N°: CREDITO: 5602005079-4 36.136.667</t>
  </si>
  <si>
    <t>NIB-00006112</t>
  </si>
  <si>
    <t>PAGO DE OBLIGACION FINANCIERA : 00130255722 - CAPITAL E INTERESES</t>
  </si>
  <si>
    <t>NIB-00005852</t>
  </si>
  <si>
    <t>PAGO DE OBLIGACION FINANCIERA : 00130318132 -  INTERESES Y CAPITAL</t>
  </si>
  <si>
    <t>NIB-00006702</t>
  </si>
  <si>
    <t>PAGO DE OBLIGACION FINANCIERA : N°: 5602005347 -  SOLO INTERESES</t>
  </si>
  <si>
    <t>NIB-00007415</t>
  </si>
  <si>
    <t>PAGO DE OBLIGACION FINANCIERA : N°: 7001376000592970 - SOLO INTERESES</t>
  </si>
  <si>
    <t>NIB-00005985</t>
  </si>
  <si>
    <t>PAGO DE OBLIGACION FINANCIERA 00130288103 - CAPITAL E INTERESES</t>
  </si>
  <si>
    <t>NIB-00007325</t>
  </si>
  <si>
    <t>PAGO DE OBLIGACION FINANCIERA- 30001021450 - CAPITAL E INTERESES</t>
  </si>
  <si>
    <t>NIB-00006747</t>
  </si>
  <si>
    <t>PAGO DE OBLIGACION FINANCIERA N:° 00130318132 - SOLO INTERESES</t>
  </si>
  <si>
    <t>NIB-00006803</t>
  </si>
  <si>
    <t>PAGO DE OBLIGACION FINANCIERA N-|. 300001021038 - CAPITAL E INTERESES</t>
  </si>
  <si>
    <t>NIB-00007440</t>
  </si>
  <si>
    <t>PAGO DE OBLIGACION FINANCIERA N|: 130318116- CAPOTAL E INTERESES</t>
  </si>
  <si>
    <t>NIB-00007439</t>
  </si>
  <si>
    <t>PAGO DE OBLIGACION FINANCIERA N|: 130318132 - CAPOTAL E INTERESES</t>
  </si>
  <si>
    <t>NIB-00007098</t>
  </si>
  <si>
    <t>PAGO DE OBLIGACION FINANCIERA N°: 000110214520 - CAPITAL  INTERESES</t>
  </si>
  <si>
    <t>PENSION PROTECCION</t>
  </si>
  <si>
    <t>NIB-00006739</t>
  </si>
  <si>
    <t>PAGO DE OBLIGACION FINANCIERA N°: 00130255722 - SOLO INTERESES</t>
  </si>
  <si>
    <t>NIB-00006966</t>
  </si>
  <si>
    <t>PAGO DE OBLIGACION FINANCIERA N°: 00130318116 - SOLO INTERESES</t>
  </si>
  <si>
    <t>NIB-00006967</t>
  </si>
  <si>
    <t>PAGO DE OBLIGACION FINANCIERA N°: 00130318132 - SOLO INTERESES</t>
  </si>
  <si>
    <t>NIB-00006462</t>
  </si>
  <si>
    <t>PAGO DE OBLIGACION FINANCIERA N°: 00130392822 - CAPITAL E INTERESES</t>
  </si>
  <si>
    <t>NIB-00007135</t>
  </si>
  <si>
    <t>PAGO DE OBLIGACION FINANCIERA N°: 07000101620013591 - CAPITAL E INTERESES</t>
  </si>
  <si>
    <t>NIB-00006970</t>
  </si>
  <si>
    <t>PAGO DE OBLIGACION FINANCIERA N°: 1190000028444 - SOLO INTERESES</t>
  </si>
  <si>
    <t>NIB-00007411</t>
  </si>
  <si>
    <t>PAGO DE OBLIGACION FINANCIERA N°: 1190000299906 - CAPITAL E INTERESES</t>
  </si>
  <si>
    <t>NIB-00007210</t>
  </si>
  <si>
    <t>PAGO DE OBLIGACION FINANCIERA N°: 11900028444 - CAPOTAL E INTERSES</t>
  </si>
  <si>
    <t>NIB-00006652</t>
  </si>
  <si>
    <t>PAGO DE OBLIGACION FINANCIERA N°: 30001020681 - CAPITAL E INTERESES</t>
  </si>
  <si>
    <t>NIB-00006377</t>
  </si>
  <si>
    <t>PAGO DE OBLIGACION FINANCIERA N°: 5602005079 - solo intereses</t>
  </si>
  <si>
    <t>NIB-00007054</t>
  </si>
  <si>
    <t>PAGO DE OBLIGACION FINANCIERA N°: 5602005079 - SOLO INTERESES</t>
  </si>
  <si>
    <t>NIB-00006463</t>
  </si>
  <si>
    <t>PAGO DE OBLIGACION FINANCIERA N°: 5602005087 - INTERESES</t>
  </si>
  <si>
    <t>PAGO DE OBLIGACION FINANCIERA N°: 5602005087 - CAPITAL E INTERESES</t>
  </si>
  <si>
    <t>NIB-00006870</t>
  </si>
  <si>
    <t>PAGO DE OBLIGACION FINANCIERA N°: 5602005087 - SOLO INTERESES</t>
  </si>
  <si>
    <t>NIB-00006654</t>
  </si>
  <si>
    <t>PAGO DE OBLIGACION FINANCIERA N°: 5602005363 - SOLO INTERESES</t>
  </si>
  <si>
    <t>NIB-00005853</t>
  </si>
  <si>
    <t>PAGO DE OBLIGACION FINANCIERA: 00130318116 - CAPITAL E INTERESES</t>
  </si>
  <si>
    <t>NIB-00007081</t>
  </si>
  <si>
    <t>PAGO DE OBLIGACION FINANCIERA: N: 0001020681 - CAPITAL  INTERESES</t>
  </si>
  <si>
    <t>NIB-00007410</t>
  </si>
  <si>
    <t>PAGO DE OBLIGACION FINANCIERA: N°: 0013025572 - CAPITAL E INTERESE</t>
  </si>
  <si>
    <t>NIB-00005972</t>
  </si>
  <si>
    <t>PAGO DE OBLIGACION FINANCIERA: N°: 300001020681 - CAPITAL E INTERESES</t>
  </si>
  <si>
    <t>NIB-00006681</t>
  </si>
  <si>
    <t>PAGO DE OBLIGACION FINANCIERA: N°: 30001020900 - CAPITAL E INTEREESES</t>
  </si>
  <si>
    <t>NIB-00007082</t>
  </si>
  <si>
    <t>PAGO DE OBLIGACION FINANCIERA}: N}°: 00130137912 -  SOLO INTERESES</t>
  </si>
  <si>
    <t>NIB-00007118</t>
  </si>
  <si>
    <t>PAGO DE OBLIGACION FINANICERA - N°: 0001020900 - CAPITAL E INTERESES</t>
  </si>
  <si>
    <t>NIB-00006852</t>
  </si>
  <si>
    <t>PAGO DE OBLIGACION FINANICERA - N°: 00130137912 - INTERESES Y CAPITAL</t>
  </si>
  <si>
    <t>NIB-00007364</t>
  </si>
  <si>
    <t>PAGO DE OBLIGACION FINANICERA - N°: 5602005347 - SOLO INTERESES</t>
  </si>
  <si>
    <t>NIB-00007161</t>
  </si>
  <si>
    <t>PAGO DE OBLIGACION FINANICERA : N°: 0700137600052970 - SÓLO INTERESE</t>
  </si>
  <si>
    <t>NIB-00007203</t>
  </si>
  <si>
    <t>PAGO DE OBLIGACION FINANICERA N°: 00130318132 - SOLO INTERESES</t>
  </si>
  <si>
    <t>NIB-00007336</t>
  </si>
  <si>
    <t>PAGO DE OBLIGACION FINANICERA N°: 00130392822 - SOLO INTERESES</t>
  </si>
  <si>
    <t>NIB-00007211</t>
  </si>
  <si>
    <t>PAGO DE OBLIGACION FINANICERA N°: 07001376000644532 - SOLO INTERESES</t>
  </si>
  <si>
    <t>NIB-00007198</t>
  </si>
  <si>
    <t>PAGO DE OBLIGACION FINANICERA N°: 0700137600622025 - CAPITAL E INTERESES</t>
  </si>
  <si>
    <t>NIB-00006856</t>
  </si>
  <si>
    <t>PAGO DE OBLIGACION FINANICERA N°: 300001021450 - CAPITAL E INTERESES</t>
  </si>
  <si>
    <t>NIB-00007316</t>
  </si>
  <si>
    <t>PAGO DE OBLIGACION FINANICERA N°: 30001020681 - CAPITAL E INTERESES</t>
  </si>
  <si>
    <t>NIB-00007291</t>
  </si>
  <si>
    <t>PAGO DE OBLIGACION FINANICERA N°: 30001021038 - CAPITAL E INTERESES</t>
  </si>
  <si>
    <t>NIB-00007335</t>
  </si>
  <si>
    <t>PAGO DE OBLIGACION FINANICERA N°: 5602005087 - SOLO INTERESES</t>
  </si>
  <si>
    <t>NIB-00007294</t>
  </si>
  <si>
    <t>PAGO DE OBLIGACION FINANICERA N°: 700010162100483485 - CAPITAL E INTERESES</t>
  </si>
  <si>
    <t>NIB-00006548</t>
  </si>
  <si>
    <t>PAGO DE OBLIGACION FINANICERA N°: 7001376000622025</t>
  </si>
  <si>
    <t>NIB-00007414</t>
  </si>
  <si>
    <t>PAGO DE OBLIGACION FINANICERA N°: 7001376000622025 - SOLO INTERESES</t>
  </si>
  <si>
    <t>NIB-00007313</t>
  </si>
  <si>
    <t>PAGO DE OBLIGACION FINANICERA N°5602005363 - SOLO INTERESE</t>
  </si>
  <si>
    <t>NIB-00006918</t>
  </si>
  <si>
    <t>PAGO DE OBLIGACION FINANICERA: 119000025101 -  APITAL E INTERESES</t>
  </si>
  <si>
    <t>NIB-00007089</t>
  </si>
  <si>
    <t>PAGO DE OBLIGACION FINANICERA: N°: 00130392822 - SOLO INTGERESES</t>
  </si>
  <si>
    <t>SENA</t>
  </si>
  <si>
    <t>NIB-00007079</t>
  </si>
  <si>
    <t>PAGO DE OBLIGACION FINANICERA: N°: 07001016200483485 - CAPITAL E INTERESES</t>
  </si>
  <si>
    <t>NIB-00006949</t>
  </si>
  <si>
    <t>PAGO DE OBLIGACION FIUNANICERA - N°: 00130255722 - SOLO INTERESES</t>
  </si>
  <si>
    <t>NIB-00006196</t>
  </si>
  <si>
    <t>PAGO DE OBLIGACION FNANCIERA - 30001021450 - CAPITAL E INTERESES</t>
  </si>
  <si>
    <t>NIB-00006738</t>
  </si>
  <si>
    <t>PAGO DE OBLIGACION FONANCIERA:   N°: 7001376000622025 -</t>
  </si>
  <si>
    <t>NIB-00006969</t>
  </si>
  <si>
    <t>PAGO DE OBLIGACION N|: 5602005301 - SOLO INTERESES</t>
  </si>
  <si>
    <t>NIB-00007128</t>
  </si>
  <si>
    <t>PAGO DE OBLIGACION N°: 5602005347-3 - SOLO INTERESES</t>
  </si>
  <si>
    <t>NUEVA EPS</t>
  </si>
  <si>
    <t>NIB-00006126</t>
  </si>
  <si>
    <t>PAGO DE OBLIGACION PROYECTO COGENERACION CANON 13 (REF PAGO:30001015257-7) Y 14 (REF PAGO:30001015403-8)</t>
  </si>
  <si>
    <t>NIB-00006398</t>
  </si>
  <si>
    <t>PAGO DE OBLIGACION PROYECTO COGENERACION CANON 14 (REF PAGO:30001015257-7) Y 15 (REF PAGO:30001015403-8)</t>
  </si>
  <si>
    <t>NIB-00006572</t>
  </si>
  <si>
    <t>PAGO DE OBLIGACION PROYECTO COGENERACION CANON 15 (REF PAGO:30001015257-7) Y 16 (REF PAGO:30001015403-8)</t>
  </si>
  <si>
    <t>NIB-00006772</t>
  </si>
  <si>
    <t>PAGO DE OBLIGACION PROYECTO COGENERACION CANON 16 (REF PAGO:30001015257-7) Y 17 (REF PAGO:30001015403-8)</t>
  </si>
  <si>
    <t>NIB-00006986</t>
  </si>
  <si>
    <t>PAGO DE OBLIGACION PROYECTO COGENERACION CANON 17 (REF PAGO:30001015257-7) Y 18 (REF PAGO:30001015403-8)</t>
  </si>
  <si>
    <t>NIB-00007277</t>
  </si>
  <si>
    <t>NIB-00007331</t>
  </si>
  <si>
    <t>PAGO DE OBLIGACION PROYECTO COGENERACION CANON 19 (REF PAGO:30001015257-7) Y 20 (REF PAGO:30001015403-8)</t>
  </si>
  <si>
    <t>NIB-00005766</t>
  </si>
  <si>
    <t>PAGO DE OBLIGACION: 5602005087 - SOLO INTERESES</t>
  </si>
  <si>
    <t>NIB-00006106</t>
  </si>
  <si>
    <t>PAGO DE OBLIGACIONES - 00130318116 - 00130318132 - BANCO DE OCCIDENTE - CAPITAL E INTEREES</t>
  </si>
  <si>
    <t>NIB-00007470</t>
  </si>
  <si>
    <t>PAGO DE OBLIGACIONES AGOSTO 29/2025 (7001016200313591)</t>
  </si>
  <si>
    <t>PAGO DE OBLIGACIONES AGOSTO 29/2025 (7001016200483485 -7001376000592970-7001016200313591-7001376000622025-)</t>
  </si>
  <si>
    <t>PAGO DE OBLIGACIONES AGOSTO 29/2025 (7001016200483485-)</t>
  </si>
  <si>
    <t>PAGO DE OBLIGACIONES AGOSTO 29/2025 (7001376000592970-)</t>
  </si>
  <si>
    <t>PAGO DE OBLIGACIONES AGOSTO 29/2025 (7001376000622025-)</t>
  </si>
  <si>
    <t>NIB-00006218</t>
  </si>
  <si>
    <t>PAGO DE OBLIGACIONES FIANNCIAERAS - 130392822 - CAPITAL E INTERESES</t>
  </si>
  <si>
    <t>NIB-00006434</t>
  </si>
  <si>
    <t>PAGO DE OBLIGACIONES FINACIERAS - N°: 0013013912 - CAPITAL E INTERESES</t>
  </si>
  <si>
    <t>NIB-00005724</t>
  </si>
  <si>
    <t>PAGO DE OBLIGACIONES FINANCIERA - (INTERESES) - N°: CREDITO: 5602005079-4 - $39.436.667</t>
  </si>
  <si>
    <t>NIB-00007455</t>
  </si>
  <si>
    <t>PAGO DE OBLIGACIONES FINANCIERA N: 1191000028444- SOLO INTERESES</t>
  </si>
  <si>
    <t>NIB-00006411</t>
  </si>
  <si>
    <t>PAGO DE OBLIGACIONES FINANCIERA: N°: 30001021038 - CAPITAL E INTERESES</t>
  </si>
  <si>
    <t>NIB-00005864</t>
  </si>
  <si>
    <t>PAGO DE OBLIGACIONES FINANCIERA119000028444 - CAPITAL 27.500.000 E INTERESES 2.811.260.83</t>
  </si>
  <si>
    <t>NIB-00005747</t>
  </si>
  <si>
    <t>PAGO DE OBLIGACIONES FINANCIERAS -  INTERESES Y CAPITAL - OBLIGACION N°: 30001021038-6</t>
  </si>
  <si>
    <t>NIB-00006177</t>
  </si>
  <si>
    <t>PAGO DE OBLIGACIONES FINANCIERAS - 07001016200483485 - CAPITAL E INTERESES</t>
  </si>
  <si>
    <t>NIB-00006197</t>
  </si>
  <si>
    <t>PAGO DE OBLIGACIONES FINANCIERAS - 30001020681 - CAPITAL E INTERESES</t>
  </si>
  <si>
    <t>NIB-00006217</t>
  </si>
  <si>
    <t>PAGO DE OBLIGACIONES FINANCIERAS - 5602005087 - SOLO INTERESES</t>
  </si>
  <si>
    <t>NIB-00007362</t>
  </si>
  <si>
    <t>PAGO DE OBLIGACIONES FINANCIERAS - N°: 30001020900 -  CAPOITAKL E INTERESES</t>
  </si>
  <si>
    <t>NIB-00005739</t>
  </si>
  <si>
    <t>PAGO DE OBLIGACIONES FINANCIERAS - N°: DE CREDITO: 00130137912 - INTERESES: 21.225.209.71 - CAPITAL: 83.333.333.29</t>
  </si>
  <si>
    <t>NIB-00006317</t>
  </si>
  <si>
    <t>PAGO DE OBLIGACIONES FINANCIERAS - OBLIGACION N°: 01305722 - CAPITAL E INTERESE</t>
  </si>
  <si>
    <t>NIB-00005734</t>
  </si>
  <si>
    <t>PAGO DE OBLIGACIONES FINANCIERAS - OBLIGACION N°: 7001016200313591 . INTERNESES - CAPITAL</t>
  </si>
  <si>
    <t>NIB-00005735</t>
  </si>
  <si>
    <t>PAGO DE OBLIGACIONES FINANCIERAS - OBLIGACION N°: 7001016200483485 . INTERNESES - CAPITAL</t>
  </si>
  <si>
    <t>NIB-00007412</t>
  </si>
  <si>
    <t>PAGO DE OBLIGACIONES FINANICERAS N°: 7001376000667343 - SOLO INTERESES</t>
  </si>
  <si>
    <t>NIB-00007214</t>
  </si>
  <si>
    <t>PAGO DE OBLIGACIONES FINANNCIERAS: 00130255722 SOLO INTERESES</t>
  </si>
  <si>
    <t>PAGO DE OBLIGACIONES FINANNCIERAS: N°: 00130318116 SOLO INTERESES- 00130255722 SOLO INTERESES</t>
  </si>
  <si>
    <t>PAGO DE OBLIGACIONES FINANNCIERAS: N°: 00130318116</t>
  </si>
  <si>
    <t>NIB-00007076</t>
  </si>
  <si>
    <t>PAGO DE OBLÑIGACION FINANICERA: N°: 5602005363 - SOLO INTERESES</t>
  </si>
  <si>
    <t>NIB-00006594</t>
  </si>
  <si>
    <t>PAGO DE OBLOGACION FINANCIERA N°: 5602005079-4 - SOLO INTERESES</t>
  </si>
  <si>
    <t>NIB-00006853</t>
  </si>
  <si>
    <t>PAGO DE OBLOGACIONES FINANCIERAS - N°: 30001020681 - CAPITAL E INTERESES</t>
  </si>
  <si>
    <t>NIB-00006929</t>
  </si>
  <si>
    <t>PAGO DE OIBLIGACION FINANICERA - 70013760000592970 - SOLO INTERESES</t>
  </si>
  <si>
    <t>NIB-00006928</t>
  </si>
  <si>
    <t>PAGO DE OIBLIGACION FINANICERA - 70013760000622025 - SOLO INTERESES</t>
  </si>
  <si>
    <t>NIB-00007453</t>
  </si>
  <si>
    <t>PAGO DE OLIGACION FINANICERA N°: 5602005087 - CAPITAL E INTERESESD</t>
  </si>
  <si>
    <t>PAGO DE OLIGACION FINANICERA N°: 5602005087 - CAPITAL E INTERESES</t>
  </si>
  <si>
    <t>NIB-00007157</t>
  </si>
  <si>
    <t>PAGO DE SEGURIDAD SOCIAL MES DE JUNIO - PLANILLA: 9489143282</t>
  </si>
  <si>
    <t>SEGURIDAD SOCIAL</t>
  </si>
  <si>
    <t>POSITIVA COMPANIA DE SEGUROS S.A.</t>
  </si>
  <si>
    <t>PENSION OBLIGATORIA PORVENIR</t>
  </si>
  <si>
    <t>COLPENSIONES</t>
  </si>
  <si>
    <t>NIB-00006128</t>
  </si>
  <si>
    <t>PAGO DE SEGURIDAD SOCIAL PRACTICANTE GRANOBLES BAIRON ALEJANDRO - DEL MES DE ENERO 2025</t>
  </si>
  <si>
    <t>NIB-00005981</t>
  </si>
  <si>
    <t>PAGO OBLIGACION FINANCIERA - 00130137912 - CAPITAL E INTERESES</t>
  </si>
  <si>
    <t>NIB-00005948</t>
  </si>
  <si>
    <t>PAGO OBLIGACION FINANCIERA - OBLIGACION 30001021038 - INTERESES Y CAPITAL -</t>
  </si>
  <si>
    <t>NIB-00006503</t>
  </si>
  <si>
    <t>PAGO OBLIGACION No. 7001376000592970 MES DE ABRIL INTERESES PERIODO DEL 23 DE MARZO AL 23 DE ABRIL</t>
  </si>
  <si>
    <t>NIB-00006745</t>
  </si>
  <si>
    <t>PAGO SDE OBLIGACION FINANCIERA : N°: 00130318116 - SOLO INTERESES</t>
  </si>
  <si>
    <t>NIB-00005937</t>
  </si>
  <si>
    <t>PAGO SE OBLIGACION- 7001016200483485 - CAPOTAL E INTERESES</t>
  </si>
  <si>
    <t>NIB-00007312</t>
  </si>
  <si>
    <t>PGO DE OBLIGACION FINANICERA - 00130137912 - SOLO INTERESESD</t>
  </si>
  <si>
    <t>NIC-00035960</t>
  </si>
  <si>
    <t>PROVISION INTERES ENERO OBLIGACIÓN 5602005301-6 IBR+1.77% TRIMESTRE VENCIDO K-10MIL</t>
  </si>
  <si>
    <t>NIC-00038183</t>
  </si>
  <si>
    <t>PROVISION INTERESES OBLIGACIONES FINANCIERAS JULIO 2025</t>
  </si>
  <si>
    <t>NIB-00006801</t>
  </si>
  <si>
    <t>PZGO DE OBLIGACION FINANICERA - N°: 7001376000644532 - SOLO INTERESES</t>
  </si>
  <si>
    <t>NIC-00036824</t>
  </si>
  <si>
    <t>reclasificacion de cuentas en gastos bancarios bancolombia cta cte 2201 mes de marzo e2025</t>
  </si>
  <si>
    <t>NIC-00037860</t>
  </si>
  <si>
    <t>REVERSION DE PROVISION EN BBVA DE ENERO A JUNIO 2025</t>
  </si>
  <si>
    <t>NIC-00037770</t>
  </si>
  <si>
    <t>REVERSO PROVISIÓN INTERESES OBLIGACION No.119000025101 BANCO SERFINANZA MES DE JUNIO 2025</t>
  </si>
  <si>
    <t>REVERSO PROVISIÓN INTERESES OBLIGACIONES MES DE JUNIO 2025</t>
  </si>
  <si>
    <t>NIC-00038470</t>
  </si>
  <si>
    <t>Reverso Provisión Intereses Obligación No.502-9600090517 (Oblig. Cancelada)</t>
  </si>
  <si>
    <t>Reverso Provisión Intereses - Agosto.2025</t>
  </si>
  <si>
    <t>REVERSO PROVISIÓN INTERESES OBLIGACION No.502-9600090517 BANCO BBVA MES DE JUNIO 2025</t>
  </si>
  <si>
    <t>NIC-00037437</t>
  </si>
  <si>
    <t>REVERSO PROVISIÓN INTERESES OBLIGACIÓN No.553753720 BANCO DE BOGOTA</t>
  </si>
  <si>
    <t>REVERSO PROVISIÓN INTERESES OBLIGACION No.5602005301-6 BANCO POPULAR MES DE JUNIO 2025</t>
  </si>
  <si>
    <t>Reverso Provisión Intereses Obligación No.7001016200313591 (Oblig. Cancelada)</t>
  </si>
  <si>
    <t>REVERSO PROVISIÓN INTERESES OBLIGACION No.7001376000622020 BANCO DAVIVIENDA MES DE JUNIO 2025</t>
  </si>
  <si>
    <t>NIC-00037026</t>
  </si>
  <si>
    <t>REVERSO PROVISIÓN INTERESES OBLIGACION No.8010034243 BANCOLOMBIA</t>
  </si>
  <si>
    <t>NIC-00038095</t>
  </si>
  <si>
    <t>Reverso Provisión Intereses Obligación No.8010034243 BANCOLOMBIA</t>
  </si>
  <si>
    <t>NIP-00017459</t>
  </si>
  <si>
    <t>TARJETA DE CREDITO # 5592 2520 372 1520 CONSUMO DEL 29 DE JUNIO AL 30 DE JULIO DE 2025 CORRIENTES</t>
  </si>
  <si>
    <t>TARJETA DE CREDITO # 5592 2520 372 1520 CONSUMO DEL 29 DE JUNIO AL 30 DE JULIO DE 2025</t>
  </si>
  <si>
    <t>TARJETA DE CREDITO # 5592 2520 372 1520 CONSUMO DEL 29 DE JUNIO AL 30 DE JULIO DE 2025 INTERESES MORA</t>
  </si>
  <si>
    <t>NIP-00017207</t>
  </si>
  <si>
    <t>TARJETA DE CRÉDITO # 5592 2520 9372 1520 DEL 29 DE ABRIL AL 30 DE MAYO DE 2025</t>
  </si>
  <si>
    <t>NIP-00016950</t>
  </si>
  <si>
    <t>TARJETA DE CRÉDITO NO. 5592 2520 9372 1520 DEL 27 DE FEBRERO AL 30 DE MARZO DE 2025 INTERESES</t>
  </si>
  <si>
    <t>TARJETA DE CRÉDITO NO. 5592 2520 9372 1520 DEL 27 DE FEBRERO AL 30 DE MARZO DE 2025</t>
  </si>
  <si>
    <t>NIB-00007504</t>
  </si>
  <si>
    <t>PAGO DE OLIGACION FINNICERA N°: 70011376000644532 - SOLO INTERESES</t>
  </si>
  <si>
    <t>NIB-00007576</t>
  </si>
  <si>
    <t>Deb. automatico intereses de Obligaciones Banco de occidente (30137912)</t>
  </si>
  <si>
    <t>Deb. automatico intereses de Obligaciones Banco de occidente (30137912-30318116-30255722-3039822-3031832)</t>
  </si>
  <si>
    <t>Deb. automatico intereses de Obligaciones Banco de occidente (30255722)</t>
  </si>
  <si>
    <t>Deb. automatico intereses de Obligaciones Banco de occidente (30318116)</t>
  </si>
  <si>
    <t>Deb. automatico intereses de Obligaciones Banco de occidente (30318132)</t>
  </si>
  <si>
    <t>Deb. automatico intereses de Obligaciones Banco de occidente (30392822)</t>
  </si>
  <si>
    <t>NIB-00007531</t>
  </si>
  <si>
    <t>NIB-00007570</t>
  </si>
  <si>
    <t>NIB-00007571</t>
  </si>
  <si>
    <t>AGO DE OBLIGACION FINAINICER N°: 5602005363 - SOLO INTERESES</t>
  </si>
  <si>
    <t>NIB-00007584</t>
  </si>
  <si>
    <t>PAGO DE OBLIGACION FINANCIERA - N°: 360001021450 - CAPITAL E INTERESES</t>
  </si>
  <si>
    <t>NIC-00038526</t>
  </si>
  <si>
    <t>AJUSTE DE CUENTAS DE LEASING DE BANCO DE OCCIDENTE - N°: 180-163232 - DE LA NIB7486 - NIP17589</t>
  </si>
  <si>
    <t>NIP-00017670</t>
  </si>
  <si>
    <t>E21114753-CANON SEGUN CONTRATO No.R-0843-0001-0002-0003 E INTERES  DE 27 DIAS FACTURA E21-112236</t>
  </si>
  <si>
    <t>NIB-00007627</t>
  </si>
  <si>
    <t>PAGO DE OBLIGACION 30001020900  CAPITAL E INTERESES</t>
  </si>
  <si>
    <t>NIB-00007634</t>
  </si>
  <si>
    <t>DEB AUTOMATICO  DE INTERESES DE  OBLIGACION #5602005347-3</t>
  </si>
  <si>
    <t>NIC-00038559</t>
  </si>
  <si>
    <t>AMORTIZACION OBLIGACION FINANCIERA SEPTIEMBRE 2025</t>
  </si>
  <si>
    <t>NIB-00007665</t>
  </si>
  <si>
    <t>PAGO INTERES DE OBLIGACION: 5602005301-6</t>
  </si>
  <si>
    <t>NIB-00007666</t>
  </si>
  <si>
    <t>PAGO DE OBLIGACION #119000029906 - CAPITAL E INTERESES</t>
  </si>
  <si>
    <t>NIB-00007667</t>
  </si>
  <si>
    <t>PAGO DE OBLIGACION #119000025101 - INTERES</t>
  </si>
  <si>
    <t>NIC-00038640</t>
  </si>
  <si>
    <t>NIC-00038652</t>
  </si>
  <si>
    <t>NIB-00007678</t>
  </si>
  <si>
    <t>PAGO DE INTERESES CORRIENTES DE OBLIGACION #7001376000667343</t>
  </si>
  <si>
    <t>DSF-00001430</t>
  </si>
  <si>
    <t>GASTOS BANCARIOS CORRESPONDIENTE AL MES DE AOSTO 2025</t>
  </si>
  <si>
    <t>DSF-00001432</t>
  </si>
  <si>
    <t>GASTOS BANCARIOS CORRESPONDIENTE AL MES DE AGOSTO 2025</t>
  </si>
  <si>
    <t>DSF-00001433</t>
  </si>
  <si>
    <t>DSF-00001434</t>
  </si>
  <si>
    <t>GASTOS BANCARIOS CORRESPONDIENTES AL MES DE AGOSTO 2025 - COGENERACION</t>
  </si>
  <si>
    <t>DSF-00001435</t>
  </si>
  <si>
    <t>GASTOS BANCARIOS CORRESPONDIENTES AL MES DE AGOSTO 2025</t>
  </si>
  <si>
    <t>DSF-00001436</t>
  </si>
  <si>
    <t>NIB-00007695</t>
  </si>
  <si>
    <t>DEB. AUTOMATICO LEASING 3-10-346987 MES DE SEPTIEMBRE 2025</t>
  </si>
  <si>
    <t>NIB-00007698</t>
  </si>
  <si>
    <t>PAGO DE INTERESES DE OBLIGACION #119000028444</t>
  </si>
  <si>
    <t>NIC-00038574</t>
  </si>
  <si>
    <t>DEVOLUCION DE DSF - GASTOS BANCARIOS CORRESPONDIENTES AL MES DE AGOSOT 2025 (DSF1430 AL DSF 1439)</t>
  </si>
  <si>
    <t>AMD-00000171</t>
  </si>
  <si>
    <t>AMORTIZACIÓN DIFERIDO SEPTIEMBRE 2025</t>
  </si>
  <si>
    <t>NIC-00038578</t>
  </si>
  <si>
    <t>NIC-00038580</t>
  </si>
  <si>
    <t>NIC-00038589</t>
  </si>
  <si>
    <t>Reverso Provisión Intereses Banco Popular - Septiembre 2025</t>
  </si>
  <si>
    <t>Reverso Provisión Intereses - Septiembre 2025</t>
  </si>
  <si>
    <t>Reverso Provisión Intereses Serfinanzas - Septiembre 2025</t>
  </si>
  <si>
    <t>NIC-00038591</t>
  </si>
  <si>
    <t>NIC-00038603</t>
  </si>
  <si>
    <t>CAUSACIÓN INTERESES OBLIGACIONES FINANCIERAS # 119000025101 SERFINANZA SEPT 2025</t>
  </si>
  <si>
    <t>PROVISION INTERESES OBLIGACIONES FINANCIERAS SEPTIEMBRE 2025</t>
  </si>
  <si>
    <t>CAUSACIÓN INTERESES OBLIGACIONES FINANCIERAS # 502-9600090517 BBVA SEPT 2025</t>
  </si>
  <si>
    <t>CAUSACIÓN INTERESES OBLIGACIONES FINANCIERAS # 56020053016 BANCO BOGOTA OCCIDENTE SEPT 2025</t>
  </si>
  <si>
    <t>CAUSACIÓN INTERESES OBLIGACIONES FINANCIERAS # 56020053016 BANCO BOGOTA POPULAR SEPT 2025</t>
  </si>
  <si>
    <t>CAUSACIÓN INTERESES OBLIGACIONES FINANCIERAS # 8010034243 BANCOLOMBIA SEPT 2025</t>
  </si>
  <si>
    <t>NIC-00038659</t>
  </si>
  <si>
    <t>NIC-00038711</t>
  </si>
  <si>
    <t>AMORTIZACION OBLIGACION MFINANCIERA SEPTIEMBRE 2025</t>
  </si>
  <si>
    <t>NIP-00017744</t>
  </si>
  <si>
    <t>CESIÓN FEPA SEPTIEMBRE 2025</t>
  </si>
  <si>
    <t>NIP-00017745</t>
  </si>
  <si>
    <t>FACTURA CLPC44222 LEGALIZACIÓN TARJETA DE CREDITO #5592 2520 9372 1520 JULIO - AGOSTO 2025 DIRECCIÓN FINANCIERA</t>
  </si>
  <si>
    <t>LEGALLIZACIÓN TARJETA DE CREDITO # 5592 2520 9372 1520 JULIO 30 AGOSTO 30 2025 DIRECCIÓN FINANCIERA</t>
  </si>
  <si>
    <t>NIB-00007721</t>
  </si>
  <si>
    <t>PAGO DE OBLIGACION PROYECTO COGENERACION CANON 20(30001015257-7) Y 21 (30001015403-8)</t>
  </si>
  <si>
    <t>NIB-00007743</t>
  </si>
  <si>
    <t>GASTOS BANCARIOS BANCO DE BOGOTA SOBREGIRO 484183223 MES DE SEPTIEMBRE 2025</t>
  </si>
  <si>
    <t>NIB-00007744</t>
  </si>
  <si>
    <t>GASTOS BANCARIOS BANCO DE OCCIDENTE CTE 001526318 MES DE SEPTIEMBRE 2025</t>
  </si>
  <si>
    <t>NIB-00007748</t>
  </si>
  <si>
    <t>GASTOS BANCARIOS BANCO DE BOGOTA TULUA CTE 612036319 MES DE SEPTIEMBRE 2025</t>
  </si>
  <si>
    <t>NIB-00007793</t>
  </si>
  <si>
    <t>PAGO DE OBLIGACION FINANCIERA N-°: 7001376000644532 - CUOTA N|: 5 - SOLO INTERESES</t>
  </si>
  <si>
    <t>PAGO DE OBLIGACION FINANCIERA N-°: 7001376000644532 - CUOTA N|: 5 - SOLO INTERESES - DIFERENCIA DE INTERES X MORA</t>
  </si>
  <si>
    <t>NIB-00007818</t>
  </si>
  <si>
    <t>PAGO DE OBLIGACION FINANCIERA: N°: 30001021038 - CAPOTAL E INTERESE</t>
  </si>
  <si>
    <t>NIB-00007826</t>
  </si>
  <si>
    <t>PAGO DE OBLIGACION FINANCIERA N°: 56020005363 - SOLO INTERESES</t>
  </si>
  <si>
    <t>NIB-00007840</t>
  </si>
  <si>
    <t>PAGO DE OBLIGACION FINANCIERA N°: 30001020681 - CAPITRAL E INTERESES</t>
  </si>
  <si>
    <t>NIB-00007841</t>
  </si>
  <si>
    <t>PAGO DE OBLIGACION FINANICERA N°: 180-163232 - LEASING FINANCIERO</t>
  </si>
  <si>
    <t>NIB-00007832</t>
  </si>
  <si>
    <t>PAGO DE OBLIGACION FINANCIERA N°:8010034243 - SOLO INTERESES</t>
  </si>
  <si>
    <t>NIB-00007853</t>
  </si>
  <si>
    <t>PAGO DE OBLIGACION FINANCIERA N°: 30001021450 - CAPITAL E INTERESES</t>
  </si>
  <si>
    <t>NIB-00007877</t>
  </si>
  <si>
    <t>PAGO DE OBLIGACION FINANICERA - N°: 30001020900 - CAPOITAL E INTEREES</t>
  </si>
  <si>
    <t>NIB-00007898</t>
  </si>
  <si>
    <t>PAGO DE OBLIGACION FINANCIERA N°: 5602005347 - SOLO INTERESES</t>
  </si>
  <si>
    <t>NIC-00038895</t>
  </si>
  <si>
    <t>AMORTIZACION OBLIGACION FIN OCTUBRE 2025</t>
  </si>
  <si>
    <t>NIC-00038896</t>
  </si>
  <si>
    <t>AJUSTE CUENTA - AMORTIZACION OBLIGICACION FINAN 2025</t>
  </si>
  <si>
    <t>NIP-00017808</t>
  </si>
  <si>
    <t>E21115977- CANON SEGUN CONTRATO No. R-0843-0001,0002,0003 INTERES DE MORA 29 DIAS FACTURA 113475</t>
  </si>
  <si>
    <t>NIB-00007925</t>
  </si>
  <si>
    <t>PAGO DE OBLIGACION FINANCIERA N°_ 119000029906 - CAPITAL E INTERESES</t>
  </si>
  <si>
    <t>NIB-00007914</t>
  </si>
  <si>
    <t>PAGO DE OBLIGACION FINANCIERA N°: 5602005301 - SOLO INTERESES</t>
  </si>
  <si>
    <t>NIB-00007920</t>
  </si>
  <si>
    <t>PAGO DE OBLIGACIONES FINANCIERAS N°: 7001376000622025 - INTERESES Y CAPITAL</t>
  </si>
  <si>
    <t>NIB-00007931</t>
  </si>
  <si>
    <t>PAGO DE OBLIGACION FINANCIERA N°: 7001376000667343 - SOLO INTEREESE</t>
  </si>
  <si>
    <t>NIB-00007948</t>
  </si>
  <si>
    <t>DEB. AUTOMATICO LEASING 3-10-346987 MES DE OCTUBRE 2025 CUOTA 15</t>
  </si>
  <si>
    <t>NIC-00038883</t>
  </si>
  <si>
    <t>AMORTIZACION OBLIGACION FINANCIERA OCTUBRE 2025</t>
  </si>
  <si>
    <t>NIC-00038885</t>
  </si>
  <si>
    <t>AMORTIZACION ARRENDAMIENTO OCTUBRE 2025</t>
  </si>
  <si>
    <t>DSF-00001462</t>
  </si>
  <si>
    <t>GASTOS BANCARIOS CORRESPONDIENTES AL MES DE SEPTIEMBRE 2025</t>
  </si>
  <si>
    <t>DSF-00001463</t>
  </si>
  <si>
    <t>DSF-00001464</t>
  </si>
  <si>
    <t>DSF-00001465</t>
  </si>
  <si>
    <t>DSF-00001466</t>
  </si>
  <si>
    <t>GASTOS BANCARIOS CORRESPONDIENTES AL MES DE SEPTIEMBRE 2025- COGENERACION</t>
  </si>
  <si>
    <t>DSF-00001468</t>
  </si>
  <si>
    <t>DSF-00001470</t>
  </si>
  <si>
    <t>GASTOS BANCARIOS CORRESPONDIENTE AL MES DE SEPTIEMBRE 2025</t>
  </si>
  <si>
    <t>NIB-00007976</t>
  </si>
  <si>
    <t>PAGO DE OBLIGACION N°: 119000028444 - CAPITAL E INTERESES</t>
  </si>
  <si>
    <t>NIC-00038889</t>
  </si>
  <si>
    <t>NIC-00038890</t>
  </si>
  <si>
    <t>AMORTIZACION OBLIGACION FINAN OCTUBRE 2025</t>
  </si>
  <si>
    <t>NIC-00038891</t>
  </si>
  <si>
    <t>DEVOLUCION DE DSF - GASTOS BANCARIOS CORRESPONDIENTES AL MES DE SEPTIEMBRE 2025 (DSF1462 AL DSF 1472)</t>
  </si>
  <si>
    <t>NIC-00038892</t>
  </si>
  <si>
    <t>AMORTIZACION OBLIGACON FIN OCT 2025</t>
  </si>
  <si>
    <t>NIB-00007987</t>
  </si>
  <si>
    <t>PAGO DE OBLIGACION N°:180-163232 - LEASING FINANCIERA</t>
  </si>
  <si>
    <t>NIB-00007988</t>
  </si>
  <si>
    <t>PAGO DE OBLIGACION FINANCIERA N°: 700176000644532 - SOLO INTERESES</t>
  </si>
  <si>
    <t>AMD-00000174</t>
  </si>
  <si>
    <t>AMORTIZACION DIFERIDOS OCTUBRE 2025</t>
  </si>
  <si>
    <t>NIC-00038911</t>
  </si>
  <si>
    <t>COSTO AMORTIZADO REFINANCIACION MES DE OCTUBRE 2025</t>
  </si>
  <si>
    <t>NIC-00039034</t>
  </si>
  <si>
    <t>NIC-00039039</t>
  </si>
  <si>
    <t>CAUSACIÓN INTERESES OBLIGACIONES FINANCIERAS # 119000025101 SERFINANZA OCT 2025</t>
  </si>
  <si>
    <t>PROVISION INTERESES BANCARIOS OCTUBRE 2025</t>
  </si>
  <si>
    <t>CAUSACIÓN INTERESES OBLIGACIONES FINANCIERAS # 502-9600090517 BBVA OCT 2025</t>
  </si>
  <si>
    <t>CAUSACIÓN INTERESES OBLIGACIONES FINANCIERAS # 56020053016 BANCO BOGOTA OCCIDENTE OCT 2025</t>
  </si>
  <si>
    <t>CAUSACIÓN INTERESES OBLIGACIONES FINANCIERAS # 56020053016 BANCO BOGOTA POPULAR OCT 2025</t>
  </si>
  <si>
    <t>CAUSACIÓN INTERESES OBLIGACIONES FINANCIERAS # 8010034243 BANCOLOMBIA OCT 2025</t>
  </si>
  <si>
    <t>NIC-00039089</t>
  </si>
  <si>
    <t>Reverso Provisión Intereses - Octubre.2025</t>
  </si>
  <si>
    <t>NIP-00017881</t>
  </si>
  <si>
    <t>CESIÓN FEPA OCTUBRE 2025</t>
  </si>
  <si>
    <t>NIB-00007947</t>
  </si>
  <si>
    <t>PAGO DE OBLIGACION PROYECTO COGENERACION CANON 21(30001015257-7) Y 22 (30001015403-8)</t>
  </si>
  <si>
    <t>NIP-00017777</t>
  </si>
  <si>
    <t>LEGALIZACIÓN TC BANOCCIDENTE MRESTREPO No. 512835-0-028970-288 COP CORTE 31 JUL-AGOS 2025 INTERESES CORRIENTES</t>
  </si>
  <si>
    <t>LEGALIZACIÓN TC BANOCCIDENTE MRESTREPO No. 512835-0-028970-288 MONEDA COP CORTE 31 JUL-AGOS 2025</t>
  </si>
  <si>
    <t>NIP-00017787</t>
  </si>
  <si>
    <t>LEGALIZACIÓN TC BANOCCIDENTE MRESTREPO No. 512835-0-028970-288 USD CORTE 3O JUNIO 2025 INTERESES CTES</t>
  </si>
  <si>
    <t>LEGALIZACIÓN TC BANOCCIDENTE MRESTREPO No. 512835-0-028970-288 MONEDA USD CORTE 3O JUNIO 2025</t>
  </si>
  <si>
    <t>NIP-00017824</t>
  </si>
  <si>
    <t>LEGALIZACIÓN TC BANOCCIDENTE MRESTREPO No. 512835-0-028970-288 COP CORTE 31 MAYO 2025 INTERESES CORRIENTES</t>
  </si>
  <si>
    <t>LEGALIZACIÓN TC BANOCCIDENTE MRESTREPO No. 512835-0-028970-288 MONEDA USD CORTE 31 MAYO 2025</t>
  </si>
  <si>
    <t>NIB-00007977</t>
  </si>
  <si>
    <t>GASTOS BANCARIOS BANCO DE BOGOTA TULUA CTE 612036319 OCTUBRE 2025</t>
  </si>
  <si>
    <t>NIB-00007978</t>
  </si>
  <si>
    <t>GASTOS BANCARIOS BANCO BOGOTA CALI CTE 256096355 OCTUBRE 2025</t>
  </si>
  <si>
    <t>NIB-00007981</t>
  </si>
  <si>
    <t>GASTOS BANCARIOS BANCOLOMBIA SOBREGIRO 76282316703 MES DE OCTUBRE 2025</t>
  </si>
  <si>
    <t>NIB-00007982</t>
  </si>
  <si>
    <t>GASTOS BANCARIOS BANCOLOMBIA CTE 80104152201 MES OCTUBRE 2025</t>
  </si>
  <si>
    <t>NIB-00007997</t>
  </si>
  <si>
    <t>GASTOS BANCARIOS BANCO DAVIVIENDA CTE 379469997678 MES DE OCTUBRE 2025</t>
  </si>
  <si>
    <t>NIB-00008034</t>
  </si>
  <si>
    <t>PAGO DE LEASING 30001021035-6 CORRESPONIENDTE AL MES DE NOVIEMBRE 2025</t>
  </si>
  <si>
    <t>NIB-00008055</t>
  </si>
  <si>
    <t>PAGO DE OCLIGACION FINNANCIERA N°: 5602005363 - SOLO INTERESES</t>
  </si>
  <si>
    <t>NIB-00008057</t>
  </si>
  <si>
    <t>pago de obligacion financiera : 30001020681-2 CAPITAL E INTERESES</t>
  </si>
  <si>
    <t>NIB-00008058</t>
  </si>
  <si>
    <t>PAGO DE OBLIGACIONES FINANCIERAS 30001021450 - CAPITAL E INTERESES</t>
  </si>
  <si>
    <t>NIP-00017925</t>
  </si>
  <si>
    <t>E21117127- CANON SEGUN CONTRATO No. R-0843-0001,0002,0003, INTERES DE MORA 30 DIAS FACTURA No.114753</t>
  </si>
  <si>
    <t>NIB-00008100</t>
  </si>
  <si>
    <t>PAGO DE OBLIGACION FINANICERA °: 000030001020900-2 - CAPITAL E INTERESES</t>
  </si>
  <si>
    <t>NIB-00008101</t>
  </si>
  <si>
    <t>NIC-00039344</t>
  </si>
  <si>
    <t>AMORTIZACION OBLIGACION FINANCIERA NOVIEMBRE 2025</t>
  </si>
  <si>
    <t>NIB-00008147</t>
  </si>
  <si>
    <t>PAGO DE OBLIGACION FINANCIERA N°: 7001376000667343 - SOLO INGERESES</t>
  </si>
  <si>
    <t>NIB-00008179</t>
  </si>
  <si>
    <t>PAGO DE OBLIGACION FIANANCIERA N°: 119000029906 - CAPITAL E INTERESES</t>
  </si>
  <si>
    <t>NIB-00008209</t>
  </si>
  <si>
    <t>DEB. AUTOMATICO LEASING 3-10-346987 MES DE NOVIEMBRE CUOTA 17</t>
  </si>
  <si>
    <t>NIB-00008181</t>
  </si>
  <si>
    <t>PAGO DE OBLIGACION FINANCIERA N|: 11900002844 - SOLO INTERESES</t>
  </si>
  <si>
    <t>AMD-00000177</t>
  </si>
  <si>
    <t>AMORTIZACION DIFERIDOS NOVIEMBRE 2025</t>
  </si>
  <si>
    <t>NIC-00039230</t>
  </si>
  <si>
    <t>COSTO AMORTIZADO REFINANCIACION MES DE NOVIEMBRE 2025</t>
  </si>
  <si>
    <t>NIC-00039298</t>
  </si>
  <si>
    <t>NIC-00039299</t>
  </si>
  <si>
    <t>NIC-00039304</t>
  </si>
  <si>
    <t>AMORTIZACION OBLIGACON FINANCIERA NOVIEMBRE 2025</t>
  </si>
  <si>
    <t>NIC-00039323</t>
  </si>
  <si>
    <t>NIC-00039340</t>
  </si>
  <si>
    <t>NIC-00039341</t>
  </si>
  <si>
    <t>NIC-00039397</t>
  </si>
  <si>
    <t>CAUSACIÓN INTERESES OBLIGACIONES FINANCIERAS # 502-9600090517 BBVA NOV 2025</t>
  </si>
  <si>
    <t>CAUSACIÓN INTERESES OBLIGACIONES FINANCIERAS # 56020053016 BANCO BOGOTA POPULAR NOV 2025</t>
  </si>
  <si>
    <t>CAUSACIÓN INTERESES OBLIGACIONES FINANCIERAS # 119000025101 SERFINANZA NOV 2025</t>
  </si>
  <si>
    <t>CAUSACIÓN INTERESES OBLIGACIONES FINANCIERAS # 56020053016 BANCO BOGOTA OCCIDENTE NOV 2025</t>
  </si>
  <si>
    <t>CAUSACIÓN INTERESES OBLIGACIONES FINANCIERAS # 8010034243 BANCOLOMBIA NOV 2025</t>
  </si>
  <si>
    <t>NIC-00039400</t>
  </si>
  <si>
    <t>PROVISION OBLIGACIONES FINANCIERAS # 07001376000644532 BANCO DAVIVIENDA NOV 2025 PAGADA EN DICIEMBRE 2025</t>
  </si>
  <si>
    <t>PROVISION OBLIGACIONES FINANCIERAS # 180163232 BANCO DE OCCIDENTE NOV 2025 PAGADA EN DICIEMBRE 2025</t>
  </si>
  <si>
    <t>NIP-00018049</t>
  </si>
  <si>
    <t>CESIÓN FEPA NOVIEMBRE 2025</t>
  </si>
  <si>
    <t>NIP-00018050</t>
  </si>
  <si>
    <t>LEGALIZACIÓN TARJETA DE CREDITO DIRECCIÓN FINANCIERA SEPTIEMBRE OCTUBRE # 5592 2520 9372 1520</t>
  </si>
  <si>
    <t>NIB-00008070</t>
  </si>
  <si>
    <t>PAGO DE OBLIGACION PROYECTO COGENERACION CANON 22(30001015257-7) Y 23 (30001015403-8)</t>
  </si>
  <si>
    <t>NIB-00008166</t>
  </si>
  <si>
    <t>GASTOS BANCARIOS BANCOLOMBIA CTE 80104152201 MES DE NOVIEMBRE 2025</t>
  </si>
  <si>
    <t>NIB-00008168</t>
  </si>
  <si>
    <t>GASTOS BANCARIOS BANCOLOMBIA SOBREGIRO 76282316703 MES DE NOVIEMBRE 2025</t>
  </si>
  <si>
    <t>NIB-00008169</t>
  </si>
  <si>
    <t>BANCO DAVIVIENDA CTE 379469997678 MES NOVIEMBRE 2025</t>
  </si>
  <si>
    <t>NIB-00008172</t>
  </si>
  <si>
    <t>GASTOS BANCARIOS BANCO DE BOGOTA TULUA CTE 612036319 MES DE NOVIEMBRE 2025</t>
  </si>
  <si>
    <t>NIB-00008173</t>
  </si>
  <si>
    <t>GASTOS BANCARIOS BANCO BOGOTA CALI CTE 256096355 MES DE NOVIEMBRE 2025</t>
  </si>
  <si>
    <t>NIB-00008174</t>
  </si>
  <si>
    <t>GASTOS BANCARIOS BANCO DE BOGOTA SOBREGIRO 484183223 MES DE NOVIEMBRE 2025</t>
  </si>
  <si>
    <t>NIB-00008189</t>
  </si>
  <si>
    <t>GASTOS BANCARIOS BANCO DAVIVIENDA CTE 379469997678 MES DE NOVIEMBRE 2025</t>
  </si>
  <si>
    <t>NIP-00018040</t>
  </si>
  <si>
    <t>LEGALIZACION DE TC DESTINOS 4302840001596798 MES DE AGOSTO 2025</t>
  </si>
  <si>
    <t>NIB-00008235</t>
  </si>
  <si>
    <t>PAGO DE OPBLIGACION FINANCIERA N°: 7001376000644532 - SOLO INTERESES</t>
  </si>
  <si>
    <t>NIB-00008240</t>
  </si>
  <si>
    <t>PAGO DE OBLIGACION FINANCIERA LEASING N°: 180-163232</t>
  </si>
  <si>
    <t>NIB-00008248</t>
  </si>
  <si>
    <t>PAGO DE OBLIGACION FINANCIERA N°: 3045980-3 - SOLO INTERESES</t>
  </si>
  <si>
    <t>NIB-00008254</t>
  </si>
  <si>
    <t>PAGO DE OBLIGACION FINANCIERA N°: 30001021038-6 - - CAPITAL E INTERESES</t>
  </si>
  <si>
    <t>NIB-00008268</t>
  </si>
  <si>
    <t>PAGO DE OBLIGACION FINANCIERA NN°: 5602005363 - 3 - SOLO INTERESES</t>
  </si>
  <si>
    <t>NIB-00008269</t>
  </si>
  <si>
    <t>PAGO DE OBLIGACION FINANCIERA N°: 30001020681-2 - INTERESES Y CAPITAL</t>
  </si>
  <si>
    <t>NIB-00008272</t>
  </si>
  <si>
    <t>PAGO DE OBLOGAVION FINANCIERA N|: 30001021450-3 - CAPITAL E INTERESES</t>
  </si>
  <si>
    <t>NIB-00008305</t>
  </si>
  <si>
    <t>PAGO DE OBLIGACION FINANCIERA N°: 300001020900 - CAPITAL E INTERESES</t>
  </si>
  <si>
    <t>NIB-00008310</t>
  </si>
  <si>
    <t>PAGO DE OBLIGACIN FINANCIERA N°: 5602005347 - SOLO INTRESES</t>
  </si>
  <si>
    <t>NIC-00039546</t>
  </si>
  <si>
    <t>AMORTIZACION OBLIGACION FIANCIERA DICIEMBRE 2025</t>
  </si>
  <si>
    <t>NIC-00039468</t>
  </si>
  <si>
    <t>AMORTIZACION OBLIGACION FIN DICIEMBRE 2025</t>
  </si>
  <si>
    <t>NIC-00039469</t>
  </si>
  <si>
    <t>AMORTIZACION OBLIGACION FINANCIERA DICIEMBRE 2025</t>
  </si>
  <si>
    <t>NIB-00008346</t>
  </si>
  <si>
    <t>PAGO DE OBLIGACION FIANNAICERA N°: 7001376000667343 - SOLO INTERESES</t>
  </si>
  <si>
    <t>NIB-00008347</t>
  </si>
  <si>
    <t>PAGO DE OBLIGACION FINANCIERA N°: 119000025101 - CAPITAL E INTERESES</t>
  </si>
  <si>
    <t>NIB-00008341</t>
  </si>
  <si>
    <t>PAGO DE OBLIGACION FINANCIERA: N°: 111900029906 -  CAPITAL E NTERESES</t>
  </si>
  <si>
    <t>NIB-00008350</t>
  </si>
  <si>
    <t>PAGO DE OBLIGACION FIANNCIERA N°: 28444 - SOLO INTERESES</t>
  </si>
  <si>
    <t>NIB-00008362</t>
  </si>
  <si>
    <t>DEB. AUTOMATICO LEASING 3-10-346987 MES DE DICIEMBRE 2025 CUOTA 18</t>
  </si>
  <si>
    <t>NIB-00008394</t>
  </si>
  <si>
    <t>PAGO DE OBLIGACION FINANICERA: 7001376000644532 - SOLO INTERESES</t>
  </si>
  <si>
    <t>AMD-00000179</t>
  </si>
  <si>
    <t>AMORTIZACION DIFERIDOS DICIEMBRE 2025</t>
  </si>
  <si>
    <t>NIB-00008409</t>
  </si>
  <si>
    <t>PAGO DE OBLIGACION N°: 00130502659600121890 - SLO INTERESES</t>
  </si>
  <si>
    <t>NIB-00008426</t>
  </si>
  <si>
    <t>GASTO DE COMISION BGTA TULUA 612036319 NOV 2025</t>
  </si>
  <si>
    <t>NIC-00039518</t>
  </si>
  <si>
    <t>NIC-00039528</t>
  </si>
  <si>
    <t>COSTO AMORTIZADO REFINANCIACION MES DE DICIEMBRE 2025</t>
  </si>
  <si>
    <t>NIC-00039531</t>
  </si>
  <si>
    <t>NIC-00039541</t>
  </si>
  <si>
    <t>AMORTIZACION OBLIGACION FINANCIERA DIECIEMBRE 2025</t>
  </si>
  <si>
    <t>NIC-00039609</t>
  </si>
  <si>
    <t>Reverso Provisión Intereses - Diciembre 2025 Obligación No.130459803</t>
  </si>
  <si>
    <t>Reverso Provisión Intereses - Diciembre 2025 Obligación No.0502-9600121890</t>
  </si>
  <si>
    <t>NIC-00039610</t>
  </si>
  <si>
    <t>CAUSACIÓN INTERESES OBLIGACIONES FINANCIERAS # 56020053016 BANCO BOGOTA OCCIDENTE DIC 2025</t>
  </si>
  <si>
    <t>CAUSACIÓN INTERESES OBLIGACIONES FINANCIERAS # 56020053016 BANCO BOGOTA POPULAR DIC 2025</t>
  </si>
  <si>
    <t>CAUSACIÓN INTERESES OBLIGACIONES FINANCIERAS # 8010034243 BANCOLOMBIA DIC 2025</t>
  </si>
  <si>
    <t>CAUSACIÓN INTERESES OBLIGACIONES FINANCIERAS # 119000025101 SERFINANZA DIC 2025</t>
  </si>
  <si>
    <t>NIC-00039636</t>
  </si>
  <si>
    <t>REVERSIÓN PROVISION OBLIGACIONES FINANCIERAS NOVIEMBRE 2025 PAGADA DICIEMBRE 2025</t>
  </si>
  <si>
    <t>NIC-00039755</t>
  </si>
  <si>
    <t>NIP-00018188</t>
  </si>
  <si>
    <t>CESIÓN FEPA DICIEMBRE 2025</t>
  </si>
  <si>
    <t>NIB-00008363</t>
  </si>
  <si>
    <t>LEGALIZACION DE TC DESTINOS 4302840001596798 MES DE NOVIEMBRE 2025</t>
  </si>
  <si>
    <t>NIC-00039505</t>
  </si>
  <si>
    <t>Intereses de mora prediales municipio de Tulua</t>
  </si>
  <si>
    <t>MUNICIPIO DE TULUA</t>
  </si>
  <si>
    <t>NIB-00008365</t>
  </si>
  <si>
    <t>GASTOS BANCARIOS BANCOLOMBIA CTE 80104152201 MES DE DICIEMBRE 2025</t>
  </si>
  <si>
    <t>NIB-00008366</t>
  </si>
  <si>
    <t>GASTOS BANCARIOS BANCOLOMBIA SOBREGIRO 76282316703 MES DE DICIEMBRE 2025</t>
  </si>
  <si>
    <t>NIB-00008367</t>
  </si>
  <si>
    <t>GASTOS BANCARIOS BANCO DAVIVIENDA CTE 379469997678 MES DE DICIEMBRE 2025</t>
  </si>
  <si>
    <t>NIB-00008370</t>
  </si>
  <si>
    <t>GASTOS BANCARIOS BANCO DE BOGOTA TULUA CTE 612036319 MES DE DICIEMBRE 2025</t>
  </si>
  <si>
    <t>NIB-00008371</t>
  </si>
  <si>
    <t>GASTOS BANCARIOS BANCO BOGOTA CALI CTE 256096355 MES DE DICIEMBRE 2025</t>
  </si>
  <si>
    <t>NIB-00008372</t>
  </si>
  <si>
    <t>GASTOS BANCARIOS BANCO DE BOGOTA SOBREGIRO 484183223 MES DE DICIEMBRE 2025</t>
  </si>
  <si>
    <t>NIB-00008447</t>
  </si>
  <si>
    <t>REGISTRO DE INTERES EN TC DOLARES BANCOLOMBIA MES DE NOVIEMBRE 2025 72.63USD</t>
  </si>
  <si>
    <t>NIB-00008453</t>
  </si>
  <si>
    <t>PAGO AUTOM TC MASTER DOLAR NOVIEMBRE 2025 - INTERES CORRIENTES</t>
  </si>
  <si>
    <t>NIB-00008390</t>
  </si>
  <si>
    <t>PAGO DE OBLIGACION PROYECTO COGENERACION CANON 23(30001015257-7) Y 24 (30001015403-8)</t>
  </si>
  <si>
    <t>NIC-00039873</t>
  </si>
  <si>
    <t>NIB-00008428</t>
  </si>
  <si>
    <t>PAGO DE OBLIGACIONES FINCNACIERA N|: 30001021038 - CAPITAL E INTERESES</t>
  </si>
  <si>
    <t>NIB-00008551</t>
  </si>
  <si>
    <t>DEB. AUTOMATICO OBLIGACION 8010034243 MES DE ENERO 2026 - CUOTA #7 -(INTERESES)</t>
  </si>
  <si>
    <t>NIB-00008667</t>
  </si>
  <si>
    <t>PAGO DE OBLIGACION N°: 0000300010206812 -  CAPITAL E INTERESES</t>
  </si>
  <si>
    <t>NIB-00008492</t>
  </si>
  <si>
    <t>PAGO DE OBLIGACION FINANCIERA N|: 30001021450 - CAPITAL E INTERESES</t>
  </si>
  <si>
    <t>DSF-00001531</t>
  </si>
  <si>
    <t>CUENTA DE COBRO POR INTERESES POR MORA EN FACTURAS CON PROCESO DE FACTURING  (T021111308 -T021111508 - CASA TORO)</t>
  </si>
  <si>
    <t>BANCO FINANDINA S.A. BIC</t>
  </si>
  <si>
    <t>NIB-00008463</t>
  </si>
  <si>
    <t>PAGO DE OBLIGACION FINANCIERA N°: 5602005353-3 - SOLO INTERESES</t>
  </si>
  <si>
    <t>NIB-00008526</t>
  </si>
  <si>
    <t>NIB-00008527</t>
  </si>
  <si>
    <t>PAGO DE OBLIGACION FINANICERA N|: 00130487143 - SOLO INTERESES</t>
  </si>
  <si>
    <t>NIC-00039806</t>
  </si>
  <si>
    <t>AMORTIZACION OBLIGACION FINANCIERA ENERO 2026</t>
  </si>
  <si>
    <t>NIP-00018232</t>
  </si>
  <si>
    <t>E21119192-CANOS SEGUN CONTRATO No. R-0843-0001 -0002-0003 , INTERES DE LAS FACTURAS 117127 Y 115977</t>
  </si>
  <si>
    <t>NIB-00008507</t>
  </si>
  <si>
    <t>PAGO DE OBLIGACION FINANCIERA N°: 30001020900 - CAPITAL E INTERESES</t>
  </si>
  <si>
    <t>NIB-00008556</t>
  </si>
  <si>
    <t>PAGO DE OBLIGACION FINANCIERA N°: 119000029906 - CAPITAL E INTERESES</t>
  </si>
  <si>
    <t>NIB-00008567</t>
  </si>
  <si>
    <t>PAGO DE OBLIGACION FINANCIERA N°: 7001376000667343 -  SOLO INTERESES</t>
  </si>
  <si>
    <t>NIB-00008583</t>
  </si>
  <si>
    <t>PAGO DE OBLIGACION FINANCIERA N°: 5602005463 - SOLO INTEREES|</t>
  </si>
  <si>
    <t>NIC-00039785</t>
  </si>
  <si>
    <t>Ajuste de cuentas en Obligacion #7001376000622025</t>
  </si>
  <si>
    <t>NIB-00008601</t>
  </si>
  <si>
    <t>DEB. AUTOMATICO LEASING 3-10-346987 MES DE DICIEMBRE 2025 CUOTA 19</t>
  </si>
  <si>
    <t>NIC-00039792</t>
  </si>
  <si>
    <t>ajuste de cuentas en Obligación #5602005347</t>
  </si>
  <si>
    <t>NIB-00008623</t>
  </si>
  <si>
    <t>PAGO DE OBLIGACION FINANCIERA N°: 11900028444 - CAPITAL E INTERESES</t>
  </si>
  <si>
    <t>NIB-00008615</t>
  </si>
  <si>
    <t>PAGO DE OBLIGACION FINANCIERA N°: 7001376000644532 - SOLO INTERESES</t>
  </si>
  <si>
    <t>NIC-00039874</t>
  </si>
  <si>
    <t>NIC-00039802</t>
  </si>
  <si>
    <t>NIC-00039808</t>
  </si>
  <si>
    <t>AMORTIZACIONOBLIGACION FINANCIERA ENERO 2025</t>
  </si>
  <si>
    <t>NIC-00039810</t>
  </si>
  <si>
    <t>NIC-00039885</t>
  </si>
  <si>
    <t>COSTO AMORTIZADO REFINANCIACION MES DE ENERO 2026</t>
  </si>
  <si>
    <t>NIC-00039951</t>
  </si>
  <si>
    <t>REVERSION ITNERESES ENERO 2026</t>
  </si>
  <si>
    <t>NIC-00039952</t>
  </si>
  <si>
    <t>CAUSACIÓN INTERESES OBLIGACIONES FINANCIERAS # 56020053016 BANCO BOGOTA OCCIDENTE ENERO 2026</t>
  </si>
  <si>
    <t>CAUSACIÓN INTERESES OBLIGACIONES FINANCIERAS # 56020053016 BANCO BOGOTA POPULAR ENERO 2026</t>
  </si>
  <si>
    <t>CAUSACIÓN INTERESES OBLIGACIONES FINANCIERAS # 8010034243 BANCOLOMBIA ENERO 2026</t>
  </si>
  <si>
    <t>CAUSACIÓN INTERESES OBLIGACIONES FINANCIERAS # 502-9600090517 BBVA ENERO 2026</t>
  </si>
  <si>
    <t>CAUSACIÓN INTERESES OBLIGACIONES FINANCIERAS # 44744244 BANCO ITAU ENERO 2026</t>
  </si>
  <si>
    <t>ITAU CORPBANCA COLOMBIA SA</t>
  </si>
  <si>
    <t>CAUSACIÓN INTERESES OBLIGACIONES FINANCIERAS # 119000025101 SERFINANZA ENERO 2026</t>
  </si>
  <si>
    <t>NIC-00039957</t>
  </si>
  <si>
    <t>AJUSTE DE CUENTA EN DSF1531 -  INTERESES POR MORA EN FACTURAS CON PROCESO DE FACTURING  (T021111308 -T021111508 - CASA TORO)</t>
  </si>
  <si>
    <t>NIC-00039963</t>
  </si>
  <si>
    <t>AJUSTE DE CUENTA EN NIB8430 PAGO DE OBLIGACION FINANCIERA N°: 180-163232 -  LEASING FINANCIEROO</t>
  </si>
  <si>
    <t>NIP-00018294</t>
  </si>
  <si>
    <t>CESIÓN FEPA ENERO 2026</t>
  </si>
  <si>
    <t>NIB-00008499</t>
  </si>
  <si>
    <t>PAGO DE SEGIOFAD SOCIAL - PLANILLA: 9497637161</t>
  </si>
  <si>
    <t>NIP-00018272</t>
  </si>
  <si>
    <t>LEGALIZACION DE TC DESTINOS 4302840001596798 MES DE DICIEMBRE 2025</t>
  </si>
  <si>
    <t>NIB-00008606</t>
  </si>
  <si>
    <t>GASTOS BANCARIOS BANCOLOMBIA CTE 80104152201 MES DE ENERO 2026</t>
  </si>
  <si>
    <t>NIB-00008608</t>
  </si>
  <si>
    <t>GASTOS BANCARIOS BANCO BOGOTA CALI CTE 256096355 MES DE ENERO 2026</t>
  </si>
  <si>
    <t>NIB-00008616</t>
  </si>
  <si>
    <t>GASTOS BANCARRIOS BANCO DE BOGOTA SOBREGIRO 484183223 MES DE ENERO 2026</t>
  </si>
  <si>
    <t>NIB-00008621</t>
  </si>
  <si>
    <t>GASTOS BANCARIOS BANCO DAVIVIENDA CTE 379469997678 MES DE ENERO 2026</t>
  </si>
  <si>
    <t>NIB-00008681</t>
  </si>
  <si>
    <t>GASTOS BANCARIOS BANCO DE BOGOTA TULUA CTE 612036319 MES DE ENERO 2026</t>
  </si>
  <si>
    <t>NIB-00008430</t>
  </si>
  <si>
    <t>PAGO DE OBLIGACION FINANCIERA N°: 180-163232 -  LEASING FINANCIEROO</t>
  </si>
  <si>
    <t>NIB-00008476</t>
  </si>
  <si>
    <t>PAGO DE OBLIGACION PROYECTO COGENERACION CANON  24(30001015257-7)</t>
  </si>
  <si>
    <t>PAGO DE OBLIGACION PROYECTO COGENERACION CANON  25 (30001015403-8)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</si>
</sst>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44" fontId="2" fillId="0" borderId="0" xfId="1" applyFont="1"/>
    <xf numFmtId="14" fontId="0" fillId="0" borderId="0" xfId="0" applyNumberFormat="1"/>
    <xf numFmtId="8" fontId="0" fillId="0" borderId="0" xfId="0" applyNumberFormat="1"/>
    <xf numFmtId="8" fontId="0" fillId="2" borderId="0" xfId="0" applyNumberFormat="1" applyFill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8" fontId="0" fillId="3" borderId="0" xfId="0" applyNumberFormat="1" applyFill="1"/>
    <xf numFmtId="14" fontId="0" fillId="3" borderId="0" xfId="0" applyNumberFormat="1" applyFill="1"/>
    <xf numFmtId="44" fontId="0" fillId="0" borderId="0" xfId="1" applyFont="1"/>
    <xf numFmtId="44" fontId="0" fillId="4" borderId="0" xfId="1" applyFont="1" applyFill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0" fontId="0" fillId="6" borderId="0" xfId="0" applyFill="1"/>
    <xf numFmtId="8" fontId="0" fillId="6" borderId="0" xfId="0" applyNumberFormat="1" applyFill="1"/>
    <xf numFmtId="14" fontId="0" fillId="6" borderId="0" xfId="0" applyNumberFormat="1" applyFill="1"/>
    <xf numFmtId="8" fontId="0" fillId="4" borderId="0" xfId="0" applyNumberFormat="1" applyFill="1"/>
    <xf numFmtId="8" fontId="0" fillId="5" borderId="0" xfId="0" applyNumberFormat="1" applyFill="1"/>
    <xf numFmtId="14" fontId="0" fillId="5" borderId="0" xfId="0" applyNumberFormat="1" applyFill="1"/>
    <xf numFmtId="8" fontId="0" fillId="7" borderId="0" xfId="0" applyNumberFormat="1" applyFill="1"/>
    <xf numFmtId="0" fontId="0" fillId="7" borderId="0" xfId="0" applyFill="1"/>
    <xf numFmtId="14" fontId="0" fillId="7" borderId="0" xfId="0" applyNumberFormat="1" applyFill="1"/>
    <xf numFmtId="0" fontId="0" fillId="8" borderId="0" xfId="0" applyFill="1"/>
    <xf numFmtId="44" fontId="0" fillId="8" borderId="0" xfId="1" applyFont="1" applyFill="1"/>
    <xf numFmtId="14" fontId="0" fillId="8" borderId="0" xfId="0" applyNumberFormat="1" applyFill="1"/>
    <xf numFmtId="0" fontId="0" fillId="9" borderId="0" xfId="0" applyFill="1"/>
    <xf numFmtId="44" fontId="0" fillId="9" borderId="0" xfId="1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DE71B-8592-4349-9978-E85514706AD4}">
  <sheetPr filterMode="1"/>
  <dimension ref="A1:Y762"/>
  <sheetViews>
    <sheetView tabSelected="1" zoomScale="90" zoomScaleNormal="90" workbookViewId="0">
      <pane ySplit="1" topLeftCell="A620" activePane="bottomLeft" state="frozen"/>
      <selection pane="bottomLeft" activeCell="I769" sqref="I769"/>
    </sheetView>
  </sheetViews>
  <sheetFormatPr baseColWidth="10" defaultRowHeight="15" x14ac:dyDescent="0.25"/>
  <cols>
    <col min="3" max="3" width="11.28515625" customWidth="1"/>
    <col min="5" max="5" width="40.42578125" bestFit="1" customWidth="1"/>
    <col min="6" max="6" width="17.42578125" style="11" bestFit="1" customWidth="1"/>
    <col min="7" max="7" width="13" bestFit="1" customWidth="1"/>
    <col min="11" max="11" width="63.28515625" bestFit="1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X1" s="1">
        <v>1</v>
      </c>
      <c r="Y1" s="1" t="s">
        <v>16</v>
      </c>
    </row>
    <row r="2" spans="1:25" hidden="1" x14ac:dyDescent="0.25">
      <c r="C2" t="s">
        <v>17</v>
      </c>
      <c r="D2">
        <v>53052001</v>
      </c>
      <c r="E2" t="s">
        <v>18</v>
      </c>
      <c r="F2">
        <v>12852.055</v>
      </c>
      <c r="G2" t="s">
        <v>19</v>
      </c>
      <c r="H2" s="3">
        <v>45777</v>
      </c>
      <c r="I2" t="s">
        <v>20</v>
      </c>
      <c r="J2" t="s">
        <v>20</v>
      </c>
      <c r="K2" t="s">
        <v>21</v>
      </c>
      <c r="M2" t="s">
        <v>22</v>
      </c>
      <c r="N2">
        <f>+YEAR(H2)</f>
        <v>2025</v>
      </c>
      <c r="O2">
        <f t="shared" ref="O2:O65" si="0">+MONTH(H2)</f>
        <v>4</v>
      </c>
      <c r="P2" t="str">
        <f t="shared" ref="P2:P65" si="1">+VLOOKUP(O2,X:Y,2,0)</f>
        <v>Abril</v>
      </c>
      <c r="X2" s="1">
        <v>2</v>
      </c>
      <c r="Y2" s="1" t="s">
        <v>23</v>
      </c>
    </row>
    <row r="3" spans="1:25" hidden="1" x14ac:dyDescent="0.25">
      <c r="C3" t="s">
        <v>17</v>
      </c>
      <c r="D3">
        <v>53052003</v>
      </c>
      <c r="E3" t="s">
        <v>24</v>
      </c>
      <c r="F3" s="4">
        <v>-2986.7344600000001</v>
      </c>
      <c r="G3" t="s">
        <v>25</v>
      </c>
      <c r="H3" s="3">
        <v>45688</v>
      </c>
      <c r="I3" t="s">
        <v>26</v>
      </c>
      <c r="J3" t="s">
        <v>26</v>
      </c>
      <c r="K3" t="s">
        <v>27</v>
      </c>
      <c r="N3">
        <f t="shared" ref="N3:N66" si="2">+YEAR(H3)</f>
        <v>2025</v>
      </c>
      <c r="O3">
        <f t="shared" si="0"/>
        <v>1</v>
      </c>
      <c r="P3" t="str">
        <f t="shared" si="1"/>
        <v>Enero</v>
      </c>
      <c r="X3" s="1">
        <v>3</v>
      </c>
      <c r="Y3" s="1" t="s">
        <v>28</v>
      </c>
    </row>
    <row r="4" spans="1:25" hidden="1" x14ac:dyDescent="0.25">
      <c r="C4" t="s">
        <v>17</v>
      </c>
      <c r="D4">
        <v>53052001</v>
      </c>
      <c r="E4" t="s">
        <v>18</v>
      </c>
      <c r="F4" s="4">
        <v>-3091.8960000000002</v>
      </c>
      <c r="G4" t="s">
        <v>29</v>
      </c>
      <c r="H4" s="3">
        <v>45898</v>
      </c>
      <c r="I4" t="s">
        <v>30</v>
      </c>
      <c r="J4" t="s">
        <v>30</v>
      </c>
      <c r="K4" t="s">
        <v>31</v>
      </c>
      <c r="N4">
        <f t="shared" si="2"/>
        <v>2025</v>
      </c>
      <c r="O4">
        <f t="shared" si="0"/>
        <v>8</v>
      </c>
      <c r="P4" t="str">
        <f t="shared" si="1"/>
        <v>Agosto</v>
      </c>
      <c r="X4" s="1">
        <v>4</v>
      </c>
      <c r="Y4" s="1" t="s">
        <v>32</v>
      </c>
    </row>
    <row r="5" spans="1:25" hidden="1" x14ac:dyDescent="0.25">
      <c r="C5" t="s">
        <v>17</v>
      </c>
      <c r="D5">
        <v>53052001</v>
      </c>
      <c r="E5" t="s">
        <v>18</v>
      </c>
      <c r="F5" s="4">
        <v>-16359.00577</v>
      </c>
      <c r="G5" t="s">
        <v>33</v>
      </c>
      <c r="H5" s="3">
        <v>45716</v>
      </c>
      <c r="I5" t="s">
        <v>34</v>
      </c>
      <c r="J5" t="s">
        <v>34</v>
      </c>
      <c r="K5" t="s">
        <v>35</v>
      </c>
      <c r="M5" t="s">
        <v>22</v>
      </c>
      <c r="N5">
        <f t="shared" si="2"/>
        <v>2025</v>
      </c>
      <c r="O5">
        <f t="shared" si="0"/>
        <v>2</v>
      </c>
      <c r="P5" t="str">
        <f t="shared" si="1"/>
        <v>Febrero</v>
      </c>
      <c r="X5" s="1">
        <v>5</v>
      </c>
      <c r="Y5" s="1" t="s">
        <v>36</v>
      </c>
    </row>
    <row r="6" spans="1:25" hidden="1" x14ac:dyDescent="0.25">
      <c r="C6" t="s">
        <v>17</v>
      </c>
      <c r="D6">
        <v>53052001</v>
      </c>
      <c r="E6" t="s">
        <v>18</v>
      </c>
      <c r="F6" s="4">
        <v>-53292.995999999999</v>
      </c>
      <c r="G6" t="s">
        <v>33</v>
      </c>
      <c r="H6" s="3">
        <v>45716</v>
      </c>
      <c r="I6" t="s">
        <v>34</v>
      </c>
      <c r="J6" t="s">
        <v>34</v>
      </c>
      <c r="K6" t="s">
        <v>37</v>
      </c>
      <c r="M6" t="s">
        <v>22</v>
      </c>
      <c r="N6">
        <f t="shared" si="2"/>
        <v>2025</v>
      </c>
      <c r="O6">
        <f t="shared" si="0"/>
        <v>2</v>
      </c>
      <c r="P6" t="str">
        <f t="shared" si="1"/>
        <v>Febrero</v>
      </c>
      <c r="X6" s="1">
        <v>6</v>
      </c>
      <c r="Y6" s="1" t="s">
        <v>38</v>
      </c>
    </row>
    <row r="7" spans="1:25" hidden="1" x14ac:dyDescent="0.25">
      <c r="C7" t="s">
        <v>17</v>
      </c>
      <c r="D7">
        <v>53052001</v>
      </c>
      <c r="E7" t="s">
        <v>18</v>
      </c>
      <c r="F7" s="4">
        <v>38</v>
      </c>
      <c r="G7" t="s">
        <v>33</v>
      </c>
      <c r="H7" s="3">
        <v>45716</v>
      </c>
      <c r="I7" t="s">
        <v>34</v>
      </c>
      <c r="J7" t="s">
        <v>34</v>
      </c>
      <c r="K7" t="s">
        <v>31</v>
      </c>
      <c r="M7" t="s">
        <v>22</v>
      </c>
      <c r="N7">
        <f t="shared" si="2"/>
        <v>2025</v>
      </c>
      <c r="O7">
        <f t="shared" si="0"/>
        <v>2</v>
      </c>
      <c r="P7" t="str">
        <f t="shared" si="1"/>
        <v>Febrero</v>
      </c>
      <c r="X7" s="1">
        <v>7</v>
      </c>
      <c r="Y7" s="1" t="s">
        <v>39</v>
      </c>
    </row>
    <row r="8" spans="1:25" hidden="1" x14ac:dyDescent="0.25">
      <c r="C8" t="s">
        <v>17</v>
      </c>
      <c r="D8">
        <v>53052001</v>
      </c>
      <c r="E8" t="s">
        <v>18</v>
      </c>
      <c r="F8" s="4">
        <v>-36393.729979999996</v>
      </c>
      <c r="G8" t="s">
        <v>33</v>
      </c>
      <c r="H8" s="3">
        <v>45716</v>
      </c>
      <c r="I8" t="s">
        <v>34</v>
      </c>
      <c r="J8" t="s">
        <v>34</v>
      </c>
      <c r="K8" t="s">
        <v>27</v>
      </c>
      <c r="M8" t="s">
        <v>22</v>
      </c>
      <c r="N8">
        <f t="shared" si="2"/>
        <v>2025</v>
      </c>
      <c r="O8">
        <f t="shared" si="0"/>
        <v>2</v>
      </c>
      <c r="P8" t="str">
        <f t="shared" si="1"/>
        <v>Febrero</v>
      </c>
      <c r="X8" s="1">
        <v>8</v>
      </c>
      <c r="Y8" s="1" t="s">
        <v>40</v>
      </c>
    </row>
    <row r="9" spans="1:25" hidden="1" x14ac:dyDescent="0.25">
      <c r="C9" t="s">
        <v>17</v>
      </c>
      <c r="D9">
        <v>53052001</v>
      </c>
      <c r="E9" t="s">
        <v>18</v>
      </c>
      <c r="F9" s="4">
        <v>-20879.91473</v>
      </c>
      <c r="G9" t="s">
        <v>33</v>
      </c>
      <c r="H9" s="3">
        <v>45716</v>
      </c>
      <c r="I9" t="s">
        <v>34</v>
      </c>
      <c r="J9" t="s">
        <v>34</v>
      </c>
      <c r="K9" t="s">
        <v>41</v>
      </c>
      <c r="M9" t="s">
        <v>22</v>
      </c>
      <c r="N9">
        <f t="shared" si="2"/>
        <v>2025</v>
      </c>
      <c r="O9">
        <f t="shared" si="0"/>
        <v>2</v>
      </c>
      <c r="P9" t="str">
        <f t="shared" si="1"/>
        <v>Febrero</v>
      </c>
      <c r="X9" s="1">
        <v>9</v>
      </c>
      <c r="Y9" s="1" t="s">
        <v>42</v>
      </c>
    </row>
    <row r="10" spans="1:25" hidden="1" x14ac:dyDescent="0.25">
      <c r="C10" t="s">
        <v>17</v>
      </c>
      <c r="D10">
        <v>53052001</v>
      </c>
      <c r="E10" t="s">
        <v>18</v>
      </c>
      <c r="F10" s="4">
        <v>-62593.468869999997</v>
      </c>
      <c r="G10" t="s">
        <v>33</v>
      </c>
      <c r="H10" s="3">
        <v>45716</v>
      </c>
      <c r="I10" t="s">
        <v>34</v>
      </c>
      <c r="J10" t="s">
        <v>34</v>
      </c>
      <c r="K10" t="s">
        <v>21</v>
      </c>
      <c r="M10" t="s">
        <v>22</v>
      </c>
      <c r="N10">
        <f t="shared" si="2"/>
        <v>2025</v>
      </c>
      <c r="O10">
        <f t="shared" si="0"/>
        <v>2</v>
      </c>
      <c r="P10" t="str">
        <f t="shared" si="1"/>
        <v>Febrero</v>
      </c>
      <c r="X10" s="1">
        <v>10</v>
      </c>
      <c r="Y10" s="1" t="s">
        <v>43</v>
      </c>
    </row>
    <row r="11" spans="1:25" hidden="1" x14ac:dyDescent="0.25">
      <c r="C11" t="s">
        <v>17</v>
      </c>
      <c r="D11">
        <v>53052001</v>
      </c>
      <c r="E11" t="s">
        <v>18</v>
      </c>
      <c r="F11" s="5">
        <v>14588.456749999999</v>
      </c>
      <c r="G11" s="6" t="s">
        <v>44</v>
      </c>
      <c r="H11" s="7">
        <v>45859</v>
      </c>
      <c r="I11" s="6" t="s">
        <v>45</v>
      </c>
      <c r="J11" s="6" t="s">
        <v>45</v>
      </c>
      <c r="K11" s="6" t="s">
        <v>46</v>
      </c>
      <c r="L11" s="6" t="s">
        <v>47</v>
      </c>
      <c r="M11" t="s">
        <v>22</v>
      </c>
      <c r="N11">
        <f t="shared" si="2"/>
        <v>2025</v>
      </c>
      <c r="O11">
        <f t="shared" si="0"/>
        <v>7</v>
      </c>
      <c r="P11" t="str">
        <f t="shared" si="1"/>
        <v>Julio</v>
      </c>
      <c r="X11" s="1">
        <v>11</v>
      </c>
      <c r="Y11" s="1" t="s">
        <v>48</v>
      </c>
    </row>
    <row r="12" spans="1:25" hidden="1" x14ac:dyDescent="0.25">
      <c r="C12" t="s">
        <v>17</v>
      </c>
      <c r="D12">
        <v>53052001</v>
      </c>
      <c r="E12" t="s">
        <v>18</v>
      </c>
      <c r="F12" s="4">
        <v>16336.519</v>
      </c>
      <c r="G12" t="s">
        <v>49</v>
      </c>
      <c r="H12" s="3">
        <v>45716</v>
      </c>
      <c r="I12" t="s">
        <v>50</v>
      </c>
      <c r="J12" t="s">
        <v>50</v>
      </c>
      <c r="K12" t="s">
        <v>51</v>
      </c>
      <c r="M12" t="s">
        <v>22</v>
      </c>
      <c r="N12">
        <f t="shared" si="2"/>
        <v>2025</v>
      </c>
      <c r="O12">
        <f t="shared" si="0"/>
        <v>2</v>
      </c>
      <c r="P12" t="str">
        <f t="shared" si="1"/>
        <v>Febrero</v>
      </c>
      <c r="X12" s="1">
        <v>12</v>
      </c>
      <c r="Y12" s="1" t="s">
        <v>52</v>
      </c>
    </row>
    <row r="13" spans="1:25" hidden="1" x14ac:dyDescent="0.25">
      <c r="C13" t="s">
        <v>17</v>
      </c>
      <c r="D13">
        <v>53052001</v>
      </c>
      <c r="E13" t="s">
        <v>18</v>
      </c>
      <c r="F13">
        <v>16336.519</v>
      </c>
      <c r="G13" t="s">
        <v>53</v>
      </c>
      <c r="H13" s="3">
        <v>45808</v>
      </c>
      <c r="I13" t="s">
        <v>54</v>
      </c>
      <c r="J13" t="s">
        <v>54</v>
      </c>
      <c r="K13" t="s">
        <v>51</v>
      </c>
      <c r="N13">
        <f t="shared" si="2"/>
        <v>2025</v>
      </c>
      <c r="O13">
        <f t="shared" si="0"/>
        <v>5</v>
      </c>
      <c r="P13" t="str">
        <f t="shared" si="1"/>
        <v>Mayo</v>
      </c>
    </row>
    <row r="14" spans="1:25" hidden="1" x14ac:dyDescent="0.25">
      <c r="C14" t="s">
        <v>17</v>
      </c>
      <c r="D14">
        <v>53052001</v>
      </c>
      <c r="E14" t="s">
        <v>18</v>
      </c>
      <c r="F14" s="4">
        <v>75244.332709999988</v>
      </c>
      <c r="G14" t="s">
        <v>55</v>
      </c>
      <c r="H14" s="3">
        <v>45687</v>
      </c>
      <c r="I14" t="s">
        <v>56</v>
      </c>
      <c r="J14" t="s">
        <v>56</v>
      </c>
      <c r="K14" t="s">
        <v>57</v>
      </c>
      <c r="M14" t="s">
        <v>22</v>
      </c>
      <c r="N14">
        <f t="shared" si="2"/>
        <v>2025</v>
      </c>
      <c r="O14">
        <f t="shared" si="0"/>
        <v>1</v>
      </c>
      <c r="P14" t="str">
        <f t="shared" si="1"/>
        <v>Enero</v>
      </c>
    </row>
    <row r="15" spans="1:25" hidden="1" x14ac:dyDescent="0.25">
      <c r="C15" t="s">
        <v>17</v>
      </c>
      <c r="D15">
        <v>53052001</v>
      </c>
      <c r="E15" t="s">
        <v>18</v>
      </c>
      <c r="F15">
        <v>128851.45076000001</v>
      </c>
      <c r="G15" t="s">
        <v>58</v>
      </c>
      <c r="H15" s="3">
        <v>45772</v>
      </c>
      <c r="I15" t="s">
        <v>59</v>
      </c>
      <c r="J15" t="s">
        <v>59</v>
      </c>
      <c r="K15" t="s">
        <v>60</v>
      </c>
      <c r="M15" t="s">
        <v>22</v>
      </c>
      <c r="N15">
        <f t="shared" si="2"/>
        <v>2025</v>
      </c>
      <c r="O15">
        <f t="shared" si="0"/>
        <v>4</v>
      </c>
      <c r="P15" t="str">
        <f t="shared" si="1"/>
        <v>Abril</v>
      </c>
    </row>
    <row r="16" spans="1:25" hidden="1" x14ac:dyDescent="0.25">
      <c r="C16" t="s">
        <v>17</v>
      </c>
      <c r="D16">
        <v>53052001</v>
      </c>
      <c r="E16" t="s">
        <v>18</v>
      </c>
      <c r="F16">
        <v>17688.532999999999</v>
      </c>
      <c r="G16" t="s">
        <v>61</v>
      </c>
      <c r="H16" s="3">
        <v>45772</v>
      </c>
      <c r="I16" t="s">
        <v>59</v>
      </c>
      <c r="J16" t="s">
        <v>59</v>
      </c>
      <c r="K16" t="s">
        <v>60</v>
      </c>
      <c r="M16" t="s">
        <v>22</v>
      </c>
      <c r="N16">
        <f t="shared" si="2"/>
        <v>2025</v>
      </c>
      <c r="O16">
        <f t="shared" si="0"/>
        <v>4</v>
      </c>
      <c r="P16" t="str">
        <f t="shared" si="1"/>
        <v>Abril</v>
      </c>
    </row>
    <row r="17" spans="3:16" hidden="1" x14ac:dyDescent="0.25">
      <c r="C17" t="s">
        <v>17</v>
      </c>
      <c r="D17">
        <v>53052001</v>
      </c>
      <c r="E17" t="s">
        <v>18</v>
      </c>
      <c r="F17">
        <v>74974.33329000001</v>
      </c>
      <c r="G17" t="s">
        <v>62</v>
      </c>
      <c r="H17" s="3">
        <v>45777</v>
      </c>
      <c r="I17" t="s">
        <v>59</v>
      </c>
      <c r="J17" t="s">
        <v>59</v>
      </c>
      <c r="K17" t="s">
        <v>57</v>
      </c>
      <c r="M17" t="s">
        <v>22</v>
      </c>
      <c r="N17">
        <f t="shared" si="2"/>
        <v>2025</v>
      </c>
      <c r="O17">
        <f t="shared" si="0"/>
        <v>4</v>
      </c>
      <c r="P17" t="str">
        <f t="shared" si="1"/>
        <v>Abril</v>
      </c>
    </row>
    <row r="18" spans="3:16" hidden="1" x14ac:dyDescent="0.25">
      <c r="C18" t="s">
        <v>17</v>
      </c>
      <c r="D18">
        <v>53052001</v>
      </c>
      <c r="E18" t="s">
        <v>18</v>
      </c>
      <c r="F18">
        <v>16336.519</v>
      </c>
      <c r="G18" t="s">
        <v>63</v>
      </c>
      <c r="H18" s="3">
        <v>45777</v>
      </c>
      <c r="I18" t="s">
        <v>59</v>
      </c>
      <c r="J18" t="s">
        <v>59</v>
      </c>
      <c r="K18" t="s">
        <v>51</v>
      </c>
      <c r="M18" t="s">
        <v>22</v>
      </c>
      <c r="N18">
        <f t="shared" si="2"/>
        <v>2025</v>
      </c>
      <c r="O18">
        <f t="shared" si="0"/>
        <v>4</v>
      </c>
      <c r="P18" t="str">
        <f t="shared" si="1"/>
        <v>Abril</v>
      </c>
    </row>
    <row r="19" spans="3:16" hidden="1" x14ac:dyDescent="0.25">
      <c r="C19" t="s">
        <v>17</v>
      </c>
      <c r="D19">
        <v>53052001</v>
      </c>
      <c r="E19" t="s">
        <v>18</v>
      </c>
      <c r="F19">
        <v>16133.837</v>
      </c>
      <c r="G19" t="s">
        <v>64</v>
      </c>
      <c r="H19" s="3">
        <v>45777</v>
      </c>
      <c r="I19" t="s">
        <v>59</v>
      </c>
      <c r="J19" t="s">
        <v>59</v>
      </c>
      <c r="K19" t="s">
        <v>46</v>
      </c>
      <c r="M19" t="s">
        <v>22</v>
      </c>
      <c r="N19">
        <f t="shared" si="2"/>
        <v>2025</v>
      </c>
      <c r="O19">
        <f t="shared" si="0"/>
        <v>4</v>
      </c>
      <c r="P19" t="str">
        <f t="shared" si="1"/>
        <v>Abril</v>
      </c>
    </row>
    <row r="20" spans="3:16" hidden="1" x14ac:dyDescent="0.25">
      <c r="C20" t="s">
        <v>17</v>
      </c>
      <c r="D20">
        <v>53052001</v>
      </c>
      <c r="E20" t="s">
        <v>18</v>
      </c>
      <c r="F20">
        <v>5.0000000000000001E-3</v>
      </c>
      <c r="G20" t="s">
        <v>65</v>
      </c>
      <c r="H20" s="3">
        <v>45777</v>
      </c>
      <c r="I20" t="s">
        <v>59</v>
      </c>
      <c r="J20" t="s">
        <v>59</v>
      </c>
      <c r="K20" t="s">
        <v>46</v>
      </c>
      <c r="M20" t="s">
        <v>22</v>
      </c>
      <c r="N20">
        <f t="shared" si="2"/>
        <v>2025</v>
      </c>
      <c r="O20">
        <f t="shared" si="0"/>
        <v>4</v>
      </c>
      <c r="P20" t="str">
        <f t="shared" si="1"/>
        <v>Abril</v>
      </c>
    </row>
    <row r="21" spans="3:16" hidden="1" x14ac:dyDescent="0.25">
      <c r="C21" t="s">
        <v>17</v>
      </c>
      <c r="D21">
        <v>53052001</v>
      </c>
      <c r="E21" t="s">
        <v>18</v>
      </c>
      <c r="F21">
        <v>8612.9159999999993</v>
      </c>
      <c r="G21" t="s">
        <v>66</v>
      </c>
      <c r="H21" s="3">
        <v>45804</v>
      </c>
      <c r="I21" t="s">
        <v>67</v>
      </c>
      <c r="J21" t="s">
        <v>68</v>
      </c>
      <c r="K21" t="s">
        <v>69</v>
      </c>
      <c r="N21">
        <f t="shared" si="2"/>
        <v>2025</v>
      </c>
      <c r="O21">
        <f t="shared" si="0"/>
        <v>5</v>
      </c>
      <c r="P21" t="str">
        <f t="shared" si="1"/>
        <v>Mayo</v>
      </c>
    </row>
    <row r="22" spans="3:16" hidden="1" x14ac:dyDescent="0.25">
      <c r="C22" t="s">
        <v>17</v>
      </c>
      <c r="D22">
        <v>53052001</v>
      </c>
      <c r="E22" t="s">
        <v>18</v>
      </c>
      <c r="F22" s="4">
        <v>8169.8</v>
      </c>
      <c r="G22" t="s">
        <v>70</v>
      </c>
      <c r="H22" s="3">
        <v>45827</v>
      </c>
      <c r="I22" t="s">
        <v>71</v>
      </c>
      <c r="J22" t="s">
        <v>71</v>
      </c>
      <c r="K22" t="s">
        <v>60</v>
      </c>
      <c r="N22">
        <f t="shared" si="2"/>
        <v>2025</v>
      </c>
      <c r="O22">
        <f t="shared" si="0"/>
        <v>6</v>
      </c>
      <c r="P22" t="str">
        <f t="shared" si="1"/>
        <v>Junio</v>
      </c>
    </row>
    <row r="23" spans="3:16" hidden="1" x14ac:dyDescent="0.25">
      <c r="C23" t="s">
        <v>17</v>
      </c>
      <c r="D23">
        <v>53052001</v>
      </c>
      <c r="E23" t="s">
        <v>18</v>
      </c>
      <c r="F23" s="4">
        <v>75244.33329000001</v>
      </c>
      <c r="G23" t="s">
        <v>72</v>
      </c>
      <c r="H23" s="3">
        <v>45743</v>
      </c>
      <c r="I23" t="s">
        <v>73</v>
      </c>
      <c r="J23" t="s">
        <v>73</v>
      </c>
      <c r="K23" t="s">
        <v>57</v>
      </c>
      <c r="M23" t="s">
        <v>22</v>
      </c>
      <c r="N23">
        <f t="shared" si="2"/>
        <v>2025</v>
      </c>
      <c r="O23">
        <f t="shared" si="0"/>
        <v>3</v>
      </c>
      <c r="P23" t="str">
        <f t="shared" si="1"/>
        <v>Marzo</v>
      </c>
    </row>
    <row r="24" spans="3:16" hidden="1" x14ac:dyDescent="0.25">
      <c r="C24" t="s">
        <v>17</v>
      </c>
      <c r="D24">
        <v>53052001</v>
      </c>
      <c r="E24" t="s">
        <v>18</v>
      </c>
      <c r="F24">
        <v>15363.984</v>
      </c>
      <c r="G24" t="s">
        <v>74</v>
      </c>
      <c r="H24" s="3">
        <v>45804</v>
      </c>
      <c r="I24" t="s">
        <v>68</v>
      </c>
      <c r="J24" t="s">
        <v>68</v>
      </c>
      <c r="K24" t="s">
        <v>46</v>
      </c>
      <c r="N24">
        <f t="shared" si="2"/>
        <v>2025</v>
      </c>
      <c r="O24">
        <f t="shared" si="0"/>
        <v>5</v>
      </c>
      <c r="P24" t="str">
        <f t="shared" si="1"/>
        <v>Mayo</v>
      </c>
    </row>
    <row r="25" spans="3:16" hidden="1" x14ac:dyDescent="0.25">
      <c r="C25" t="s">
        <v>17</v>
      </c>
      <c r="D25">
        <v>53052001</v>
      </c>
      <c r="E25" t="s">
        <v>18</v>
      </c>
      <c r="F25">
        <v>75244.33329000001</v>
      </c>
      <c r="G25" t="s">
        <v>75</v>
      </c>
      <c r="H25" s="3">
        <v>45804</v>
      </c>
      <c r="I25" t="s">
        <v>68</v>
      </c>
      <c r="J25" t="s">
        <v>68</v>
      </c>
      <c r="K25" t="s">
        <v>57</v>
      </c>
      <c r="N25">
        <f t="shared" si="2"/>
        <v>2025</v>
      </c>
      <c r="O25">
        <f t="shared" si="0"/>
        <v>5</v>
      </c>
      <c r="P25" t="str">
        <f t="shared" si="1"/>
        <v>Mayo</v>
      </c>
    </row>
    <row r="26" spans="3:16" hidden="1" x14ac:dyDescent="0.25">
      <c r="C26" t="s">
        <v>17</v>
      </c>
      <c r="D26">
        <v>53052001</v>
      </c>
      <c r="E26" t="s">
        <v>18</v>
      </c>
      <c r="F26" s="4">
        <v>16336.519</v>
      </c>
      <c r="G26" t="s">
        <v>76</v>
      </c>
      <c r="H26" s="3">
        <v>45838</v>
      </c>
      <c r="I26" t="s">
        <v>77</v>
      </c>
      <c r="J26" t="s">
        <v>77</v>
      </c>
      <c r="K26" t="s">
        <v>51</v>
      </c>
      <c r="N26">
        <f t="shared" si="2"/>
        <v>2025</v>
      </c>
      <c r="O26">
        <f t="shared" si="0"/>
        <v>6</v>
      </c>
      <c r="P26" t="str">
        <f t="shared" si="1"/>
        <v>Junio</v>
      </c>
    </row>
    <row r="27" spans="3:16" hidden="1" x14ac:dyDescent="0.25">
      <c r="C27" t="s">
        <v>17</v>
      </c>
      <c r="D27">
        <v>53052001</v>
      </c>
      <c r="E27" t="s">
        <v>18</v>
      </c>
      <c r="F27" s="4">
        <v>147172.79413999998</v>
      </c>
      <c r="G27" t="s">
        <v>78</v>
      </c>
      <c r="H27" s="3">
        <v>45741</v>
      </c>
      <c r="I27" t="s">
        <v>79</v>
      </c>
      <c r="J27" t="s">
        <v>79</v>
      </c>
      <c r="K27" t="s">
        <v>60</v>
      </c>
      <c r="M27" t="s">
        <v>22</v>
      </c>
      <c r="N27">
        <f t="shared" si="2"/>
        <v>2025</v>
      </c>
      <c r="O27">
        <f t="shared" si="0"/>
        <v>3</v>
      </c>
      <c r="P27" t="str">
        <f t="shared" si="1"/>
        <v>Marzo</v>
      </c>
    </row>
    <row r="28" spans="3:16" hidden="1" x14ac:dyDescent="0.25">
      <c r="C28" t="s">
        <v>17</v>
      </c>
      <c r="D28">
        <v>53052001</v>
      </c>
      <c r="E28" t="s">
        <v>18</v>
      </c>
      <c r="F28" s="4">
        <v>16336.519</v>
      </c>
      <c r="G28" t="s">
        <v>80</v>
      </c>
      <c r="H28" s="3">
        <v>45747</v>
      </c>
      <c r="I28" t="s">
        <v>79</v>
      </c>
      <c r="J28" t="s">
        <v>79</v>
      </c>
      <c r="K28" t="s">
        <v>51</v>
      </c>
      <c r="M28" t="s">
        <v>22</v>
      </c>
      <c r="N28">
        <f t="shared" si="2"/>
        <v>2025</v>
      </c>
      <c r="O28">
        <f t="shared" si="0"/>
        <v>3</v>
      </c>
      <c r="P28" t="str">
        <f t="shared" si="1"/>
        <v>Marzo</v>
      </c>
    </row>
    <row r="29" spans="3:16" hidden="1" x14ac:dyDescent="0.25">
      <c r="C29" t="s">
        <v>17</v>
      </c>
      <c r="D29">
        <v>53052001</v>
      </c>
      <c r="E29" t="s">
        <v>18</v>
      </c>
      <c r="F29">
        <v>270</v>
      </c>
      <c r="G29" t="s">
        <v>81</v>
      </c>
      <c r="H29" s="3">
        <v>45777</v>
      </c>
      <c r="I29" t="s">
        <v>82</v>
      </c>
      <c r="J29" t="s">
        <v>82</v>
      </c>
      <c r="K29" t="s">
        <v>57</v>
      </c>
      <c r="M29" t="s">
        <v>22</v>
      </c>
      <c r="N29">
        <f t="shared" si="2"/>
        <v>2025</v>
      </c>
      <c r="O29">
        <f t="shared" si="0"/>
        <v>4</v>
      </c>
      <c r="P29" t="str">
        <f t="shared" si="1"/>
        <v>Abril</v>
      </c>
    </row>
    <row r="30" spans="3:16" hidden="1" x14ac:dyDescent="0.25">
      <c r="C30" t="s">
        <v>17</v>
      </c>
      <c r="D30">
        <v>53052001</v>
      </c>
      <c r="E30" t="s">
        <v>18</v>
      </c>
      <c r="F30" s="4">
        <v>12440.962</v>
      </c>
      <c r="G30" t="s">
        <v>83</v>
      </c>
      <c r="H30" s="3">
        <v>45900</v>
      </c>
      <c r="I30" t="s">
        <v>84</v>
      </c>
      <c r="J30" t="s">
        <v>84</v>
      </c>
      <c r="K30" t="s">
        <v>27</v>
      </c>
      <c r="N30">
        <f t="shared" si="2"/>
        <v>2025</v>
      </c>
      <c r="O30">
        <f t="shared" si="0"/>
        <v>8</v>
      </c>
      <c r="P30" t="str">
        <f t="shared" si="1"/>
        <v>Agosto</v>
      </c>
    </row>
    <row r="31" spans="3:16" hidden="1" x14ac:dyDescent="0.25">
      <c r="C31" t="s">
        <v>17</v>
      </c>
      <c r="D31">
        <v>53052001</v>
      </c>
      <c r="E31" t="s">
        <v>18</v>
      </c>
      <c r="F31" s="4">
        <v>17279.177</v>
      </c>
      <c r="G31" t="s">
        <v>83</v>
      </c>
      <c r="H31" s="3">
        <v>45900</v>
      </c>
      <c r="I31" t="s">
        <v>84</v>
      </c>
      <c r="J31" t="s">
        <v>84</v>
      </c>
      <c r="K31" t="s">
        <v>69</v>
      </c>
      <c r="N31">
        <f t="shared" si="2"/>
        <v>2025</v>
      </c>
      <c r="O31">
        <f t="shared" si="0"/>
        <v>8</v>
      </c>
      <c r="P31" t="str">
        <f t="shared" si="1"/>
        <v>Agosto</v>
      </c>
    </row>
    <row r="32" spans="3:16" hidden="1" x14ac:dyDescent="0.25">
      <c r="C32" t="s">
        <v>17</v>
      </c>
      <c r="D32">
        <v>53052001</v>
      </c>
      <c r="E32" t="s">
        <v>18</v>
      </c>
      <c r="F32" s="4">
        <v>7459.2</v>
      </c>
      <c r="G32" t="s">
        <v>83</v>
      </c>
      <c r="H32" s="3">
        <v>45900</v>
      </c>
      <c r="I32" t="s">
        <v>84</v>
      </c>
      <c r="J32" t="s">
        <v>84</v>
      </c>
      <c r="K32" t="s">
        <v>21</v>
      </c>
      <c r="N32">
        <f t="shared" si="2"/>
        <v>2025</v>
      </c>
      <c r="O32">
        <f t="shared" si="0"/>
        <v>8</v>
      </c>
      <c r="P32" t="str">
        <f t="shared" si="1"/>
        <v>Agosto</v>
      </c>
    </row>
    <row r="33" spans="3:16" hidden="1" x14ac:dyDescent="0.25">
      <c r="C33" t="s">
        <v>17</v>
      </c>
      <c r="D33">
        <v>53052001</v>
      </c>
      <c r="E33" t="s">
        <v>18</v>
      </c>
      <c r="F33" s="4">
        <v>17279.177</v>
      </c>
      <c r="G33" t="s">
        <v>85</v>
      </c>
      <c r="H33" s="3">
        <v>45869</v>
      </c>
      <c r="I33" t="s">
        <v>86</v>
      </c>
      <c r="J33" t="s">
        <v>86</v>
      </c>
      <c r="K33" t="s">
        <v>69</v>
      </c>
      <c r="M33" t="s">
        <v>22</v>
      </c>
      <c r="N33">
        <f t="shared" si="2"/>
        <v>2025</v>
      </c>
      <c r="O33">
        <f t="shared" si="0"/>
        <v>7</v>
      </c>
      <c r="P33" t="str">
        <f t="shared" si="1"/>
        <v>Julio</v>
      </c>
    </row>
    <row r="34" spans="3:16" hidden="1" x14ac:dyDescent="0.25">
      <c r="C34" t="s">
        <v>17</v>
      </c>
      <c r="D34">
        <v>53052001</v>
      </c>
      <c r="E34" t="s">
        <v>18</v>
      </c>
      <c r="F34" s="4">
        <v>16280.971</v>
      </c>
      <c r="G34" t="s">
        <v>87</v>
      </c>
      <c r="H34" s="3">
        <v>45712</v>
      </c>
      <c r="I34" t="s">
        <v>88</v>
      </c>
      <c r="J34" t="s">
        <v>88</v>
      </c>
      <c r="K34" t="s">
        <v>46</v>
      </c>
      <c r="M34" t="s">
        <v>22</v>
      </c>
      <c r="N34">
        <f t="shared" si="2"/>
        <v>2025</v>
      </c>
      <c r="O34">
        <f t="shared" si="0"/>
        <v>2</v>
      </c>
      <c r="P34" t="str">
        <f t="shared" si="1"/>
        <v>Febrero</v>
      </c>
    </row>
    <row r="35" spans="3:16" hidden="1" x14ac:dyDescent="0.25">
      <c r="C35" t="s">
        <v>17</v>
      </c>
      <c r="D35">
        <v>53052001</v>
      </c>
      <c r="E35" t="s">
        <v>18</v>
      </c>
      <c r="F35">
        <v>8603.2479999999996</v>
      </c>
      <c r="G35" t="s">
        <v>89</v>
      </c>
      <c r="H35" s="3">
        <v>45777</v>
      </c>
      <c r="I35" t="s">
        <v>90</v>
      </c>
      <c r="J35" t="s">
        <v>90</v>
      </c>
      <c r="K35" t="s">
        <v>69</v>
      </c>
      <c r="M35" t="s">
        <v>22</v>
      </c>
      <c r="N35">
        <f t="shared" si="2"/>
        <v>2025</v>
      </c>
      <c r="O35">
        <f t="shared" si="0"/>
        <v>4</v>
      </c>
      <c r="P35" t="str">
        <f t="shared" si="1"/>
        <v>Abril</v>
      </c>
    </row>
    <row r="36" spans="3:16" hidden="1" x14ac:dyDescent="0.25">
      <c r="C36" t="s">
        <v>17</v>
      </c>
      <c r="D36">
        <v>53052001</v>
      </c>
      <c r="E36" t="s">
        <v>18</v>
      </c>
      <c r="F36" s="4">
        <v>16133.839</v>
      </c>
      <c r="G36" t="s">
        <v>91</v>
      </c>
      <c r="H36" s="3">
        <v>45681</v>
      </c>
      <c r="I36" t="s">
        <v>92</v>
      </c>
      <c r="J36" t="s">
        <v>92</v>
      </c>
      <c r="K36" t="s">
        <v>46</v>
      </c>
      <c r="M36" t="s">
        <v>93</v>
      </c>
      <c r="N36">
        <f t="shared" si="2"/>
        <v>2025</v>
      </c>
      <c r="O36">
        <f t="shared" si="0"/>
        <v>1</v>
      </c>
      <c r="P36" t="str">
        <f t="shared" si="1"/>
        <v>Enero</v>
      </c>
    </row>
    <row r="37" spans="3:16" hidden="1" x14ac:dyDescent="0.25">
      <c r="C37" t="s">
        <v>17</v>
      </c>
      <c r="D37">
        <v>53052001</v>
      </c>
      <c r="E37" t="s">
        <v>18</v>
      </c>
      <c r="F37" s="4">
        <v>5576.4870000000001</v>
      </c>
      <c r="G37" t="s">
        <v>94</v>
      </c>
      <c r="H37" s="3">
        <v>45866</v>
      </c>
      <c r="I37" t="s">
        <v>95</v>
      </c>
      <c r="J37" t="s">
        <v>95</v>
      </c>
      <c r="K37" t="s">
        <v>60</v>
      </c>
      <c r="M37" t="s">
        <v>22</v>
      </c>
      <c r="N37">
        <f t="shared" si="2"/>
        <v>2025</v>
      </c>
      <c r="O37">
        <f t="shared" si="0"/>
        <v>7</v>
      </c>
      <c r="P37" t="str">
        <f t="shared" si="1"/>
        <v>Julio</v>
      </c>
    </row>
    <row r="38" spans="3:16" hidden="1" x14ac:dyDescent="0.25">
      <c r="C38" t="s">
        <v>17</v>
      </c>
      <c r="D38">
        <v>53052001</v>
      </c>
      <c r="E38" t="s">
        <v>18</v>
      </c>
      <c r="F38" s="4">
        <v>8658.7579999999998</v>
      </c>
      <c r="G38" t="s">
        <v>96</v>
      </c>
      <c r="H38" s="3">
        <v>45744</v>
      </c>
      <c r="I38" t="s">
        <v>97</v>
      </c>
      <c r="J38" t="s">
        <v>97</v>
      </c>
      <c r="K38" t="s">
        <v>69</v>
      </c>
      <c r="M38" t="s">
        <v>22</v>
      </c>
      <c r="N38">
        <f t="shared" si="2"/>
        <v>2025</v>
      </c>
      <c r="O38">
        <f t="shared" si="0"/>
        <v>3</v>
      </c>
      <c r="P38" t="str">
        <f t="shared" si="1"/>
        <v>Marzo</v>
      </c>
    </row>
    <row r="39" spans="3:16" hidden="1" x14ac:dyDescent="0.25">
      <c r="C39" t="s">
        <v>17</v>
      </c>
      <c r="D39">
        <v>53052001</v>
      </c>
      <c r="E39" t="s">
        <v>18</v>
      </c>
      <c r="F39" s="4">
        <v>75244.332709999988</v>
      </c>
      <c r="G39" t="s">
        <v>98</v>
      </c>
      <c r="H39" s="3">
        <v>45712</v>
      </c>
      <c r="I39" t="s">
        <v>99</v>
      </c>
      <c r="J39" t="s">
        <v>99</v>
      </c>
      <c r="K39" t="s">
        <v>57</v>
      </c>
      <c r="M39" t="s">
        <v>22</v>
      </c>
      <c r="N39">
        <f t="shared" si="2"/>
        <v>2025</v>
      </c>
      <c r="O39">
        <f t="shared" si="0"/>
        <v>2</v>
      </c>
      <c r="P39" t="str">
        <f t="shared" si="1"/>
        <v>Febrero</v>
      </c>
    </row>
    <row r="40" spans="3:16" hidden="1" x14ac:dyDescent="0.25">
      <c r="C40" t="s">
        <v>17</v>
      </c>
      <c r="D40">
        <v>53052001</v>
      </c>
      <c r="E40" t="s">
        <v>18</v>
      </c>
      <c r="F40">
        <v>33555.32</v>
      </c>
      <c r="G40" t="s">
        <v>100</v>
      </c>
      <c r="H40" s="3">
        <v>45775</v>
      </c>
      <c r="I40" t="s">
        <v>101</v>
      </c>
      <c r="J40" t="s">
        <v>101</v>
      </c>
      <c r="K40" t="s">
        <v>21</v>
      </c>
      <c r="M40" t="s">
        <v>22</v>
      </c>
      <c r="N40">
        <f t="shared" si="2"/>
        <v>2025</v>
      </c>
      <c r="O40">
        <f t="shared" si="0"/>
        <v>4</v>
      </c>
      <c r="P40" t="str">
        <f t="shared" si="1"/>
        <v>Abril</v>
      </c>
    </row>
    <row r="41" spans="3:16" hidden="1" x14ac:dyDescent="0.25">
      <c r="C41" t="s">
        <v>17</v>
      </c>
      <c r="D41">
        <v>53052001</v>
      </c>
      <c r="E41" t="s">
        <v>18</v>
      </c>
      <c r="F41" s="4">
        <v>140770.66099999999</v>
      </c>
      <c r="G41" t="s">
        <v>102</v>
      </c>
      <c r="H41" s="3">
        <v>45894</v>
      </c>
      <c r="I41" t="s">
        <v>103</v>
      </c>
      <c r="J41" t="s">
        <v>103</v>
      </c>
      <c r="K41" t="s">
        <v>60</v>
      </c>
      <c r="N41">
        <f t="shared" si="2"/>
        <v>2025</v>
      </c>
      <c r="O41">
        <f t="shared" si="0"/>
        <v>8</v>
      </c>
      <c r="P41" t="str">
        <f t="shared" si="1"/>
        <v>Agosto</v>
      </c>
    </row>
    <row r="42" spans="3:16" hidden="1" x14ac:dyDescent="0.25">
      <c r="C42" t="s">
        <v>17</v>
      </c>
      <c r="D42">
        <v>53052001</v>
      </c>
      <c r="E42" t="s">
        <v>18</v>
      </c>
      <c r="F42" s="4">
        <v>14022.279</v>
      </c>
      <c r="G42" t="s">
        <v>104</v>
      </c>
      <c r="H42" s="3">
        <v>45896</v>
      </c>
      <c r="I42" t="s">
        <v>103</v>
      </c>
      <c r="J42" t="s">
        <v>103</v>
      </c>
      <c r="K42" t="s">
        <v>46</v>
      </c>
      <c r="N42">
        <f t="shared" si="2"/>
        <v>2025</v>
      </c>
      <c r="O42">
        <f t="shared" si="0"/>
        <v>8</v>
      </c>
      <c r="P42" t="str">
        <f t="shared" si="1"/>
        <v>Agosto</v>
      </c>
    </row>
    <row r="43" spans="3:16" hidden="1" x14ac:dyDescent="0.25">
      <c r="C43" t="s">
        <v>17</v>
      </c>
      <c r="D43">
        <v>53052001</v>
      </c>
      <c r="E43" t="s">
        <v>18</v>
      </c>
      <c r="F43" s="4">
        <v>8294.3809999999994</v>
      </c>
      <c r="G43" t="s">
        <v>105</v>
      </c>
      <c r="H43" s="3">
        <v>45897</v>
      </c>
      <c r="I43" t="s">
        <v>103</v>
      </c>
      <c r="J43" t="s">
        <v>103</v>
      </c>
      <c r="K43" t="s">
        <v>69</v>
      </c>
      <c r="N43">
        <f t="shared" si="2"/>
        <v>2025</v>
      </c>
      <c r="O43">
        <f t="shared" si="0"/>
        <v>8</v>
      </c>
      <c r="P43" t="str">
        <f t="shared" si="1"/>
        <v>Agosto</v>
      </c>
    </row>
    <row r="44" spans="3:16" hidden="1" x14ac:dyDescent="0.25">
      <c r="C44" t="s">
        <v>17</v>
      </c>
      <c r="D44">
        <v>53052001</v>
      </c>
      <c r="E44" t="s">
        <v>18</v>
      </c>
      <c r="F44" s="4">
        <v>61299.004289999997</v>
      </c>
      <c r="G44" t="s">
        <v>106</v>
      </c>
      <c r="H44" s="3">
        <v>45900</v>
      </c>
      <c r="I44" t="s">
        <v>103</v>
      </c>
      <c r="J44" t="s">
        <v>103</v>
      </c>
      <c r="K44" t="s">
        <v>57</v>
      </c>
      <c r="N44">
        <f t="shared" si="2"/>
        <v>2025</v>
      </c>
      <c r="O44">
        <f t="shared" si="0"/>
        <v>8</v>
      </c>
      <c r="P44" t="str">
        <f t="shared" si="1"/>
        <v>Agosto</v>
      </c>
    </row>
    <row r="45" spans="3:16" hidden="1" x14ac:dyDescent="0.25">
      <c r="C45" t="s">
        <v>17</v>
      </c>
      <c r="D45">
        <v>53052001</v>
      </c>
      <c r="E45" t="s">
        <v>18</v>
      </c>
      <c r="F45" s="4">
        <v>33555.32</v>
      </c>
      <c r="G45" t="s">
        <v>107</v>
      </c>
      <c r="H45" s="3">
        <v>45900</v>
      </c>
      <c r="I45" t="s">
        <v>103</v>
      </c>
      <c r="J45" t="s">
        <v>103</v>
      </c>
      <c r="K45" t="s">
        <v>21</v>
      </c>
      <c r="N45">
        <f t="shared" si="2"/>
        <v>2025</v>
      </c>
      <c r="O45">
        <f t="shared" si="0"/>
        <v>8</v>
      </c>
      <c r="P45" t="str">
        <f t="shared" si="1"/>
        <v>Agosto</v>
      </c>
    </row>
    <row r="46" spans="3:16" hidden="1" x14ac:dyDescent="0.25">
      <c r="C46" t="s">
        <v>17</v>
      </c>
      <c r="D46">
        <v>53052001</v>
      </c>
      <c r="E46" t="s">
        <v>18</v>
      </c>
      <c r="F46" s="4">
        <v>16336.519</v>
      </c>
      <c r="G46" t="s">
        <v>108</v>
      </c>
      <c r="H46" s="3">
        <v>45900</v>
      </c>
      <c r="I46" t="s">
        <v>103</v>
      </c>
      <c r="J46" t="s">
        <v>103</v>
      </c>
      <c r="K46" t="s">
        <v>51</v>
      </c>
      <c r="N46">
        <f t="shared" si="2"/>
        <v>2025</v>
      </c>
      <c r="O46">
        <f t="shared" si="0"/>
        <v>8</v>
      </c>
      <c r="P46" t="str">
        <f t="shared" si="1"/>
        <v>Agosto</v>
      </c>
    </row>
    <row r="47" spans="3:16" hidden="1" x14ac:dyDescent="0.25">
      <c r="C47" t="s">
        <v>17</v>
      </c>
      <c r="D47">
        <v>53052001</v>
      </c>
      <c r="E47" t="s">
        <v>18</v>
      </c>
      <c r="F47" s="4">
        <v>1939.9807599999999</v>
      </c>
      <c r="G47" t="s">
        <v>109</v>
      </c>
      <c r="H47" s="3">
        <v>45894</v>
      </c>
      <c r="I47" t="s">
        <v>110</v>
      </c>
      <c r="J47" t="s">
        <v>110</v>
      </c>
      <c r="K47" t="s">
        <v>60</v>
      </c>
      <c r="N47">
        <f t="shared" si="2"/>
        <v>2025</v>
      </c>
      <c r="O47">
        <f t="shared" si="0"/>
        <v>8</v>
      </c>
      <c r="P47" t="str">
        <f t="shared" si="1"/>
        <v>Agosto</v>
      </c>
    </row>
    <row r="48" spans="3:16" hidden="1" x14ac:dyDescent="0.25">
      <c r="C48" t="s">
        <v>17</v>
      </c>
      <c r="D48">
        <v>53052001</v>
      </c>
      <c r="E48" t="s">
        <v>18</v>
      </c>
      <c r="F48" s="4">
        <v>8690.6970000000001</v>
      </c>
      <c r="G48" t="s">
        <v>111</v>
      </c>
      <c r="H48" s="3">
        <v>45687</v>
      </c>
      <c r="I48" t="s">
        <v>112</v>
      </c>
      <c r="J48" t="s">
        <v>112</v>
      </c>
      <c r="K48" t="s">
        <v>69</v>
      </c>
      <c r="M48" t="s">
        <v>22</v>
      </c>
      <c r="N48">
        <f t="shared" si="2"/>
        <v>2025</v>
      </c>
      <c r="O48">
        <f t="shared" si="0"/>
        <v>1</v>
      </c>
      <c r="P48" t="str">
        <f t="shared" si="1"/>
        <v>Enero</v>
      </c>
    </row>
    <row r="49" spans="3:16" hidden="1" x14ac:dyDescent="0.25">
      <c r="C49" t="s">
        <v>17</v>
      </c>
      <c r="D49">
        <v>53052001</v>
      </c>
      <c r="E49" t="s">
        <v>18</v>
      </c>
      <c r="F49" s="4">
        <v>16336.519</v>
      </c>
      <c r="G49" t="s">
        <v>113</v>
      </c>
      <c r="H49" s="3">
        <v>45688</v>
      </c>
      <c r="I49" t="s">
        <v>114</v>
      </c>
      <c r="J49" t="s">
        <v>56</v>
      </c>
      <c r="K49" t="s">
        <v>51</v>
      </c>
      <c r="M49" t="s">
        <v>22</v>
      </c>
      <c r="N49">
        <f t="shared" si="2"/>
        <v>2025</v>
      </c>
      <c r="O49">
        <f t="shared" si="0"/>
        <v>1</v>
      </c>
      <c r="P49" t="str">
        <f t="shared" si="1"/>
        <v>Enero</v>
      </c>
    </row>
    <row r="50" spans="3:16" hidden="1" x14ac:dyDescent="0.25">
      <c r="C50" t="s">
        <v>17</v>
      </c>
      <c r="D50">
        <v>53052001</v>
      </c>
      <c r="E50" t="s">
        <v>18</v>
      </c>
      <c r="F50" s="4">
        <v>182029.74483000001</v>
      </c>
      <c r="G50" t="s">
        <v>115</v>
      </c>
      <c r="H50" s="3">
        <v>45681</v>
      </c>
      <c r="I50" t="s">
        <v>114</v>
      </c>
      <c r="J50" t="s">
        <v>114</v>
      </c>
      <c r="K50" t="s">
        <v>60</v>
      </c>
      <c r="M50" t="s">
        <v>93</v>
      </c>
      <c r="N50">
        <f t="shared" si="2"/>
        <v>2025</v>
      </c>
      <c r="O50">
        <f t="shared" si="0"/>
        <v>1</v>
      </c>
      <c r="P50" t="str">
        <f t="shared" si="1"/>
        <v>Enero</v>
      </c>
    </row>
    <row r="51" spans="3:16" hidden="1" x14ac:dyDescent="0.25">
      <c r="C51" t="s">
        <v>17</v>
      </c>
      <c r="D51">
        <v>53052001</v>
      </c>
      <c r="E51" t="s">
        <v>18</v>
      </c>
      <c r="F51" s="4">
        <v>34713.413999999997</v>
      </c>
      <c r="G51" t="s">
        <v>116</v>
      </c>
      <c r="H51" s="3">
        <v>45687</v>
      </c>
      <c r="I51" t="s">
        <v>114</v>
      </c>
      <c r="J51" t="s">
        <v>114</v>
      </c>
      <c r="K51" t="s">
        <v>21</v>
      </c>
      <c r="M51" t="s">
        <v>22</v>
      </c>
      <c r="N51">
        <f t="shared" si="2"/>
        <v>2025</v>
      </c>
      <c r="O51">
        <f t="shared" si="0"/>
        <v>1</v>
      </c>
      <c r="P51" t="str">
        <f t="shared" si="1"/>
        <v>Enero</v>
      </c>
    </row>
    <row r="52" spans="3:16" hidden="1" x14ac:dyDescent="0.25">
      <c r="C52" t="s">
        <v>17</v>
      </c>
      <c r="D52">
        <v>53052001</v>
      </c>
      <c r="E52" t="s">
        <v>18</v>
      </c>
      <c r="F52" s="4">
        <v>34713.413999999997</v>
      </c>
      <c r="G52" t="s">
        <v>117</v>
      </c>
      <c r="H52" s="3">
        <v>45712</v>
      </c>
      <c r="I52" t="s">
        <v>118</v>
      </c>
      <c r="J52" t="s">
        <v>118</v>
      </c>
      <c r="K52" t="s">
        <v>21</v>
      </c>
      <c r="M52" t="s">
        <v>22</v>
      </c>
      <c r="N52">
        <f t="shared" si="2"/>
        <v>2025</v>
      </c>
      <c r="O52">
        <f t="shared" si="0"/>
        <v>2</v>
      </c>
      <c r="P52" t="str">
        <f t="shared" si="1"/>
        <v>Febrero</v>
      </c>
    </row>
    <row r="53" spans="3:16" hidden="1" x14ac:dyDescent="0.25">
      <c r="C53" t="s">
        <v>17</v>
      </c>
      <c r="D53">
        <v>53052001</v>
      </c>
      <c r="E53" t="s">
        <v>18</v>
      </c>
      <c r="F53" s="4">
        <v>146135.07347999999</v>
      </c>
      <c r="G53" t="s">
        <v>119</v>
      </c>
      <c r="H53" s="3">
        <v>45712</v>
      </c>
      <c r="I53" t="s">
        <v>118</v>
      </c>
      <c r="J53" t="s">
        <v>118</v>
      </c>
      <c r="K53" t="s">
        <v>60</v>
      </c>
      <c r="M53" t="s">
        <v>22</v>
      </c>
      <c r="N53">
        <f t="shared" si="2"/>
        <v>2025</v>
      </c>
      <c r="O53">
        <f t="shared" si="0"/>
        <v>2</v>
      </c>
      <c r="P53" t="str">
        <f t="shared" si="1"/>
        <v>Febrero</v>
      </c>
    </row>
    <row r="54" spans="3:16" hidden="1" x14ac:dyDescent="0.25">
      <c r="C54" t="s">
        <v>17</v>
      </c>
      <c r="D54">
        <v>53052001</v>
      </c>
      <c r="E54" t="s">
        <v>18</v>
      </c>
      <c r="F54" s="4">
        <v>8535.4869999999992</v>
      </c>
      <c r="G54" t="s">
        <v>120</v>
      </c>
      <c r="H54" s="3">
        <v>45716</v>
      </c>
      <c r="I54" t="s">
        <v>118</v>
      </c>
      <c r="J54" t="s">
        <v>118</v>
      </c>
      <c r="K54" t="s">
        <v>69</v>
      </c>
      <c r="M54" t="s">
        <v>22</v>
      </c>
      <c r="N54">
        <f t="shared" si="2"/>
        <v>2025</v>
      </c>
      <c r="O54">
        <f t="shared" si="0"/>
        <v>2</v>
      </c>
      <c r="P54" t="str">
        <f t="shared" si="1"/>
        <v>Febrero</v>
      </c>
    </row>
    <row r="55" spans="3:16" hidden="1" x14ac:dyDescent="0.25">
      <c r="C55" t="s">
        <v>17</v>
      </c>
      <c r="D55">
        <v>53052001</v>
      </c>
      <c r="E55" t="s">
        <v>18</v>
      </c>
      <c r="F55" s="4">
        <v>138347.25669000001</v>
      </c>
      <c r="G55" t="s">
        <v>121</v>
      </c>
      <c r="H55" s="3">
        <v>45860</v>
      </c>
      <c r="I55" t="s">
        <v>122</v>
      </c>
      <c r="J55" t="s">
        <v>122</v>
      </c>
      <c r="K55" t="s">
        <v>60</v>
      </c>
      <c r="M55" t="s">
        <v>93</v>
      </c>
      <c r="N55">
        <f t="shared" si="2"/>
        <v>2025</v>
      </c>
      <c r="O55">
        <f t="shared" si="0"/>
        <v>7</v>
      </c>
      <c r="P55" t="str">
        <f t="shared" si="1"/>
        <v>Julio</v>
      </c>
    </row>
    <row r="56" spans="3:16" hidden="1" x14ac:dyDescent="0.25">
      <c r="C56" t="s">
        <v>17</v>
      </c>
      <c r="D56">
        <v>53052001</v>
      </c>
      <c r="E56" t="s">
        <v>18</v>
      </c>
      <c r="F56" s="4">
        <v>33555.32</v>
      </c>
      <c r="G56" t="s">
        <v>123</v>
      </c>
      <c r="H56" s="3">
        <v>45867</v>
      </c>
      <c r="I56" t="s">
        <v>122</v>
      </c>
      <c r="J56" t="s">
        <v>122</v>
      </c>
      <c r="K56" t="s">
        <v>21</v>
      </c>
      <c r="M56" t="s">
        <v>22</v>
      </c>
      <c r="N56">
        <f t="shared" si="2"/>
        <v>2025</v>
      </c>
      <c r="O56">
        <f t="shared" si="0"/>
        <v>7</v>
      </c>
      <c r="P56" t="str">
        <f t="shared" si="1"/>
        <v>Julio</v>
      </c>
    </row>
    <row r="57" spans="3:16" hidden="1" x14ac:dyDescent="0.25">
      <c r="C57" t="s">
        <v>17</v>
      </c>
      <c r="D57">
        <v>53052001</v>
      </c>
      <c r="E57" t="s">
        <v>18</v>
      </c>
      <c r="F57" s="4">
        <v>50579.012289999999</v>
      </c>
      <c r="G57" t="s">
        <v>124</v>
      </c>
      <c r="H57" s="3">
        <v>45867</v>
      </c>
      <c r="I57" t="s">
        <v>122</v>
      </c>
      <c r="J57" t="s">
        <v>122</v>
      </c>
      <c r="K57" t="s">
        <v>57</v>
      </c>
      <c r="M57" t="s">
        <v>22</v>
      </c>
      <c r="N57">
        <f t="shared" si="2"/>
        <v>2025</v>
      </c>
      <c r="O57">
        <f t="shared" si="0"/>
        <v>7</v>
      </c>
      <c r="P57" t="str">
        <f t="shared" si="1"/>
        <v>Julio</v>
      </c>
    </row>
    <row r="58" spans="3:16" hidden="1" x14ac:dyDescent="0.25">
      <c r="C58" s="8" t="s">
        <v>17</v>
      </c>
      <c r="D58" s="8">
        <v>53052001</v>
      </c>
      <c r="E58" s="8" t="s">
        <v>18</v>
      </c>
      <c r="F58" s="9">
        <v>10719.992</v>
      </c>
      <c r="G58" s="8" t="s">
        <v>125</v>
      </c>
      <c r="H58" s="10">
        <v>45867</v>
      </c>
      <c r="I58" s="8" t="s">
        <v>122</v>
      </c>
      <c r="J58" s="8" t="s">
        <v>122</v>
      </c>
      <c r="K58" s="8" t="s">
        <v>57</v>
      </c>
      <c r="L58" s="8"/>
      <c r="M58" s="8" t="s">
        <v>22</v>
      </c>
      <c r="N58">
        <f t="shared" si="2"/>
        <v>2025</v>
      </c>
      <c r="O58">
        <f t="shared" si="0"/>
        <v>7</v>
      </c>
      <c r="P58" t="str">
        <f t="shared" si="1"/>
        <v>Julio</v>
      </c>
    </row>
    <row r="59" spans="3:16" hidden="1" x14ac:dyDescent="0.25">
      <c r="C59" t="s">
        <v>17</v>
      </c>
      <c r="D59">
        <v>53052001</v>
      </c>
      <c r="E59" t="s">
        <v>18</v>
      </c>
      <c r="F59" s="4">
        <v>8370.1470000000008</v>
      </c>
      <c r="G59" t="s">
        <v>126</v>
      </c>
      <c r="H59" s="3">
        <v>45867</v>
      </c>
      <c r="I59" t="s">
        <v>122</v>
      </c>
      <c r="J59" t="s">
        <v>122</v>
      </c>
      <c r="K59" t="s">
        <v>69</v>
      </c>
      <c r="M59" t="s">
        <v>93</v>
      </c>
      <c r="N59">
        <f t="shared" si="2"/>
        <v>2025</v>
      </c>
      <c r="O59">
        <f t="shared" si="0"/>
        <v>7</v>
      </c>
      <c r="P59" t="str">
        <f t="shared" si="1"/>
        <v>Julio</v>
      </c>
    </row>
    <row r="60" spans="3:16" hidden="1" x14ac:dyDescent="0.25">
      <c r="C60" t="s">
        <v>17</v>
      </c>
      <c r="D60">
        <v>53052001</v>
      </c>
      <c r="E60" t="s">
        <v>18</v>
      </c>
      <c r="F60" s="4">
        <v>16336.519</v>
      </c>
      <c r="G60" t="s">
        <v>127</v>
      </c>
      <c r="H60" s="3">
        <v>45869</v>
      </c>
      <c r="I60" t="s">
        <v>122</v>
      </c>
      <c r="J60" t="s">
        <v>122</v>
      </c>
      <c r="K60" t="s">
        <v>51</v>
      </c>
      <c r="M60" t="s">
        <v>22</v>
      </c>
      <c r="N60">
        <f t="shared" si="2"/>
        <v>2025</v>
      </c>
      <c r="O60">
        <f t="shared" si="0"/>
        <v>7</v>
      </c>
      <c r="P60" t="str">
        <f t="shared" si="1"/>
        <v>Julio</v>
      </c>
    </row>
    <row r="61" spans="3:16" hidden="1" x14ac:dyDescent="0.25">
      <c r="C61" t="s">
        <v>17</v>
      </c>
      <c r="D61">
        <v>53052001</v>
      </c>
      <c r="E61" t="s">
        <v>18</v>
      </c>
      <c r="F61" s="4">
        <v>136307.71585000001</v>
      </c>
      <c r="G61" t="s">
        <v>128</v>
      </c>
      <c r="H61" s="3">
        <v>45827</v>
      </c>
      <c r="I61" t="s">
        <v>129</v>
      </c>
      <c r="J61" t="s">
        <v>129</v>
      </c>
      <c r="K61" t="s">
        <v>60</v>
      </c>
      <c r="N61">
        <f t="shared" si="2"/>
        <v>2025</v>
      </c>
      <c r="O61">
        <f t="shared" si="0"/>
        <v>6</v>
      </c>
      <c r="P61" t="str">
        <f t="shared" si="1"/>
        <v>Junio</v>
      </c>
    </row>
    <row r="62" spans="3:16" hidden="1" x14ac:dyDescent="0.25">
      <c r="C62" t="s">
        <v>17</v>
      </c>
      <c r="D62">
        <v>53052001</v>
      </c>
      <c r="E62" t="s">
        <v>18</v>
      </c>
      <c r="F62" s="4">
        <v>75244.33329000001</v>
      </c>
      <c r="G62" t="s">
        <v>130</v>
      </c>
      <c r="H62" s="3">
        <v>45834</v>
      </c>
      <c r="I62" t="s">
        <v>129</v>
      </c>
      <c r="J62" t="s">
        <v>129</v>
      </c>
      <c r="K62" t="s">
        <v>57</v>
      </c>
      <c r="N62">
        <f t="shared" si="2"/>
        <v>2025</v>
      </c>
      <c r="O62">
        <f t="shared" si="0"/>
        <v>6</v>
      </c>
      <c r="P62" t="str">
        <f t="shared" si="1"/>
        <v>Junio</v>
      </c>
    </row>
    <row r="63" spans="3:16" hidden="1" x14ac:dyDescent="0.25">
      <c r="C63" t="s">
        <v>17</v>
      </c>
      <c r="D63">
        <v>53052001</v>
      </c>
      <c r="E63" t="s">
        <v>18</v>
      </c>
      <c r="F63" s="4">
        <v>8407.1489999999994</v>
      </c>
      <c r="G63" t="s">
        <v>131</v>
      </c>
      <c r="H63" s="3">
        <v>45838</v>
      </c>
      <c r="I63" t="s">
        <v>129</v>
      </c>
      <c r="J63" t="s">
        <v>129</v>
      </c>
      <c r="K63" t="s">
        <v>69</v>
      </c>
      <c r="N63">
        <f t="shared" si="2"/>
        <v>2025</v>
      </c>
      <c r="O63">
        <f t="shared" si="0"/>
        <v>6</v>
      </c>
      <c r="P63" t="str">
        <f t="shared" si="1"/>
        <v>Junio</v>
      </c>
    </row>
    <row r="64" spans="3:16" hidden="1" x14ac:dyDescent="0.25">
      <c r="C64" t="s">
        <v>17</v>
      </c>
      <c r="D64">
        <v>53052001</v>
      </c>
      <c r="E64" t="s">
        <v>18</v>
      </c>
      <c r="F64" s="4">
        <v>33555.32</v>
      </c>
      <c r="G64" t="s">
        <v>132</v>
      </c>
      <c r="H64" s="3">
        <v>45838</v>
      </c>
      <c r="I64" t="s">
        <v>129</v>
      </c>
      <c r="J64" t="s">
        <v>129</v>
      </c>
      <c r="K64" t="s">
        <v>21</v>
      </c>
      <c r="N64">
        <f t="shared" si="2"/>
        <v>2025</v>
      </c>
      <c r="O64">
        <f t="shared" si="0"/>
        <v>6</v>
      </c>
      <c r="P64" t="str">
        <f t="shared" si="1"/>
        <v>Junio</v>
      </c>
    </row>
    <row r="65" spans="3:16" hidden="1" x14ac:dyDescent="0.25">
      <c r="C65" t="s">
        <v>17</v>
      </c>
      <c r="D65">
        <v>53052001</v>
      </c>
      <c r="E65" t="s">
        <v>18</v>
      </c>
      <c r="F65" s="4">
        <v>14588.462</v>
      </c>
      <c r="G65" t="s">
        <v>133</v>
      </c>
      <c r="H65" s="3">
        <v>45838</v>
      </c>
      <c r="I65" t="s">
        <v>129</v>
      </c>
      <c r="J65" t="s">
        <v>129</v>
      </c>
      <c r="K65" t="s">
        <v>46</v>
      </c>
      <c r="N65">
        <f t="shared" si="2"/>
        <v>2025</v>
      </c>
      <c r="O65">
        <f t="shared" si="0"/>
        <v>6</v>
      </c>
      <c r="P65" t="str">
        <f t="shared" si="1"/>
        <v>Junio</v>
      </c>
    </row>
    <row r="66" spans="3:16" hidden="1" x14ac:dyDescent="0.25">
      <c r="C66" t="s">
        <v>17</v>
      </c>
      <c r="D66">
        <v>53052001</v>
      </c>
      <c r="E66" t="s">
        <v>18</v>
      </c>
      <c r="F66" s="4">
        <v>33555.32</v>
      </c>
      <c r="G66" t="s">
        <v>134</v>
      </c>
      <c r="H66" s="3">
        <v>45741</v>
      </c>
      <c r="I66" t="s">
        <v>135</v>
      </c>
      <c r="J66" t="s">
        <v>135</v>
      </c>
      <c r="K66" t="s">
        <v>21</v>
      </c>
      <c r="M66" t="s">
        <v>22</v>
      </c>
      <c r="N66">
        <f t="shared" si="2"/>
        <v>2025</v>
      </c>
      <c r="O66">
        <f t="shared" ref="O66:O129" si="3">+MONTH(H66)</f>
        <v>3</v>
      </c>
      <c r="P66" t="str">
        <f t="shared" ref="P66:P129" si="4">+VLOOKUP(O66,X:Y,2,0)</f>
        <v>Marzo</v>
      </c>
    </row>
    <row r="67" spans="3:16" hidden="1" x14ac:dyDescent="0.25">
      <c r="C67" t="s">
        <v>17</v>
      </c>
      <c r="D67">
        <v>53052001</v>
      </c>
      <c r="E67" t="s">
        <v>18</v>
      </c>
      <c r="F67" s="4">
        <v>16133.832</v>
      </c>
      <c r="G67" t="s">
        <v>136</v>
      </c>
      <c r="H67" s="3">
        <v>45743</v>
      </c>
      <c r="I67" t="s">
        <v>135</v>
      </c>
      <c r="J67" t="s">
        <v>135</v>
      </c>
      <c r="K67" t="s">
        <v>46</v>
      </c>
      <c r="M67" t="s">
        <v>22</v>
      </c>
      <c r="N67">
        <f t="shared" ref="N67:N130" si="5">+YEAR(H67)</f>
        <v>2025</v>
      </c>
      <c r="O67">
        <f t="shared" si="3"/>
        <v>3</v>
      </c>
      <c r="P67" t="str">
        <f t="shared" si="4"/>
        <v>Marzo</v>
      </c>
    </row>
    <row r="68" spans="3:16" hidden="1" x14ac:dyDescent="0.25">
      <c r="C68" t="s">
        <v>17</v>
      </c>
      <c r="D68">
        <v>53052001</v>
      </c>
      <c r="E68" t="s">
        <v>18</v>
      </c>
      <c r="F68">
        <v>146525.80364</v>
      </c>
      <c r="G68" t="s">
        <v>137</v>
      </c>
      <c r="H68" s="3">
        <v>45798</v>
      </c>
      <c r="I68" t="s">
        <v>138</v>
      </c>
      <c r="J68" t="s">
        <v>138</v>
      </c>
      <c r="K68" t="s">
        <v>60</v>
      </c>
      <c r="N68">
        <f t="shared" si="5"/>
        <v>2025</v>
      </c>
      <c r="O68">
        <f t="shared" si="3"/>
        <v>5</v>
      </c>
      <c r="P68" t="str">
        <f t="shared" si="4"/>
        <v>Mayo</v>
      </c>
    </row>
    <row r="69" spans="3:16" hidden="1" x14ac:dyDescent="0.25">
      <c r="C69" t="s">
        <v>17</v>
      </c>
      <c r="D69">
        <v>53052001</v>
      </c>
      <c r="E69" t="s">
        <v>18</v>
      </c>
      <c r="F69">
        <v>33555.32</v>
      </c>
      <c r="G69" t="s">
        <v>139</v>
      </c>
      <c r="H69" s="3">
        <v>45799</v>
      </c>
      <c r="I69" t="s">
        <v>138</v>
      </c>
      <c r="J69" t="s">
        <v>138</v>
      </c>
      <c r="K69" t="s">
        <v>21</v>
      </c>
      <c r="N69">
        <f t="shared" si="5"/>
        <v>2025</v>
      </c>
      <c r="O69">
        <f t="shared" si="3"/>
        <v>5</v>
      </c>
      <c r="P69" t="str">
        <f t="shared" si="4"/>
        <v>Mayo</v>
      </c>
    </row>
    <row r="70" spans="3:16" hidden="1" x14ac:dyDescent="0.25">
      <c r="C70" t="s">
        <v>17</v>
      </c>
      <c r="D70">
        <v>53052001</v>
      </c>
      <c r="E70" t="s">
        <v>18</v>
      </c>
      <c r="F70">
        <v>5732.9426700000004</v>
      </c>
      <c r="G70" t="s">
        <v>140</v>
      </c>
      <c r="H70">
        <v>45754</v>
      </c>
      <c r="I70" t="s">
        <v>141</v>
      </c>
      <c r="J70" t="s">
        <v>141</v>
      </c>
      <c r="K70" t="s">
        <v>27</v>
      </c>
      <c r="M70" t="s">
        <v>22</v>
      </c>
      <c r="N70">
        <f t="shared" si="5"/>
        <v>2025</v>
      </c>
      <c r="O70">
        <f t="shared" si="3"/>
        <v>4</v>
      </c>
      <c r="P70" t="str">
        <f t="shared" si="4"/>
        <v>Abril</v>
      </c>
    </row>
    <row r="71" spans="3:16" hidden="1" x14ac:dyDescent="0.25">
      <c r="C71" t="s">
        <v>17</v>
      </c>
      <c r="D71">
        <v>53052001</v>
      </c>
      <c r="E71" t="s">
        <v>18</v>
      </c>
      <c r="F71" s="4">
        <v>-256579.24900000001</v>
      </c>
      <c r="G71" t="s">
        <v>142</v>
      </c>
      <c r="H71" s="3">
        <v>45747</v>
      </c>
      <c r="I71" t="s">
        <v>143</v>
      </c>
      <c r="J71" t="s">
        <v>143</v>
      </c>
      <c r="K71" t="s">
        <v>31</v>
      </c>
      <c r="M71" t="s">
        <v>22</v>
      </c>
      <c r="N71">
        <f t="shared" si="5"/>
        <v>2025</v>
      </c>
      <c r="O71">
        <f t="shared" si="3"/>
        <v>3</v>
      </c>
      <c r="P71" t="str">
        <f t="shared" si="4"/>
        <v>Marzo</v>
      </c>
    </row>
    <row r="72" spans="3:16" hidden="1" x14ac:dyDescent="0.25">
      <c r="C72" t="s">
        <v>17</v>
      </c>
      <c r="D72">
        <v>53052001</v>
      </c>
      <c r="E72" t="s">
        <v>18</v>
      </c>
      <c r="F72">
        <v>9965.3970000000008</v>
      </c>
      <c r="G72" t="s">
        <v>144</v>
      </c>
      <c r="H72" s="3">
        <v>45777</v>
      </c>
      <c r="I72" t="s">
        <v>145</v>
      </c>
      <c r="J72" t="s">
        <v>146</v>
      </c>
      <c r="K72" t="s">
        <v>41</v>
      </c>
      <c r="M72" t="s">
        <v>22</v>
      </c>
      <c r="N72">
        <f t="shared" si="5"/>
        <v>2025</v>
      </c>
      <c r="O72">
        <f t="shared" si="3"/>
        <v>4</v>
      </c>
      <c r="P72" t="str">
        <f t="shared" si="4"/>
        <v>Abril</v>
      </c>
    </row>
    <row r="73" spans="3:16" hidden="1" x14ac:dyDescent="0.25">
      <c r="C73" t="s">
        <v>17</v>
      </c>
      <c r="D73">
        <v>53052001</v>
      </c>
      <c r="E73" t="s">
        <v>18</v>
      </c>
      <c r="F73" s="4">
        <v>7291.7539999999999</v>
      </c>
      <c r="G73" t="s">
        <v>147</v>
      </c>
      <c r="H73" s="3">
        <v>45900</v>
      </c>
      <c r="I73" t="s">
        <v>148</v>
      </c>
      <c r="J73" t="s">
        <v>149</v>
      </c>
      <c r="K73" t="s">
        <v>41</v>
      </c>
      <c r="N73">
        <f t="shared" si="5"/>
        <v>2025</v>
      </c>
      <c r="O73">
        <f t="shared" si="3"/>
        <v>8</v>
      </c>
      <c r="P73" t="str">
        <f t="shared" si="4"/>
        <v>Agosto</v>
      </c>
    </row>
    <row r="74" spans="3:16" hidden="1" x14ac:dyDescent="0.25">
      <c r="C74" t="s">
        <v>17</v>
      </c>
      <c r="D74">
        <v>53052001</v>
      </c>
      <c r="E74" t="s">
        <v>18</v>
      </c>
      <c r="F74" s="4">
        <v>10098.394</v>
      </c>
      <c r="G74" t="s">
        <v>150</v>
      </c>
      <c r="H74" s="3">
        <v>45688</v>
      </c>
      <c r="I74" t="s">
        <v>151</v>
      </c>
      <c r="J74" t="s">
        <v>152</v>
      </c>
      <c r="K74" t="s">
        <v>41</v>
      </c>
      <c r="M74" t="s">
        <v>22</v>
      </c>
      <c r="N74">
        <f t="shared" si="5"/>
        <v>2025</v>
      </c>
      <c r="O74">
        <f t="shared" si="3"/>
        <v>1</v>
      </c>
      <c r="P74" t="str">
        <f t="shared" si="4"/>
        <v>Enero</v>
      </c>
    </row>
    <row r="75" spans="3:16" hidden="1" x14ac:dyDescent="0.25">
      <c r="C75" t="s">
        <v>17</v>
      </c>
      <c r="D75">
        <v>53052001</v>
      </c>
      <c r="E75" t="s">
        <v>18</v>
      </c>
      <c r="F75" s="4">
        <v>6732.2629999999999</v>
      </c>
      <c r="G75" t="s">
        <v>153</v>
      </c>
      <c r="H75" s="3">
        <v>45716</v>
      </c>
      <c r="I75" t="s">
        <v>154</v>
      </c>
      <c r="J75" t="s">
        <v>155</v>
      </c>
      <c r="K75" t="s">
        <v>41</v>
      </c>
      <c r="M75" t="s">
        <v>22</v>
      </c>
      <c r="N75">
        <f t="shared" si="5"/>
        <v>2025</v>
      </c>
      <c r="O75">
        <f t="shared" si="3"/>
        <v>2</v>
      </c>
      <c r="P75" t="str">
        <f t="shared" si="4"/>
        <v>Febrero</v>
      </c>
    </row>
    <row r="76" spans="3:16" hidden="1" x14ac:dyDescent="0.25">
      <c r="C76" t="s">
        <v>17</v>
      </c>
      <c r="D76">
        <v>53052001</v>
      </c>
      <c r="E76" t="s">
        <v>18</v>
      </c>
      <c r="F76" s="4">
        <v>5104.2280000000001</v>
      </c>
      <c r="G76" t="s">
        <v>156</v>
      </c>
      <c r="H76" s="3">
        <v>45838</v>
      </c>
      <c r="I76" t="s">
        <v>157</v>
      </c>
      <c r="J76" t="s">
        <v>158</v>
      </c>
      <c r="K76" t="s">
        <v>41</v>
      </c>
      <c r="N76">
        <f t="shared" si="5"/>
        <v>2025</v>
      </c>
      <c r="O76">
        <f t="shared" si="3"/>
        <v>6</v>
      </c>
      <c r="P76" t="str">
        <f t="shared" si="4"/>
        <v>Junio</v>
      </c>
    </row>
    <row r="77" spans="3:16" hidden="1" x14ac:dyDescent="0.25">
      <c r="C77" t="s">
        <v>17</v>
      </c>
      <c r="D77">
        <v>53052001</v>
      </c>
      <c r="E77" t="s">
        <v>18</v>
      </c>
      <c r="F77" s="4">
        <v>4847.7359999999999</v>
      </c>
      <c r="G77" t="s">
        <v>159</v>
      </c>
      <c r="H77" s="3">
        <v>45747</v>
      </c>
      <c r="I77" t="s">
        <v>160</v>
      </c>
      <c r="J77" t="s">
        <v>161</v>
      </c>
      <c r="K77" t="s">
        <v>41</v>
      </c>
      <c r="M77" t="s">
        <v>22</v>
      </c>
      <c r="N77">
        <f t="shared" si="5"/>
        <v>2025</v>
      </c>
      <c r="O77">
        <f t="shared" si="3"/>
        <v>3</v>
      </c>
      <c r="P77" t="str">
        <f t="shared" si="4"/>
        <v>Marzo</v>
      </c>
    </row>
    <row r="78" spans="3:16" hidden="1" x14ac:dyDescent="0.25">
      <c r="C78" t="s">
        <v>17</v>
      </c>
      <c r="D78">
        <v>53052001</v>
      </c>
      <c r="E78" t="s">
        <v>18</v>
      </c>
      <c r="F78">
        <v>7291.7539999999999</v>
      </c>
      <c r="G78" t="s">
        <v>162</v>
      </c>
      <c r="H78" s="3">
        <v>45808</v>
      </c>
      <c r="I78" t="s">
        <v>163</v>
      </c>
      <c r="J78" t="s">
        <v>164</v>
      </c>
      <c r="K78" t="s">
        <v>41</v>
      </c>
      <c r="N78">
        <f t="shared" si="5"/>
        <v>2025</v>
      </c>
      <c r="O78">
        <f t="shared" si="3"/>
        <v>5</v>
      </c>
      <c r="P78" t="str">
        <f t="shared" si="4"/>
        <v>Mayo</v>
      </c>
    </row>
    <row r="79" spans="3:16" hidden="1" x14ac:dyDescent="0.25">
      <c r="C79" t="s">
        <v>17</v>
      </c>
      <c r="D79">
        <v>53052001</v>
      </c>
      <c r="E79" t="s">
        <v>18</v>
      </c>
      <c r="F79">
        <v>8762.3389999999999</v>
      </c>
      <c r="G79" t="s">
        <v>144</v>
      </c>
      <c r="H79" s="3">
        <v>45777</v>
      </c>
      <c r="I79" t="s">
        <v>165</v>
      </c>
      <c r="J79" t="s">
        <v>146</v>
      </c>
      <c r="K79" t="s">
        <v>37</v>
      </c>
      <c r="M79" t="s">
        <v>22</v>
      </c>
      <c r="N79">
        <f t="shared" si="5"/>
        <v>2025</v>
      </c>
      <c r="O79">
        <f t="shared" si="3"/>
        <v>4</v>
      </c>
      <c r="P79" t="str">
        <f t="shared" si="4"/>
        <v>Abril</v>
      </c>
    </row>
    <row r="80" spans="3:16" hidden="1" x14ac:dyDescent="0.25">
      <c r="C80" t="s">
        <v>17</v>
      </c>
      <c r="D80">
        <v>53052001</v>
      </c>
      <c r="E80" t="s">
        <v>18</v>
      </c>
      <c r="F80" s="4">
        <v>13367.965</v>
      </c>
      <c r="G80" t="s">
        <v>150</v>
      </c>
      <c r="H80" s="3">
        <v>45688</v>
      </c>
      <c r="I80" t="s">
        <v>166</v>
      </c>
      <c r="J80" t="s">
        <v>152</v>
      </c>
      <c r="K80" t="s">
        <v>37</v>
      </c>
      <c r="M80" t="s">
        <v>22</v>
      </c>
      <c r="N80">
        <f t="shared" si="5"/>
        <v>2025</v>
      </c>
      <c r="O80">
        <f t="shared" si="3"/>
        <v>1</v>
      </c>
      <c r="P80" t="str">
        <f t="shared" si="4"/>
        <v>Enero</v>
      </c>
    </row>
    <row r="81" spans="3:16" hidden="1" x14ac:dyDescent="0.25">
      <c r="C81" t="s">
        <v>17</v>
      </c>
      <c r="D81">
        <v>53052001</v>
      </c>
      <c r="E81" t="s">
        <v>18</v>
      </c>
      <c r="F81" s="4">
        <v>6436.0540000000001</v>
      </c>
      <c r="G81" t="s">
        <v>153</v>
      </c>
      <c r="H81" s="3">
        <v>45716</v>
      </c>
      <c r="I81" t="s">
        <v>167</v>
      </c>
      <c r="J81" t="s">
        <v>155</v>
      </c>
      <c r="K81" t="s">
        <v>37</v>
      </c>
      <c r="M81" t="s">
        <v>22</v>
      </c>
      <c r="N81">
        <f t="shared" si="5"/>
        <v>2025</v>
      </c>
      <c r="O81">
        <f t="shared" si="3"/>
        <v>2</v>
      </c>
      <c r="P81" t="str">
        <f t="shared" si="4"/>
        <v>Febrero</v>
      </c>
    </row>
    <row r="82" spans="3:16" hidden="1" x14ac:dyDescent="0.25">
      <c r="C82" t="s">
        <v>17</v>
      </c>
      <c r="D82">
        <v>53052001</v>
      </c>
      <c r="E82" t="s">
        <v>18</v>
      </c>
      <c r="F82" s="4">
        <v>5534.1090000000004</v>
      </c>
      <c r="G82" t="s">
        <v>156</v>
      </c>
      <c r="H82" s="3">
        <v>45838</v>
      </c>
      <c r="I82" t="s">
        <v>168</v>
      </c>
      <c r="J82" t="s">
        <v>158</v>
      </c>
      <c r="K82" t="s">
        <v>37</v>
      </c>
      <c r="N82">
        <f t="shared" si="5"/>
        <v>2025</v>
      </c>
      <c r="O82">
        <f t="shared" si="3"/>
        <v>6</v>
      </c>
      <c r="P82" t="str">
        <f t="shared" si="4"/>
        <v>Junio</v>
      </c>
    </row>
    <row r="83" spans="3:16" hidden="1" x14ac:dyDescent="0.25">
      <c r="C83" t="s">
        <v>17</v>
      </c>
      <c r="D83">
        <v>53052001</v>
      </c>
      <c r="E83" t="s">
        <v>18</v>
      </c>
      <c r="F83" s="4">
        <v>5269.991</v>
      </c>
      <c r="G83" t="s">
        <v>159</v>
      </c>
      <c r="H83" s="3">
        <v>45747</v>
      </c>
      <c r="I83" t="s">
        <v>169</v>
      </c>
      <c r="J83" t="s">
        <v>161</v>
      </c>
      <c r="K83" t="s">
        <v>37</v>
      </c>
      <c r="M83" t="s">
        <v>22</v>
      </c>
      <c r="N83">
        <f t="shared" si="5"/>
        <v>2025</v>
      </c>
      <c r="O83">
        <f t="shared" si="3"/>
        <v>3</v>
      </c>
      <c r="P83" t="str">
        <f t="shared" si="4"/>
        <v>Marzo</v>
      </c>
    </row>
    <row r="84" spans="3:16" hidden="1" x14ac:dyDescent="0.25">
      <c r="C84" t="s">
        <v>17</v>
      </c>
      <c r="D84">
        <v>53052001</v>
      </c>
      <c r="E84" t="s">
        <v>18</v>
      </c>
      <c r="F84">
        <v>6917.6360000000004</v>
      </c>
      <c r="G84" t="s">
        <v>162</v>
      </c>
      <c r="H84" s="3">
        <v>45808</v>
      </c>
      <c r="I84" t="s">
        <v>170</v>
      </c>
      <c r="J84" t="s">
        <v>164</v>
      </c>
      <c r="K84" t="s">
        <v>37</v>
      </c>
      <c r="N84">
        <f t="shared" si="5"/>
        <v>2025</v>
      </c>
      <c r="O84">
        <f t="shared" si="3"/>
        <v>5</v>
      </c>
      <c r="P84" t="str">
        <f t="shared" si="4"/>
        <v>Mayo</v>
      </c>
    </row>
    <row r="85" spans="3:16" hidden="1" x14ac:dyDescent="0.25">
      <c r="C85" t="s">
        <v>17</v>
      </c>
      <c r="D85">
        <v>53052001</v>
      </c>
      <c r="E85" t="s">
        <v>18</v>
      </c>
      <c r="F85" s="4">
        <v>79649.456999999995</v>
      </c>
      <c r="G85" t="s">
        <v>153</v>
      </c>
      <c r="H85" s="3">
        <v>45716</v>
      </c>
      <c r="I85" t="s">
        <v>171</v>
      </c>
      <c r="J85" t="s">
        <v>155</v>
      </c>
      <c r="K85" t="s">
        <v>35</v>
      </c>
      <c r="M85" t="s">
        <v>22</v>
      </c>
      <c r="N85">
        <f t="shared" si="5"/>
        <v>2025</v>
      </c>
      <c r="O85">
        <f t="shared" si="3"/>
        <v>2</v>
      </c>
      <c r="P85" t="str">
        <f t="shared" si="4"/>
        <v>Febrero</v>
      </c>
    </row>
    <row r="86" spans="3:16" hidden="1" x14ac:dyDescent="0.25">
      <c r="C86" t="s">
        <v>17</v>
      </c>
      <c r="D86">
        <v>53052001</v>
      </c>
      <c r="E86" t="s">
        <v>18</v>
      </c>
      <c r="F86" s="4">
        <v>88183.327999999994</v>
      </c>
      <c r="G86" t="s">
        <v>159</v>
      </c>
      <c r="H86" s="3">
        <v>45747</v>
      </c>
      <c r="I86" t="s">
        <v>172</v>
      </c>
      <c r="J86" t="s">
        <v>161</v>
      </c>
      <c r="K86" t="s">
        <v>35</v>
      </c>
      <c r="M86" t="s">
        <v>22</v>
      </c>
      <c r="N86">
        <f t="shared" si="5"/>
        <v>2025</v>
      </c>
      <c r="O86">
        <f t="shared" si="3"/>
        <v>3</v>
      </c>
      <c r="P86" t="str">
        <f t="shared" si="4"/>
        <v>Marzo</v>
      </c>
    </row>
    <row r="87" spans="3:16" hidden="1" x14ac:dyDescent="0.25">
      <c r="C87" t="s">
        <v>17</v>
      </c>
      <c r="D87">
        <v>53052001</v>
      </c>
      <c r="E87" t="s">
        <v>18</v>
      </c>
      <c r="F87" s="4">
        <v>88183.327999999994</v>
      </c>
      <c r="G87" t="s">
        <v>150</v>
      </c>
      <c r="H87" s="3">
        <v>45688</v>
      </c>
      <c r="I87" t="s">
        <v>173</v>
      </c>
      <c r="J87" t="s">
        <v>152</v>
      </c>
      <c r="K87" t="s">
        <v>35</v>
      </c>
      <c r="M87" t="s">
        <v>22</v>
      </c>
      <c r="N87">
        <f t="shared" si="5"/>
        <v>2025</v>
      </c>
      <c r="O87">
        <f t="shared" si="3"/>
        <v>1</v>
      </c>
      <c r="P87" t="str">
        <f t="shared" si="4"/>
        <v>Enero</v>
      </c>
    </row>
    <row r="88" spans="3:16" hidden="1" x14ac:dyDescent="0.25">
      <c r="C88" t="s">
        <v>17</v>
      </c>
      <c r="D88">
        <v>53052001</v>
      </c>
      <c r="E88" t="s">
        <v>18</v>
      </c>
      <c r="F88" s="4">
        <v>79108.944000000003</v>
      </c>
      <c r="G88" t="s">
        <v>153</v>
      </c>
      <c r="H88" s="3">
        <v>45716</v>
      </c>
      <c r="I88" t="s">
        <v>174</v>
      </c>
      <c r="J88" t="s">
        <v>155</v>
      </c>
      <c r="K88" t="s">
        <v>31</v>
      </c>
      <c r="M88" t="s">
        <v>22</v>
      </c>
      <c r="N88">
        <f t="shared" si="5"/>
        <v>2025</v>
      </c>
      <c r="O88">
        <f t="shared" si="3"/>
        <v>2</v>
      </c>
      <c r="P88" t="str">
        <f t="shared" si="4"/>
        <v>Febrero</v>
      </c>
    </row>
    <row r="89" spans="3:16" hidden="1" x14ac:dyDescent="0.25">
      <c r="C89" t="s">
        <v>17</v>
      </c>
      <c r="D89">
        <v>53052001</v>
      </c>
      <c r="E89" t="s">
        <v>18</v>
      </c>
      <c r="F89">
        <v>107570.783</v>
      </c>
      <c r="G89" t="s">
        <v>144</v>
      </c>
      <c r="H89" s="3">
        <v>45777</v>
      </c>
      <c r="I89" t="s">
        <v>174</v>
      </c>
      <c r="J89" t="s">
        <v>146</v>
      </c>
      <c r="K89" t="s">
        <v>31</v>
      </c>
      <c r="M89" t="s">
        <v>22</v>
      </c>
      <c r="N89">
        <f t="shared" si="5"/>
        <v>2025</v>
      </c>
      <c r="O89">
        <f t="shared" si="3"/>
        <v>4</v>
      </c>
      <c r="P89" t="str">
        <f t="shared" si="4"/>
        <v>Abril</v>
      </c>
    </row>
    <row r="90" spans="3:16" hidden="1" x14ac:dyDescent="0.25">
      <c r="C90" t="s">
        <v>17</v>
      </c>
      <c r="D90">
        <v>53052001</v>
      </c>
      <c r="E90" t="s">
        <v>18</v>
      </c>
      <c r="F90" s="4">
        <v>87755.112999999998</v>
      </c>
      <c r="G90" t="s">
        <v>147</v>
      </c>
      <c r="H90" s="3">
        <v>45900</v>
      </c>
      <c r="I90" t="s">
        <v>175</v>
      </c>
      <c r="J90" t="s">
        <v>149</v>
      </c>
      <c r="K90" t="s">
        <v>31</v>
      </c>
      <c r="N90">
        <f t="shared" si="5"/>
        <v>2025</v>
      </c>
      <c r="O90">
        <f t="shared" si="3"/>
        <v>8</v>
      </c>
      <c r="P90" t="str">
        <f t="shared" si="4"/>
        <v>Agosto</v>
      </c>
    </row>
    <row r="91" spans="3:16" hidden="1" x14ac:dyDescent="0.25">
      <c r="C91" t="s">
        <v>17</v>
      </c>
      <c r="D91">
        <v>53052001</v>
      </c>
      <c r="E91" t="s">
        <v>18</v>
      </c>
      <c r="F91" s="4">
        <v>67939.441999999995</v>
      </c>
      <c r="G91" t="s">
        <v>156</v>
      </c>
      <c r="H91" s="3">
        <v>45838</v>
      </c>
      <c r="I91" t="s">
        <v>176</v>
      </c>
      <c r="J91" t="s">
        <v>158</v>
      </c>
      <c r="K91" t="s">
        <v>31</v>
      </c>
      <c r="N91">
        <f t="shared" si="5"/>
        <v>2025</v>
      </c>
      <c r="O91">
        <f t="shared" si="3"/>
        <v>6</v>
      </c>
      <c r="P91" t="str">
        <f t="shared" si="4"/>
        <v>Junio</v>
      </c>
    </row>
    <row r="92" spans="3:16" hidden="1" x14ac:dyDescent="0.25">
      <c r="C92" t="s">
        <v>17</v>
      </c>
      <c r="D92">
        <v>53052001</v>
      </c>
      <c r="E92" t="s">
        <v>18</v>
      </c>
      <c r="F92" s="4">
        <v>64982.347000000002</v>
      </c>
      <c r="G92" t="s">
        <v>159</v>
      </c>
      <c r="H92" s="3">
        <v>45747</v>
      </c>
      <c r="I92" t="s">
        <v>177</v>
      </c>
      <c r="J92" t="s">
        <v>161</v>
      </c>
      <c r="K92" t="s">
        <v>31</v>
      </c>
      <c r="M92" t="s">
        <v>22</v>
      </c>
      <c r="N92">
        <f t="shared" si="5"/>
        <v>2025</v>
      </c>
      <c r="O92">
        <f t="shared" si="3"/>
        <v>3</v>
      </c>
      <c r="P92" t="str">
        <f t="shared" si="4"/>
        <v>Marzo</v>
      </c>
    </row>
    <row r="93" spans="3:16" hidden="1" x14ac:dyDescent="0.25">
      <c r="C93" t="s">
        <v>17</v>
      </c>
      <c r="D93">
        <v>53052001</v>
      </c>
      <c r="E93" t="s">
        <v>18</v>
      </c>
      <c r="F93">
        <v>84924.301999999996</v>
      </c>
      <c r="G93" t="s">
        <v>162</v>
      </c>
      <c r="H93" s="3">
        <v>45808</v>
      </c>
      <c r="I93" t="s">
        <v>178</v>
      </c>
      <c r="J93" t="s">
        <v>164</v>
      </c>
      <c r="K93" t="s">
        <v>31</v>
      </c>
      <c r="N93">
        <f t="shared" si="5"/>
        <v>2025</v>
      </c>
      <c r="O93">
        <f t="shared" si="3"/>
        <v>5</v>
      </c>
      <c r="P93" t="str">
        <f t="shared" si="4"/>
        <v>Mayo</v>
      </c>
    </row>
    <row r="94" spans="3:16" hidden="1" x14ac:dyDescent="0.25">
      <c r="C94" t="s">
        <v>17</v>
      </c>
      <c r="D94">
        <v>53052001</v>
      </c>
      <c r="E94" t="s">
        <v>18</v>
      </c>
      <c r="F94">
        <v>4733.9179999999997</v>
      </c>
      <c r="G94" t="s">
        <v>144</v>
      </c>
      <c r="H94" s="3">
        <v>45777</v>
      </c>
      <c r="I94" t="s">
        <v>179</v>
      </c>
      <c r="J94" t="s">
        <v>146</v>
      </c>
      <c r="K94" t="s">
        <v>27</v>
      </c>
      <c r="M94" t="s">
        <v>22</v>
      </c>
      <c r="N94">
        <f t="shared" si="5"/>
        <v>2025</v>
      </c>
      <c r="O94">
        <f t="shared" si="3"/>
        <v>4</v>
      </c>
      <c r="P94" t="str">
        <f t="shared" si="4"/>
        <v>Abril</v>
      </c>
    </row>
    <row r="95" spans="3:16" hidden="1" x14ac:dyDescent="0.25">
      <c r="C95" t="s">
        <v>17</v>
      </c>
      <c r="D95">
        <v>53052001</v>
      </c>
      <c r="E95" t="s">
        <v>18</v>
      </c>
      <c r="F95" s="4">
        <v>10368.968000000001</v>
      </c>
      <c r="G95" t="s">
        <v>150</v>
      </c>
      <c r="H95" s="3">
        <v>45688</v>
      </c>
      <c r="I95" t="s">
        <v>180</v>
      </c>
      <c r="J95" t="s">
        <v>152</v>
      </c>
      <c r="K95" t="s">
        <v>27</v>
      </c>
      <c r="M95" t="s">
        <v>22</v>
      </c>
      <c r="N95">
        <f t="shared" si="5"/>
        <v>2025</v>
      </c>
      <c r="O95">
        <f t="shared" si="3"/>
        <v>1</v>
      </c>
      <c r="P95" t="str">
        <f t="shared" si="4"/>
        <v>Enero</v>
      </c>
    </row>
    <row r="96" spans="3:16" hidden="1" x14ac:dyDescent="0.25">
      <c r="C96" t="s">
        <v>17</v>
      </c>
      <c r="D96">
        <v>53052001</v>
      </c>
      <c r="E96" t="s">
        <v>18</v>
      </c>
      <c r="F96" s="4">
        <v>4405.4449999999997</v>
      </c>
      <c r="G96" t="s">
        <v>153</v>
      </c>
      <c r="H96" s="3">
        <v>45716</v>
      </c>
      <c r="I96" t="s">
        <v>181</v>
      </c>
      <c r="J96" t="s">
        <v>155</v>
      </c>
      <c r="K96" t="s">
        <v>27</v>
      </c>
      <c r="M96" t="s">
        <v>22</v>
      </c>
      <c r="N96">
        <f t="shared" si="5"/>
        <v>2025</v>
      </c>
      <c r="O96">
        <f t="shared" si="3"/>
        <v>2</v>
      </c>
      <c r="P96" t="str">
        <f t="shared" si="4"/>
        <v>Febrero</v>
      </c>
    </row>
    <row r="97" spans="3:16" hidden="1" x14ac:dyDescent="0.25">
      <c r="C97" t="s">
        <v>17</v>
      </c>
      <c r="D97">
        <v>53052001</v>
      </c>
      <c r="E97" t="s">
        <v>18</v>
      </c>
      <c r="F97" s="4">
        <v>3787.134</v>
      </c>
      <c r="G97" t="s">
        <v>156</v>
      </c>
      <c r="H97" s="3">
        <v>45838</v>
      </c>
      <c r="I97" t="s">
        <v>182</v>
      </c>
      <c r="J97" t="s">
        <v>158</v>
      </c>
      <c r="K97" t="s">
        <v>27</v>
      </c>
      <c r="N97">
        <f t="shared" si="5"/>
        <v>2025</v>
      </c>
      <c r="O97">
        <f t="shared" si="3"/>
        <v>6</v>
      </c>
      <c r="P97" t="str">
        <f t="shared" si="4"/>
        <v>Junio</v>
      </c>
    </row>
    <row r="98" spans="3:16" hidden="1" x14ac:dyDescent="0.25">
      <c r="C98" t="s">
        <v>17</v>
      </c>
      <c r="D98">
        <v>53052001</v>
      </c>
      <c r="E98" t="s">
        <v>18</v>
      </c>
      <c r="F98" s="4">
        <v>4877.4570000000003</v>
      </c>
      <c r="G98" t="s">
        <v>159</v>
      </c>
      <c r="H98" s="3">
        <v>45747</v>
      </c>
      <c r="I98" t="s">
        <v>183</v>
      </c>
      <c r="J98" t="s">
        <v>161</v>
      </c>
      <c r="K98" t="s">
        <v>27</v>
      </c>
      <c r="M98" t="s">
        <v>22</v>
      </c>
      <c r="N98">
        <f t="shared" si="5"/>
        <v>2025</v>
      </c>
      <c r="O98">
        <f t="shared" si="3"/>
        <v>3</v>
      </c>
      <c r="P98" t="str">
        <f t="shared" si="4"/>
        <v>Marzo</v>
      </c>
    </row>
    <row r="99" spans="3:16" hidden="1" x14ac:dyDescent="0.25">
      <c r="C99" t="s">
        <v>17</v>
      </c>
      <c r="D99">
        <v>53052001</v>
      </c>
      <c r="E99" t="s">
        <v>18</v>
      </c>
      <c r="F99">
        <v>4733.9179999999997</v>
      </c>
      <c r="G99" t="s">
        <v>162</v>
      </c>
      <c r="H99" s="3">
        <v>45808</v>
      </c>
      <c r="I99" t="s">
        <v>184</v>
      </c>
      <c r="J99" t="s">
        <v>164</v>
      </c>
      <c r="K99" t="s">
        <v>27</v>
      </c>
      <c r="N99">
        <f t="shared" si="5"/>
        <v>2025</v>
      </c>
      <c r="O99">
        <f t="shared" si="3"/>
        <v>5</v>
      </c>
      <c r="P99" t="str">
        <f t="shared" si="4"/>
        <v>Mayo</v>
      </c>
    </row>
    <row r="100" spans="3:16" hidden="1" x14ac:dyDescent="0.25">
      <c r="C100" t="s">
        <v>17</v>
      </c>
      <c r="D100">
        <v>53052001</v>
      </c>
      <c r="E100" t="s">
        <v>18</v>
      </c>
      <c r="F100" s="11">
        <v>81929.820000000007</v>
      </c>
      <c r="G100" t="s">
        <v>144</v>
      </c>
      <c r="H100" s="3">
        <v>45777</v>
      </c>
      <c r="I100" t="s">
        <v>185</v>
      </c>
      <c r="J100" t="s">
        <v>146</v>
      </c>
      <c r="K100" t="s">
        <v>21</v>
      </c>
      <c r="M100" t="s">
        <v>22</v>
      </c>
      <c r="N100">
        <f t="shared" si="5"/>
        <v>2025</v>
      </c>
      <c r="O100">
        <f t="shared" si="3"/>
        <v>4</v>
      </c>
      <c r="P100" t="str">
        <f t="shared" si="4"/>
        <v>Abril</v>
      </c>
    </row>
    <row r="101" spans="3:16" hidden="1" x14ac:dyDescent="0.25">
      <c r="C101" t="s">
        <v>17</v>
      </c>
      <c r="D101">
        <v>53052001</v>
      </c>
      <c r="E101" t="s">
        <v>18</v>
      </c>
      <c r="F101" s="4">
        <v>84660.813999999998</v>
      </c>
      <c r="G101" t="s">
        <v>147</v>
      </c>
      <c r="H101" s="3">
        <v>45900</v>
      </c>
      <c r="I101" t="s">
        <v>186</v>
      </c>
      <c r="J101" t="s">
        <v>149</v>
      </c>
      <c r="K101" t="s">
        <v>21</v>
      </c>
      <c r="N101">
        <f t="shared" si="5"/>
        <v>2025</v>
      </c>
      <c r="O101">
        <f t="shared" si="3"/>
        <v>8</v>
      </c>
      <c r="P101" t="str">
        <f t="shared" si="4"/>
        <v>Agosto</v>
      </c>
    </row>
    <row r="102" spans="3:16" hidden="1" x14ac:dyDescent="0.25">
      <c r="C102" t="s">
        <v>17</v>
      </c>
      <c r="D102">
        <v>53052001</v>
      </c>
      <c r="E102" t="s">
        <v>18</v>
      </c>
      <c r="F102" s="4">
        <v>83748.05</v>
      </c>
      <c r="G102" t="s">
        <v>150</v>
      </c>
      <c r="H102" s="3">
        <v>45688</v>
      </c>
      <c r="I102" t="s">
        <v>187</v>
      </c>
      <c r="J102" t="s">
        <v>152</v>
      </c>
      <c r="K102" t="s">
        <v>21</v>
      </c>
      <c r="M102" t="s">
        <v>22</v>
      </c>
      <c r="N102">
        <f t="shared" si="5"/>
        <v>2025</v>
      </c>
      <c r="O102">
        <f t="shared" si="3"/>
        <v>1</v>
      </c>
      <c r="P102" t="str">
        <f t="shared" si="4"/>
        <v>Enero</v>
      </c>
    </row>
    <row r="103" spans="3:16" hidden="1" x14ac:dyDescent="0.25">
      <c r="C103" t="s">
        <v>17</v>
      </c>
      <c r="D103">
        <v>53052001</v>
      </c>
      <c r="E103" t="s">
        <v>18</v>
      </c>
      <c r="F103" s="4">
        <v>75643.399999999994</v>
      </c>
      <c r="G103" t="s">
        <v>153</v>
      </c>
      <c r="H103" s="3">
        <v>45716</v>
      </c>
      <c r="I103" t="s">
        <v>188</v>
      </c>
      <c r="J103" t="s">
        <v>155</v>
      </c>
      <c r="K103" t="s">
        <v>21</v>
      </c>
      <c r="M103" t="s">
        <v>22</v>
      </c>
      <c r="N103">
        <f t="shared" si="5"/>
        <v>2025</v>
      </c>
      <c r="O103">
        <f t="shared" si="3"/>
        <v>2</v>
      </c>
      <c r="P103" t="str">
        <f t="shared" si="4"/>
        <v>Febrero</v>
      </c>
    </row>
    <row r="104" spans="3:16" hidden="1" x14ac:dyDescent="0.25">
      <c r="C104" t="s">
        <v>17</v>
      </c>
      <c r="D104">
        <v>53052001</v>
      </c>
      <c r="E104" t="s">
        <v>18</v>
      </c>
      <c r="F104" s="4">
        <v>81929.820000000007</v>
      </c>
      <c r="G104" t="s">
        <v>156</v>
      </c>
      <c r="H104" s="3">
        <v>45838</v>
      </c>
      <c r="I104" t="s">
        <v>189</v>
      </c>
      <c r="J104" t="s">
        <v>158</v>
      </c>
      <c r="K104" t="s">
        <v>21</v>
      </c>
      <c r="N104">
        <f t="shared" si="5"/>
        <v>2025</v>
      </c>
      <c r="O104">
        <f t="shared" si="3"/>
        <v>6</v>
      </c>
      <c r="P104" t="str">
        <f t="shared" si="4"/>
        <v>Junio</v>
      </c>
    </row>
    <row r="105" spans="3:16" hidden="1" x14ac:dyDescent="0.25">
      <c r="C105" t="s">
        <v>17</v>
      </c>
      <c r="D105">
        <v>53052001</v>
      </c>
      <c r="E105" t="s">
        <v>18</v>
      </c>
      <c r="F105" s="4">
        <v>84426.865000000005</v>
      </c>
      <c r="G105" t="s">
        <v>159</v>
      </c>
      <c r="H105" s="3">
        <v>45747</v>
      </c>
      <c r="I105" t="s">
        <v>190</v>
      </c>
      <c r="J105" t="s">
        <v>161</v>
      </c>
      <c r="K105" t="s">
        <v>21</v>
      </c>
      <c r="M105" t="s">
        <v>22</v>
      </c>
      <c r="N105">
        <f t="shared" si="5"/>
        <v>2025</v>
      </c>
      <c r="O105">
        <f t="shared" si="3"/>
        <v>3</v>
      </c>
      <c r="P105" t="str">
        <f t="shared" si="4"/>
        <v>Marzo</v>
      </c>
    </row>
    <row r="106" spans="3:16" hidden="1" x14ac:dyDescent="0.25">
      <c r="C106" t="s">
        <v>17</v>
      </c>
      <c r="D106">
        <v>53052001</v>
      </c>
      <c r="E106" t="s">
        <v>18</v>
      </c>
      <c r="F106">
        <v>84660.813999999998</v>
      </c>
      <c r="G106" t="s">
        <v>162</v>
      </c>
      <c r="H106" s="3">
        <v>45808</v>
      </c>
      <c r="I106" t="s">
        <v>191</v>
      </c>
      <c r="J106" t="s">
        <v>164</v>
      </c>
      <c r="K106" t="s">
        <v>21</v>
      </c>
      <c r="N106">
        <f t="shared" si="5"/>
        <v>2025</v>
      </c>
      <c r="O106">
        <f t="shared" si="3"/>
        <v>5</v>
      </c>
      <c r="P106" t="str">
        <f t="shared" si="4"/>
        <v>Mayo</v>
      </c>
    </row>
    <row r="107" spans="3:16" hidden="1" x14ac:dyDescent="0.25">
      <c r="C107" t="s">
        <v>17</v>
      </c>
      <c r="D107">
        <v>53052001</v>
      </c>
      <c r="E107" t="s">
        <v>18</v>
      </c>
      <c r="F107" s="4">
        <v>1081.846</v>
      </c>
      <c r="G107" t="s">
        <v>192</v>
      </c>
      <c r="H107" s="3">
        <v>45900</v>
      </c>
      <c r="I107" t="s">
        <v>193</v>
      </c>
      <c r="J107" t="s">
        <v>193</v>
      </c>
      <c r="K107" t="s">
        <v>194</v>
      </c>
      <c r="N107">
        <f t="shared" si="5"/>
        <v>2025</v>
      </c>
      <c r="O107">
        <f t="shared" si="3"/>
        <v>8</v>
      </c>
      <c r="P107" t="str">
        <f t="shared" si="4"/>
        <v>Agosto</v>
      </c>
    </row>
    <row r="108" spans="3:16" hidden="1" x14ac:dyDescent="0.25">
      <c r="C108" t="s">
        <v>17</v>
      </c>
      <c r="D108">
        <v>53052001</v>
      </c>
      <c r="E108" t="s">
        <v>18</v>
      </c>
      <c r="F108" s="4">
        <v>1529.6030000000001</v>
      </c>
      <c r="G108" t="s">
        <v>195</v>
      </c>
      <c r="H108" s="3">
        <v>45716</v>
      </c>
      <c r="I108" t="s">
        <v>196</v>
      </c>
      <c r="J108" t="s">
        <v>196</v>
      </c>
      <c r="K108" t="s">
        <v>194</v>
      </c>
      <c r="M108" t="s">
        <v>22</v>
      </c>
      <c r="N108">
        <f t="shared" si="5"/>
        <v>2025</v>
      </c>
      <c r="O108">
        <f t="shared" si="3"/>
        <v>2</v>
      </c>
      <c r="P108" t="str">
        <f t="shared" si="4"/>
        <v>Febrero</v>
      </c>
    </row>
    <row r="109" spans="3:16" hidden="1" x14ac:dyDescent="0.25">
      <c r="C109" t="s">
        <v>17</v>
      </c>
      <c r="D109">
        <v>53052001</v>
      </c>
      <c r="E109" t="s">
        <v>18</v>
      </c>
      <c r="F109" s="12">
        <v>5001.5659999999998</v>
      </c>
      <c r="G109" s="13" t="s">
        <v>197</v>
      </c>
      <c r="H109" s="14">
        <v>45808</v>
      </c>
      <c r="I109" s="13" t="s">
        <v>198</v>
      </c>
      <c r="J109" s="13" t="s">
        <v>198</v>
      </c>
      <c r="K109" t="s">
        <v>194</v>
      </c>
      <c r="N109">
        <f t="shared" si="5"/>
        <v>2025</v>
      </c>
      <c r="O109">
        <f t="shared" si="3"/>
        <v>5</v>
      </c>
      <c r="P109" t="str">
        <f t="shared" si="4"/>
        <v>Mayo</v>
      </c>
    </row>
    <row r="110" spans="3:16" hidden="1" x14ac:dyDescent="0.25">
      <c r="C110" t="s">
        <v>17</v>
      </c>
      <c r="D110">
        <v>53052001</v>
      </c>
      <c r="E110" t="s">
        <v>18</v>
      </c>
      <c r="F110" s="4">
        <v>6457.8010000000004</v>
      </c>
      <c r="G110" t="s">
        <v>199</v>
      </c>
      <c r="H110" s="3">
        <v>45688</v>
      </c>
      <c r="I110" t="s">
        <v>200</v>
      </c>
      <c r="J110" t="s">
        <v>201</v>
      </c>
      <c r="K110" t="s">
        <v>194</v>
      </c>
      <c r="M110" t="s">
        <v>22</v>
      </c>
      <c r="N110">
        <f t="shared" si="5"/>
        <v>2025</v>
      </c>
      <c r="O110">
        <f t="shared" si="3"/>
        <v>1</v>
      </c>
      <c r="P110" t="str">
        <f t="shared" si="4"/>
        <v>Enero</v>
      </c>
    </row>
    <row r="111" spans="3:16" hidden="1" x14ac:dyDescent="0.25">
      <c r="C111" t="s">
        <v>17</v>
      </c>
      <c r="D111">
        <v>53052001</v>
      </c>
      <c r="E111" t="s">
        <v>18</v>
      </c>
      <c r="F111" s="4">
        <v>159.16200000000001</v>
      </c>
      <c r="G111" t="s">
        <v>202</v>
      </c>
      <c r="H111" s="3">
        <v>45716</v>
      </c>
      <c r="I111" t="s">
        <v>203</v>
      </c>
      <c r="J111" t="s">
        <v>203</v>
      </c>
      <c r="K111" t="s">
        <v>35</v>
      </c>
      <c r="M111" t="s">
        <v>22</v>
      </c>
      <c r="N111">
        <f t="shared" si="5"/>
        <v>2025</v>
      </c>
      <c r="O111">
        <f t="shared" si="3"/>
        <v>2</v>
      </c>
      <c r="P111" t="str">
        <f t="shared" si="4"/>
        <v>Febrero</v>
      </c>
    </row>
    <row r="112" spans="3:16" hidden="1" x14ac:dyDescent="0.25">
      <c r="C112" t="s">
        <v>17</v>
      </c>
      <c r="D112">
        <v>53052001</v>
      </c>
      <c r="E112" t="s">
        <v>18</v>
      </c>
      <c r="F112">
        <v>7514.8324000000002</v>
      </c>
      <c r="G112" t="s">
        <v>204</v>
      </c>
      <c r="H112" s="3">
        <v>45777</v>
      </c>
      <c r="I112" t="s">
        <v>205</v>
      </c>
      <c r="J112" t="s">
        <v>205</v>
      </c>
      <c r="K112" t="s">
        <v>206</v>
      </c>
      <c r="M112" t="s">
        <v>22</v>
      </c>
      <c r="N112">
        <f t="shared" si="5"/>
        <v>2025</v>
      </c>
      <c r="O112">
        <f t="shared" si="3"/>
        <v>4</v>
      </c>
      <c r="P112" t="str">
        <f t="shared" si="4"/>
        <v>Abril</v>
      </c>
    </row>
    <row r="113" spans="3:16" hidden="1" x14ac:dyDescent="0.25">
      <c r="C113" t="s">
        <v>17</v>
      </c>
      <c r="D113">
        <v>53052001</v>
      </c>
      <c r="E113" t="s">
        <v>18</v>
      </c>
      <c r="F113" s="4">
        <v>7514.8324000000002</v>
      </c>
      <c r="G113" t="s">
        <v>207</v>
      </c>
      <c r="H113" s="3">
        <v>45900</v>
      </c>
      <c r="I113" t="s">
        <v>208</v>
      </c>
      <c r="J113" t="s">
        <v>208</v>
      </c>
      <c r="K113" t="s">
        <v>206</v>
      </c>
      <c r="N113">
        <f t="shared" si="5"/>
        <v>2025</v>
      </c>
      <c r="O113">
        <f t="shared" si="3"/>
        <v>8</v>
      </c>
      <c r="P113" t="str">
        <f t="shared" si="4"/>
        <v>Agosto</v>
      </c>
    </row>
    <row r="114" spans="3:16" hidden="1" x14ac:dyDescent="0.25">
      <c r="C114" t="s">
        <v>17</v>
      </c>
      <c r="D114">
        <v>53052001</v>
      </c>
      <c r="E114" t="s">
        <v>18</v>
      </c>
      <c r="F114" s="4">
        <v>7514.8324000000002</v>
      </c>
      <c r="G114" t="s">
        <v>209</v>
      </c>
      <c r="H114" s="3">
        <v>45716</v>
      </c>
      <c r="I114" t="s">
        <v>210</v>
      </c>
      <c r="J114" t="s">
        <v>210</v>
      </c>
      <c r="K114" t="s">
        <v>206</v>
      </c>
      <c r="M114" t="s">
        <v>22</v>
      </c>
      <c r="N114">
        <f t="shared" si="5"/>
        <v>2025</v>
      </c>
      <c r="O114">
        <f t="shared" si="3"/>
        <v>2</v>
      </c>
      <c r="P114" t="str">
        <f t="shared" si="4"/>
        <v>Febrero</v>
      </c>
    </row>
    <row r="115" spans="3:16" hidden="1" x14ac:dyDescent="0.25">
      <c r="C115" t="s">
        <v>17</v>
      </c>
      <c r="D115">
        <v>53052001</v>
      </c>
      <c r="E115" t="s">
        <v>18</v>
      </c>
      <c r="F115" s="4">
        <v>7514.8324000000002</v>
      </c>
      <c r="G115" t="s">
        <v>211</v>
      </c>
      <c r="H115" s="3">
        <v>45688</v>
      </c>
      <c r="I115" t="s">
        <v>212</v>
      </c>
      <c r="J115" t="s">
        <v>213</v>
      </c>
      <c r="K115" t="s">
        <v>206</v>
      </c>
      <c r="M115" t="s">
        <v>22</v>
      </c>
      <c r="N115">
        <f t="shared" si="5"/>
        <v>2025</v>
      </c>
      <c r="O115">
        <f t="shared" si="3"/>
        <v>1</v>
      </c>
      <c r="P115" t="str">
        <f t="shared" si="4"/>
        <v>Enero</v>
      </c>
    </row>
    <row r="116" spans="3:16" hidden="1" x14ac:dyDescent="0.25">
      <c r="C116" t="s">
        <v>17</v>
      </c>
      <c r="D116">
        <v>53052001</v>
      </c>
      <c r="E116" t="s">
        <v>18</v>
      </c>
      <c r="F116" s="4">
        <v>7514.8324000000002</v>
      </c>
      <c r="G116" t="s">
        <v>214</v>
      </c>
      <c r="H116" s="3">
        <v>45869</v>
      </c>
      <c r="I116" t="s">
        <v>215</v>
      </c>
      <c r="J116" t="s">
        <v>215</v>
      </c>
      <c r="K116" t="s">
        <v>206</v>
      </c>
      <c r="M116" t="s">
        <v>22</v>
      </c>
      <c r="N116">
        <f t="shared" si="5"/>
        <v>2025</v>
      </c>
      <c r="O116">
        <f t="shared" si="3"/>
        <v>7</v>
      </c>
      <c r="P116" t="str">
        <f t="shared" si="4"/>
        <v>Julio</v>
      </c>
    </row>
    <row r="117" spans="3:16" hidden="1" x14ac:dyDescent="0.25">
      <c r="C117" t="s">
        <v>17</v>
      </c>
      <c r="D117">
        <v>53052001</v>
      </c>
      <c r="E117" t="s">
        <v>18</v>
      </c>
      <c r="F117" s="4">
        <v>7514.8324000000002</v>
      </c>
      <c r="G117" t="s">
        <v>216</v>
      </c>
      <c r="H117" s="3">
        <v>45747</v>
      </c>
      <c r="I117" t="s">
        <v>217</v>
      </c>
      <c r="J117" t="s">
        <v>217</v>
      </c>
      <c r="K117" t="s">
        <v>206</v>
      </c>
      <c r="M117" t="s">
        <v>22</v>
      </c>
      <c r="N117">
        <f t="shared" si="5"/>
        <v>2025</v>
      </c>
      <c r="O117">
        <f t="shared" si="3"/>
        <v>3</v>
      </c>
      <c r="P117" t="str">
        <f t="shared" si="4"/>
        <v>Marzo</v>
      </c>
    </row>
    <row r="118" spans="3:16" hidden="1" x14ac:dyDescent="0.25">
      <c r="C118" t="s">
        <v>17</v>
      </c>
      <c r="D118">
        <v>53052001</v>
      </c>
      <c r="E118" t="s">
        <v>18</v>
      </c>
      <c r="F118">
        <v>7514.8324000000002</v>
      </c>
      <c r="G118" t="s">
        <v>218</v>
      </c>
      <c r="H118" s="3">
        <v>45808</v>
      </c>
      <c r="I118" t="s">
        <v>219</v>
      </c>
      <c r="J118" t="s">
        <v>219</v>
      </c>
      <c r="K118" t="s">
        <v>206</v>
      </c>
      <c r="N118">
        <f t="shared" si="5"/>
        <v>2025</v>
      </c>
      <c r="O118">
        <f t="shared" si="3"/>
        <v>5</v>
      </c>
      <c r="P118" t="str">
        <f t="shared" si="4"/>
        <v>Mayo</v>
      </c>
    </row>
    <row r="119" spans="3:16" hidden="1" x14ac:dyDescent="0.25">
      <c r="C119" t="s">
        <v>17</v>
      </c>
      <c r="D119">
        <v>53052001</v>
      </c>
      <c r="E119" t="s">
        <v>18</v>
      </c>
      <c r="F119" s="4">
        <v>26716.821</v>
      </c>
      <c r="G119" t="s">
        <v>220</v>
      </c>
      <c r="H119" s="3">
        <v>45715</v>
      </c>
      <c r="I119" t="s">
        <v>221</v>
      </c>
      <c r="J119" t="s">
        <v>221</v>
      </c>
      <c r="K119" t="s">
        <v>21</v>
      </c>
      <c r="M119" t="s">
        <v>22</v>
      </c>
      <c r="N119">
        <f t="shared" si="5"/>
        <v>2025</v>
      </c>
      <c r="O119">
        <f t="shared" si="3"/>
        <v>2</v>
      </c>
      <c r="P119" t="str">
        <f t="shared" si="4"/>
        <v>Febrero</v>
      </c>
    </row>
    <row r="120" spans="3:16" hidden="1" x14ac:dyDescent="0.25">
      <c r="C120" t="s">
        <v>17</v>
      </c>
      <c r="D120">
        <v>53052001</v>
      </c>
      <c r="E120" t="s">
        <v>18</v>
      </c>
      <c r="F120" s="4">
        <v>259695.614</v>
      </c>
      <c r="G120" t="s">
        <v>222</v>
      </c>
      <c r="H120" s="3">
        <v>45869</v>
      </c>
      <c r="I120" t="s">
        <v>223</v>
      </c>
      <c r="J120" t="s">
        <v>223</v>
      </c>
      <c r="K120" t="s">
        <v>21</v>
      </c>
      <c r="M120" t="s">
        <v>22</v>
      </c>
      <c r="N120">
        <f t="shared" si="5"/>
        <v>2025</v>
      </c>
      <c r="O120">
        <f t="shared" si="3"/>
        <v>7</v>
      </c>
      <c r="P120" t="str">
        <f t="shared" si="4"/>
        <v>Julio</v>
      </c>
    </row>
    <row r="121" spans="3:16" hidden="1" x14ac:dyDescent="0.25">
      <c r="C121" t="s">
        <v>17</v>
      </c>
      <c r="D121">
        <v>53052001</v>
      </c>
      <c r="E121" t="s">
        <v>18</v>
      </c>
      <c r="F121" s="4">
        <v>11565.652</v>
      </c>
      <c r="G121" t="s">
        <v>224</v>
      </c>
      <c r="H121" s="3">
        <v>45896</v>
      </c>
      <c r="I121" t="s">
        <v>225</v>
      </c>
      <c r="J121" t="s">
        <v>225</v>
      </c>
      <c r="K121" t="s">
        <v>21</v>
      </c>
      <c r="N121">
        <f t="shared" si="5"/>
        <v>2025</v>
      </c>
      <c r="O121">
        <f t="shared" si="3"/>
        <v>8</v>
      </c>
      <c r="P121" t="str">
        <f t="shared" si="4"/>
        <v>Agosto</v>
      </c>
    </row>
    <row r="122" spans="3:16" hidden="1" x14ac:dyDescent="0.25">
      <c r="C122" t="s">
        <v>17</v>
      </c>
      <c r="D122">
        <v>53052001</v>
      </c>
      <c r="E122" t="s">
        <v>18</v>
      </c>
      <c r="F122" s="4">
        <v>11500.18</v>
      </c>
      <c r="G122" t="s">
        <v>226</v>
      </c>
      <c r="H122" s="3">
        <v>45865</v>
      </c>
      <c r="I122" t="s">
        <v>227</v>
      </c>
      <c r="J122" t="s">
        <v>227</v>
      </c>
      <c r="K122" t="s">
        <v>21</v>
      </c>
      <c r="M122" t="s">
        <v>22</v>
      </c>
      <c r="N122">
        <f t="shared" si="5"/>
        <v>2025</v>
      </c>
      <c r="O122">
        <f t="shared" si="3"/>
        <v>7</v>
      </c>
      <c r="P122" t="str">
        <f t="shared" si="4"/>
        <v>Julio</v>
      </c>
    </row>
    <row r="123" spans="3:16" hidden="1" x14ac:dyDescent="0.25">
      <c r="C123" t="s">
        <v>17</v>
      </c>
      <c r="D123">
        <v>53052001</v>
      </c>
      <c r="E123" t="s">
        <v>18</v>
      </c>
      <c r="F123">
        <v>12205.477999999999</v>
      </c>
      <c r="G123" t="s">
        <v>228</v>
      </c>
      <c r="H123" s="3">
        <v>45804</v>
      </c>
      <c r="I123" t="s">
        <v>229</v>
      </c>
      <c r="J123" t="s">
        <v>229</v>
      </c>
      <c r="K123" t="s">
        <v>21</v>
      </c>
      <c r="N123">
        <f t="shared" si="5"/>
        <v>2025</v>
      </c>
      <c r="O123">
        <f t="shared" si="3"/>
        <v>5</v>
      </c>
      <c r="P123" t="str">
        <f t="shared" si="4"/>
        <v>Mayo</v>
      </c>
    </row>
    <row r="124" spans="3:16" hidden="1" x14ac:dyDescent="0.25">
      <c r="C124" t="s">
        <v>17</v>
      </c>
      <c r="D124">
        <v>53052001</v>
      </c>
      <c r="E124" t="s">
        <v>18</v>
      </c>
      <c r="F124" s="4">
        <v>12164.526</v>
      </c>
      <c r="G124" t="s">
        <v>230</v>
      </c>
      <c r="H124" s="3">
        <v>45835</v>
      </c>
      <c r="I124" t="s">
        <v>231</v>
      </c>
      <c r="J124" t="s">
        <v>231</v>
      </c>
      <c r="K124" t="s">
        <v>21</v>
      </c>
      <c r="N124">
        <f t="shared" si="5"/>
        <v>2025</v>
      </c>
      <c r="O124">
        <f t="shared" si="3"/>
        <v>6</v>
      </c>
      <c r="P124" t="str">
        <f t="shared" si="4"/>
        <v>Junio</v>
      </c>
    </row>
    <row r="125" spans="3:16" hidden="1" x14ac:dyDescent="0.25">
      <c r="C125" t="s">
        <v>17</v>
      </c>
      <c r="D125">
        <v>53052001</v>
      </c>
      <c r="E125" t="s">
        <v>18</v>
      </c>
      <c r="F125" s="4">
        <v>11882.44</v>
      </c>
      <c r="G125" t="s">
        <v>232</v>
      </c>
      <c r="H125" s="3">
        <v>45743</v>
      </c>
      <c r="I125" t="s">
        <v>233</v>
      </c>
      <c r="J125" t="s">
        <v>233</v>
      </c>
      <c r="K125" t="s">
        <v>21</v>
      </c>
      <c r="M125" t="s">
        <v>22</v>
      </c>
      <c r="N125">
        <f t="shared" si="5"/>
        <v>2025</v>
      </c>
      <c r="O125">
        <f t="shared" si="3"/>
        <v>3</v>
      </c>
      <c r="P125" t="str">
        <f t="shared" si="4"/>
        <v>Marzo</v>
      </c>
    </row>
    <row r="126" spans="3:16" hidden="1" x14ac:dyDescent="0.25">
      <c r="C126" t="s">
        <v>17</v>
      </c>
      <c r="D126">
        <v>53052001</v>
      </c>
      <c r="E126" t="s">
        <v>18</v>
      </c>
      <c r="F126" s="4">
        <v>13684.607</v>
      </c>
      <c r="G126" t="s">
        <v>234</v>
      </c>
      <c r="H126" s="3">
        <v>45684</v>
      </c>
      <c r="I126" t="s">
        <v>235</v>
      </c>
      <c r="J126" t="s">
        <v>236</v>
      </c>
      <c r="K126" t="s">
        <v>21</v>
      </c>
      <c r="M126" t="s">
        <v>93</v>
      </c>
      <c r="N126">
        <f t="shared" si="5"/>
        <v>2025</v>
      </c>
      <c r="O126">
        <f t="shared" si="3"/>
        <v>1</v>
      </c>
      <c r="P126" t="str">
        <f t="shared" si="4"/>
        <v>Enero</v>
      </c>
    </row>
    <row r="127" spans="3:16" hidden="1" x14ac:dyDescent="0.25">
      <c r="C127" t="s">
        <v>17</v>
      </c>
      <c r="D127">
        <v>53052001</v>
      </c>
      <c r="E127" t="s">
        <v>18</v>
      </c>
      <c r="F127" s="4">
        <v>-1755.55312</v>
      </c>
      <c r="G127" t="s">
        <v>237</v>
      </c>
      <c r="H127" s="3">
        <v>45900</v>
      </c>
      <c r="I127" t="s">
        <v>238</v>
      </c>
      <c r="J127" t="s">
        <v>239</v>
      </c>
      <c r="K127" t="s">
        <v>69</v>
      </c>
      <c r="N127">
        <f t="shared" si="5"/>
        <v>2025</v>
      </c>
      <c r="O127">
        <f t="shared" si="3"/>
        <v>8</v>
      </c>
      <c r="P127" t="str">
        <f t="shared" si="4"/>
        <v>Agosto</v>
      </c>
    </row>
    <row r="128" spans="3:16" hidden="1" x14ac:dyDescent="0.25">
      <c r="C128" t="s">
        <v>17</v>
      </c>
      <c r="D128">
        <v>53052001</v>
      </c>
      <c r="E128" t="s">
        <v>18</v>
      </c>
      <c r="F128">
        <v>-94879.976049999997</v>
      </c>
      <c r="G128" t="s">
        <v>240</v>
      </c>
      <c r="H128" s="3">
        <v>45805</v>
      </c>
      <c r="I128" t="s">
        <v>241</v>
      </c>
      <c r="J128" t="s">
        <v>241</v>
      </c>
      <c r="K128" t="s">
        <v>35</v>
      </c>
      <c r="N128">
        <f t="shared" si="5"/>
        <v>2025</v>
      </c>
      <c r="O128">
        <f t="shared" si="3"/>
        <v>5</v>
      </c>
      <c r="P128" t="str">
        <f t="shared" si="4"/>
        <v>Mayo</v>
      </c>
    </row>
    <row r="129" spans="3:16" hidden="1" x14ac:dyDescent="0.25">
      <c r="C129" t="s">
        <v>17</v>
      </c>
      <c r="D129">
        <v>53052001</v>
      </c>
      <c r="E129" t="s">
        <v>18</v>
      </c>
      <c r="F129" s="11">
        <v>-8762.3389999999999</v>
      </c>
      <c r="G129" t="s">
        <v>240</v>
      </c>
      <c r="H129" s="3">
        <v>45805</v>
      </c>
      <c r="I129" t="s">
        <v>241</v>
      </c>
      <c r="J129" t="s">
        <v>241</v>
      </c>
      <c r="K129" t="s">
        <v>37</v>
      </c>
      <c r="N129">
        <f t="shared" si="5"/>
        <v>2025</v>
      </c>
      <c r="O129">
        <f t="shared" si="3"/>
        <v>5</v>
      </c>
      <c r="P129" t="str">
        <f t="shared" si="4"/>
        <v>Mayo</v>
      </c>
    </row>
    <row r="130" spans="3:16" hidden="1" x14ac:dyDescent="0.25">
      <c r="C130" t="s">
        <v>17</v>
      </c>
      <c r="D130">
        <v>53052001</v>
      </c>
      <c r="E130" t="s">
        <v>18</v>
      </c>
      <c r="F130">
        <v>-209931.94699999999</v>
      </c>
      <c r="G130" t="s">
        <v>240</v>
      </c>
      <c r="H130" s="3">
        <v>45805</v>
      </c>
      <c r="I130" t="s">
        <v>241</v>
      </c>
      <c r="J130" t="s">
        <v>241</v>
      </c>
      <c r="K130" t="s">
        <v>31</v>
      </c>
      <c r="N130">
        <f t="shared" si="5"/>
        <v>2025</v>
      </c>
      <c r="O130">
        <f t="shared" ref="O130:O193" si="6">+MONTH(H130)</f>
        <v>5</v>
      </c>
      <c r="P130" t="str">
        <f t="shared" ref="P130:P193" si="7">+VLOOKUP(O130,X:Y,2,0)</f>
        <v>Mayo</v>
      </c>
    </row>
    <row r="131" spans="3:16" hidden="1" x14ac:dyDescent="0.25">
      <c r="C131" t="s">
        <v>17</v>
      </c>
      <c r="D131">
        <v>53052001</v>
      </c>
      <c r="E131" t="s">
        <v>18</v>
      </c>
      <c r="F131">
        <v>-418648.70382</v>
      </c>
      <c r="G131" t="s">
        <v>240</v>
      </c>
      <c r="H131" s="3">
        <v>45805</v>
      </c>
      <c r="I131" t="s">
        <v>241</v>
      </c>
      <c r="J131" t="s">
        <v>241</v>
      </c>
      <c r="K131" t="s">
        <v>27</v>
      </c>
      <c r="N131">
        <f t="shared" ref="N131:N194" si="8">+YEAR(H131)</f>
        <v>2025</v>
      </c>
      <c r="O131">
        <f t="shared" si="6"/>
        <v>5</v>
      </c>
      <c r="P131" t="str">
        <f t="shared" si="7"/>
        <v>Mayo</v>
      </c>
    </row>
    <row r="132" spans="3:16" hidden="1" x14ac:dyDescent="0.25">
      <c r="C132" t="s">
        <v>17</v>
      </c>
      <c r="D132">
        <v>53052001</v>
      </c>
      <c r="E132" t="s">
        <v>18</v>
      </c>
      <c r="F132">
        <v>-12519.463310000001</v>
      </c>
      <c r="G132" t="s">
        <v>240</v>
      </c>
      <c r="H132" s="3">
        <v>45805</v>
      </c>
      <c r="I132" t="s">
        <v>241</v>
      </c>
      <c r="J132" t="s">
        <v>241</v>
      </c>
      <c r="K132" t="s">
        <v>41</v>
      </c>
      <c r="N132">
        <f t="shared" si="8"/>
        <v>2025</v>
      </c>
      <c r="O132">
        <f t="shared" si="6"/>
        <v>5</v>
      </c>
      <c r="P132" t="str">
        <f t="shared" si="7"/>
        <v>Mayo</v>
      </c>
    </row>
    <row r="133" spans="3:16" hidden="1" x14ac:dyDescent="0.25">
      <c r="C133" t="s">
        <v>17</v>
      </c>
      <c r="D133">
        <v>53052001</v>
      </c>
      <c r="E133" t="s">
        <v>18</v>
      </c>
      <c r="F133">
        <v>-43800.743240000003</v>
      </c>
      <c r="G133" t="s">
        <v>240</v>
      </c>
      <c r="H133" s="3">
        <v>45805</v>
      </c>
      <c r="I133" t="s">
        <v>241</v>
      </c>
      <c r="J133" t="s">
        <v>241</v>
      </c>
      <c r="K133" t="s">
        <v>69</v>
      </c>
      <c r="N133">
        <f t="shared" si="8"/>
        <v>2025</v>
      </c>
      <c r="O133">
        <f t="shared" si="6"/>
        <v>5</v>
      </c>
      <c r="P133" t="str">
        <f t="shared" si="7"/>
        <v>Mayo</v>
      </c>
    </row>
    <row r="134" spans="3:16" hidden="1" x14ac:dyDescent="0.25">
      <c r="C134" t="s">
        <v>17</v>
      </c>
      <c r="D134">
        <v>53052001</v>
      </c>
      <c r="E134" t="s">
        <v>18</v>
      </c>
      <c r="F134" s="4">
        <v>-185786.09734000001</v>
      </c>
      <c r="G134" t="s">
        <v>240</v>
      </c>
      <c r="H134" s="3">
        <v>45805</v>
      </c>
      <c r="I134" t="s">
        <v>241</v>
      </c>
      <c r="J134" t="s">
        <v>241</v>
      </c>
      <c r="K134" t="s">
        <v>21</v>
      </c>
      <c r="N134">
        <f t="shared" si="8"/>
        <v>2025</v>
      </c>
      <c r="O134">
        <f t="shared" si="6"/>
        <v>5</v>
      </c>
      <c r="P134" t="str">
        <f t="shared" si="7"/>
        <v>Mayo</v>
      </c>
    </row>
    <row r="135" spans="3:16" hidden="1" x14ac:dyDescent="0.25">
      <c r="C135" t="s">
        <v>17</v>
      </c>
      <c r="D135">
        <v>53052001</v>
      </c>
      <c r="E135" t="s">
        <v>18</v>
      </c>
      <c r="F135" s="4">
        <v>-153539.79800000001</v>
      </c>
      <c r="G135" t="s">
        <v>242</v>
      </c>
      <c r="H135" s="3">
        <v>45707</v>
      </c>
      <c r="I135" t="s">
        <v>243</v>
      </c>
      <c r="J135" t="s">
        <v>243</v>
      </c>
      <c r="K135" t="s">
        <v>35</v>
      </c>
      <c r="M135" t="s">
        <v>22</v>
      </c>
      <c r="N135">
        <f t="shared" si="8"/>
        <v>2025</v>
      </c>
      <c r="O135">
        <f t="shared" si="6"/>
        <v>2</v>
      </c>
      <c r="P135" t="str">
        <f t="shared" si="7"/>
        <v>Febrero</v>
      </c>
    </row>
    <row r="136" spans="3:16" hidden="1" x14ac:dyDescent="0.25">
      <c r="C136" t="s">
        <v>17</v>
      </c>
      <c r="D136">
        <v>53052001</v>
      </c>
      <c r="E136" t="s">
        <v>18</v>
      </c>
      <c r="F136" s="4">
        <v>-13367.965</v>
      </c>
      <c r="G136" t="s">
        <v>242</v>
      </c>
      <c r="H136" s="3">
        <v>45707</v>
      </c>
      <c r="I136" t="s">
        <v>243</v>
      </c>
      <c r="J136" t="s">
        <v>243</v>
      </c>
      <c r="K136" t="s">
        <v>37</v>
      </c>
      <c r="M136" t="s">
        <v>22</v>
      </c>
      <c r="N136">
        <f t="shared" si="8"/>
        <v>2025</v>
      </c>
      <c r="O136">
        <f t="shared" si="6"/>
        <v>2</v>
      </c>
      <c r="P136" t="str">
        <f t="shared" si="7"/>
        <v>Febrero</v>
      </c>
    </row>
    <row r="137" spans="3:16" hidden="1" x14ac:dyDescent="0.25">
      <c r="C137" t="s">
        <v>17</v>
      </c>
      <c r="D137">
        <v>53052001</v>
      </c>
      <c r="E137" t="s">
        <v>18</v>
      </c>
      <c r="F137" s="4">
        <v>-191960.83743000001</v>
      </c>
      <c r="G137" t="s">
        <v>242</v>
      </c>
      <c r="H137" s="3">
        <v>45707</v>
      </c>
      <c r="I137" t="s">
        <v>243</v>
      </c>
      <c r="J137" t="s">
        <v>243</v>
      </c>
      <c r="K137" t="s">
        <v>31</v>
      </c>
      <c r="M137" t="s">
        <v>22</v>
      </c>
      <c r="N137">
        <f t="shared" si="8"/>
        <v>2025</v>
      </c>
      <c r="O137">
        <f t="shared" si="6"/>
        <v>2</v>
      </c>
      <c r="P137" t="str">
        <f t="shared" si="7"/>
        <v>Febrero</v>
      </c>
    </row>
    <row r="138" spans="3:16" hidden="1" x14ac:dyDescent="0.25">
      <c r="C138" t="s">
        <v>17</v>
      </c>
      <c r="D138">
        <v>53052001</v>
      </c>
      <c r="E138" t="s">
        <v>18</v>
      </c>
      <c r="F138" s="4">
        <v>-104518.54948999999</v>
      </c>
      <c r="G138" t="s">
        <v>242</v>
      </c>
      <c r="H138" s="3">
        <v>45707</v>
      </c>
      <c r="I138" t="s">
        <v>243</v>
      </c>
      <c r="J138" t="s">
        <v>243</v>
      </c>
      <c r="K138" t="s">
        <v>27</v>
      </c>
      <c r="M138" t="s">
        <v>22</v>
      </c>
      <c r="N138">
        <f t="shared" si="8"/>
        <v>2025</v>
      </c>
      <c r="O138">
        <f t="shared" si="6"/>
        <v>2</v>
      </c>
      <c r="P138" t="str">
        <f t="shared" si="7"/>
        <v>Febrero</v>
      </c>
    </row>
    <row r="139" spans="3:16" hidden="1" x14ac:dyDescent="0.25">
      <c r="C139" t="s">
        <v>17</v>
      </c>
      <c r="D139">
        <v>53052001</v>
      </c>
      <c r="E139" t="s">
        <v>18</v>
      </c>
      <c r="F139" s="4">
        <v>-12909.654829999999</v>
      </c>
      <c r="G139" t="s">
        <v>242</v>
      </c>
      <c r="H139" s="3">
        <v>45707</v>
      </c>
      <c r="I139" t="s">
        <v>243</v>
      </c>
      <c r="J139" t="s">
        <v>243</v>
      </c>
      <c r="K139" t="s">
        <v>41</v>
      </c>
      <c r="M139" t="s">
        <v>22</v>
      </c>
      <c r="N139">
        <f t="shared" si="8"/>
        <v>2025</v>
      </c>
      <c r="O139">
        <f t="shared" si="6"/>
        <v>2</v>
      </c>
      <c r="P139" t="str">
        <f t="shared" si="7"/>
        <v>Febrero</v>
      </c>
    </row>
    <row r="140" spans="3:16" hidden="1" x14ac:dyDescent="0.25">
      <c r="C140" t="s">
        <v>17</v>
      </c>
      <c r="D140">
        <v>53052001</v>
      </c>
      <c r="E140" t="s">
        <v>18</v>
      </c>
      <c r="F140" s="4">
        <v>-153283.09789999999</v>
      </c>
      <c r="G140" t="s">
        <v>242</v>
      </c>
      <c r="H140" s="3">
        <v>45707</v>
      </c>
      <c r="I140" t="s">
        <v>243</v>
      </c>
      <c r="J140" t="s">
        <v>243</v>
      </c>
      <c r="K140" t="s">
        <v>69</v>
      </c>
      <c r="M140" t="s">
        <v>22</v>
      </c>
      <c r="N140">
        <f t="shared" si="8"/>
        <v>2025</v>
      </c>
      <c r="O140">
        <f t="shared" si="6"/>
        <v>2</v>
      </c>
      <c r="P140" t="str">
        <f t="shared" si="7"/>
        <v>Febrero</v>
      </c>
    </row>
    <row r="141" spans="3:16" hidden="1" x14ac:dyDescent="0.25">
      <c r="C141" t="s">
        <v>17</v>
      </c>
      <c r="D141">
        <v>53052001</v>
      </c>
      <c r="E141" t="s">
        <v>18</v>
      </c>
      <c r="F141" s="4">
        <v>-154474.31652000002</v>
      </c>
      <c r="G141" t="s">
        <v>242</v>
      </c>
      <c r="H141" s="3">
        <v>45707</v>
      </c>
      <c r="I141" t="s">
        <v>243</v>
      </c>
      <c r="J141" t="s">
        <v>243</v>
      </c>
      <c r="K141" t="s">
        <v>21</v>
      </c>
      <c r="M141" t="s">
        <v>22</v>
      </c>
      <c r="N141">
        <f t="shared" si="8"/>
        <v>2025</v>
      </c>
      <c r="O141">
        <f t="shared" si="6"/>
        <v>2</v>
      </c>
      <c r="P141" t="str">
        <f t="shared" si="7"/>
        <v>Febrero</v>
      </c>
    </row>
    <row r="142" spans="3:16" hidden="1" x14ac:dyDescent="0.25">
      <c r="C142" t="s">
        <v>17</v>
      </c>
      <c r="D142">
        <v>53052001</v>
      </c>
      <c r="E142" t="s">
        <v>18</v>
      </c>
      <c r="F142" s="4">
        <v>-141857.01723</v>
      </c>
      <c r="G142" t="s">
        <v>244</v>
      </c>
      <c r="H142" s="3">
        <v>45737</v>
      </c>
      <c r="I142" t="s">
        <v>245</v>
      </c>
      <c r="J142" t="s">
        <v>245</v>
      </c>
      <c r="K142" t="s">
        <v>35</v>
      </c>
      <c r="M142" t="s">
        <v>22</v>
      </c>
      <c r="N142">
        <f t="shared" si="8"/>
        <v>2025</v>
      </c>
      <c r="O142">
        <f t="shared" si="6"/>
        <v>3</v>
      </c>
      <c r="P142" t="str">
        <f t="shared" si="7"/>
        <v>Marzo</v>
      </c>
    </row>
    <row r="143" spans="3:16" hidden="1" x14ac:dyDescent="0.25">
      <c r="C143" t="s">
        <v>17</v>
      </c>
      <c r="D143">
        <v>53052001</v>
      </c>
      <c r="E143" t="s">
        <v>18</v>
      </c>
      <c r="F143" s="4">
        <v>-46856.942000000003</v>
      </c>
      <c r="G143" t="s">
        <v>244</v>
      </c>
      <c r="H143" s="3">
        <v>45737</v>
      </c>
      <c r="I143" t="s">
        <v>245</v>
      </c>
      <c r="J143" t="s">
        <v>245</v>
      </c>
      <c r="K143" t="s">
        <v>37</v>
      </c>
      <c r="M143" t="s">
        <v>22</v>
      </c>
      <c r="N143">
        <f t="shared" si="8"/>
        <v>2025</v>
      </c>
      <c r="O143">
        <f t="shared" si="6"/>
        <v>3</v>
      </c>
      <c r="P143" t="str">
        <f t="shared" si="7"/>
        <v>Marzo</v>
      </c>
    </row>
    <row r="144" spans="3:16" hidden="1" x14ac:dyDescent="0.25">
      <c r="C144" t="s">
        <v>17</v>
      </c>
      <c r="D144">
        <v>53052001</v>
      </c>
      <c r="E144" t="s">
        <v>18</v>
      </c>
      <c r="F144" s="4">
        <v>-176016.63911000002</v>
      </c>
      <c r="G144" t="s">
        <v>244</v>
      </c>
      <c r="H144" s="3">
        <v>45737</v>
      </c>
      <c r="I144" t="s">
        <v>245</v>
      </c>
      <c r="J144" t="s">
        <v>245</v>
      </c>
      <c r="K144" t="s">
        <v>31</v>
      </c>
      <c r="M144" t="s">
        <v>22</v>
      </c>
      <c r="N144">
        <f t="shared" si="8"/>
        <v>2025</v>
      </c>
      <c r="O144">
        <f t="shared" si="6"/>
        <v>3</v>
      </c>
      <c r="P144" t="str">
        <f t="shared" si="7"/>
        <v>Marzo</v>
      </c>
    </row>
    <row r="145" spans="3:16" hidden="1" x14ac:dyDescent="0.25">
      <c r="C145" t="s">
        <v>17</v>
      </c>
      <c r="D145">
        <v>53052001</v>
      </c>
      <c r="E145" t="s">
        <v>18</v>
      </c>
      <c r="F145" s="4">
        <v>-402443.36616999999</v>
      </c>
      <c r="G145" t="s">
        <v>244</v>
      </c>
      <c r="H145" s="3">
        <v>45737</v>
      </c>
      <c r="I145" t="s">
        <v>245</v>
      </c>
      <c r="J145" t="s">
        <v>245</v>
      </c>
      <c r="K145" t="s">
        <v>27</v>
      </c>
      <c r="M145" t="s">
        <v>22</v>
      </c>
      <c r="N145">
        <f t="shared" si="8"/>
        <v>2025</v>
      </c>
      <c r="O145">
        <f t="shared" si="6"/>
        <v>3</v>
      </c>
      <c r="P145" t="str">
        <f t="shared" si="7"/>
        <v>Marzo</v>
      </c>
    </row>
    <row r="146" spans="3:16" hidden="1" x14ac:dyDescent="0.25">
      <c r="C146" t="s">
        <v>17</v>
      </c>
      <c r="D146">
        <v>53052001</v>
      </c>
      <c r="E146" t="s">
        <v>18</v>
      </c>
      <c r="F146" s="4">
        <v>-11686.05798</v>
      </c>
      <c r="G146" t="s">
        <v>244</v>
      </c>
      <c r="H146" s="3">
        <v>45737</v>
      </c>
      <c r="I146" t="s">
        <v>245</v>
      </c>
      <c r="J146" t="s">
        <v>245</v>
      </c>
      <c r="K146" t="s">
        <v>41</v>
      </c>
      <c r="M146" t="s">
        <v>22</v>
      </c>
      <c r="N146">
        <f t="shared" si="8"/>
        <v>2025</v>
      </c>
      <c r="O146">
        <f t="shared" si="6"/>
        <v>3</v>
      </c>
      <c r="P146" t="str">
        <f t="shared" si="7"/>
        <v>Marzo</v>
      </c>
    </row>
    <row r="147" spans="3:16" hidden="1" x14ac:dyDescent="0.25">
      <c r="C147" t="s">
        <v>17</v>
      </c>
      <c r="D147">
        <v>53052001</v>
      </c>
      <c r="E147" t="s">
        <v>18</v>
      </c>
      <c r="F147" s="4">
        <v>-141509.16409999999</v>
      </c>
      <c r="G147" t="s">
        <v>244</v>
      </c>
      <c r="H147" s="3">
        <v>45737</v>
      </c>
      <c r="I147" t="s">
        <v>245</v>
      </c>
      <c r="J147" t="s">
        <v>245</v>
      </c>
      <c r="K147" t="s">
        <v>69</v>
      </c>
      <c r="M147" t="s">
        <v>22</v>
      </c>
      <c r="N147">
        <f t="shared" si="8"/>
        <v>2025</v>
      </c>
      <c r="O147">
        <f t="shared" si="6"/>
        <v>3</v>
      </c>
      <c r="P147" t="str">
        <f t="shared" si="7"/>
        <v>Marzo</v>
      </c>
    </row>
    <row r="148" spans="3:16" hidden="1" x14ac:dyDescent="0.25">
      <c r="C148" t="s">
        <v>17</v>
      </c>
      <c r="D148">
        <v>53052001</v>
      </c>
      <c r="E148" t="s">
        <v>18</v>
      </c>
      <c r="F148" s="4">
        <v>-99431.405870000002</v>
      </c>
      <c r="G148" t="s">
        <v>244</v>
      </c>
      <c r="H148" s="3">
        <v>45737</v>
      </c>
      <c r="I148" t="s">
        <v>245</v>
      </c>
      <c r="J148" t="s">
        <v>245</v>
      </c>
      <c r="K148" t="s">
        <v>21</v>
      </c>
      <c r="M148" t="s">
        <v>22</v>
      </c>
      <c r="N148">
        <f t="shared" si="8"/>
        <v>2025</v>
      </c>
      <c r="O148">
        <f t="shared" si="6"/>
        <v>3</v>
      </c>
      <c r="P148" t="str">
        <f t="shared" si="7"/>
        <v>Marzo</v>
      </c>
    </row>
    <row r="149" spans="3:16" hidden="1" x14ac:dyDescent="0.25">
      <c r="C149" t="s">
        <v>17</v>
      </c>
      <c r="D149">
        <v>53052001</v>
      </c>
      <c r="E149" t="s">
        <v>18</v>
      </c>
      <c r="F149" s="5">
        <v>-251656.829</v>
      </c>
      <c r="G149" s="6" t="s">
        <v>246</v>
      </c>
      <c r="H149" s="7">
        <v>45852</v>
      </c>
      <c r="I149" s="6" t="s">
        <v>247</v>
      </c>
      <c r="J149" s="6" t="s">
        <v>247</v>
      </c>
      <c r="K149" s="6" t="s">
        <v>35</v>
      </c>
      <c r="L149" s="6" t="s">
        <v>248</v>
      </c>
      <c r="M149" t="s">
        <v>22</v>
      </c>
      <c r="N149">
        <f t="shared" si="8"/>
        <v>2025</v>
      </c>
      <c r="O149">
        <f t="shared" si="6"/>
        <v>7</v>
      </c>
      <c r="P149" t="str">
        <f t="shared" si="7"/>
        <v>Julio</v>
      </c>
    </row>
    <row r="150" spans="3:16" hidden="1" x14ac:dyDescent="0.25">
      <c r="C150" t="s">
        <v>17</v>
      </c>
      <c r="D150">
        <v>53052001</v>
      </c>
      <c r="E150" t="s">
        <v>18</v>
      </c>
      <c r="F150" s="4">
        <v>-8701.2344300000004</v>
      </c>
      <c r="G150" t="s">
        <v>246</v>
      </c>
      <c r="H150" s="3">
        <v>45852</v>
      </c>
      <c r="I150" t="s">
        <v>247</v>
      </c>
      <c r="J150" t="s">
        <v>247</v>
      </c>
      <c r="K150" t="s">
        <v>37</v>
      </c>
      <c r="M150" t="s">
        <v>22</v>
      </c>
      <c r="N150">
        <f t="shared" si="8"/>
        <v>2025</v>
      </c>
      <c r="O150">
        <f t="shared" si="6"/>
        <v>7</v>
      </c>
      <c r="P150" t="str">
        <f t="shared" si="7"/>
        <v>Julio</v>
      </c>
    </row>
    <row r="151" spans="3:16" hidden="1" x14ac:dyDescent="0.25">
      <c r="C151" t="s">
        <v>17</v>
      </c>
      <c r="D151">
        <v>53052001</v>
      </c>
      <c r="E151" t="s">
        <v>18</v>
      </c>
      <c r="F151" s="4">
        <v>-427456.37</v>
      </c>
      <c r="G151" t="s">
        <v>246</v>
      </c>
      <c r="H151" s="3">
        <v>45852</v>
      </c>
      <c r="I151" t="s">
        <v>247</v>
      </c>
      <c r="J151" t="s">
        <v>247</v>
      </c>
      <c r="K151" t="s">
        <v>31</v>
      </c>
      <c r="M151" t="s">
        <v>22</v>
      </c>
      <c r="N151">
        <f t="shared" si="8"/>
        <v>2025</v>
      </c>
      <c r="O151">
        <f t="shared" si="6"/>
        <v>7</v>
      </c>
      <c r="P151" t="str">
        <f t="shared" si="7"/>
        <v>Julio</v>
      </c>
    </row>
    <row r="152" spans="3:16" hidden="1" x14ac:dyDescent="0.25">
      <c r="C152" t="s">
        <v>17</v>
      </c>
      <c r="D152">
        <v>53052001</v>
      </c>
      <c r="E152" t="s">
        <v>18</v>
      </c>
      <c r="F152" s="5">
        <v>-791082.12884000002</v>
      </c>
      <c r="G152" s="6" t="s">
        <v>246</v>
      </c>
      <c r="H152" s="7">
        <v>45852</v>
      </c>
      <c r="I152" s="6" t="s">
        <v>247</v>
      </c>
      <c r="J152" s="6" t="s">
        <v>247</v>
      </c>
      <c r="K152" s="6" t="s">
        <v>27</v>
      </c>
      <c r="L152" s="6" t="s">
        <v>249</v>
      </c>
      <c r="M152" t="s">
        <v>22</v>
      </c>
      <c r="N152">
        <f t="shared" si="8"/>
        <v>2025</v>
      </c>
      <c r="O152">
        <f t="shared" si="6"/>
        <v>7</v>
      </c>
      <c r="P152" t="str">
        <f t="shared" si="7"/>
        <v>Julio</v>
      </c>
    </row>
    <row r="153" spans="3:16" hidden="1" x14ac:dyDescent="0.25">
      <c r="C153" t="s">
        <v>17</v>
      </c>
      <c r="D153">
        <v>53052001</v>
      </c>
      <c r="E153" t="s">
        <v>18</v>
      </c>
      <c r="F153" s="5">
        <v>-13341.31403</v>
      </c>
      <c r="G153" s="6" t="s">
        <v>246</v>
      </c>
      <c r="H153" s="7">
        <v>45852</v>
      </c>
      <c r="I153" s="6" t="s">
        <v>247</v>
      </c>
      <c r="J153" s="6" t="s">
        <v>247</v>
      </c>
      <c r="K153" s="6" t="s">
        <v>41</v>
      </c>
      <c r="L153" s="6" t="s">
        <v>250</v>
      </c>
      <c r="M153" t="s">
        <v>22</v>
      </c>
      <c r="N153">
        <f t="shared" si="8"/>
        <v>2025</v>
      </c>
      <c r="O153">
        <f t="shared" si="6"/>
        <v>7</v>
      </c>
      <c r="P153" t="str">
        <f t="shared" si="7"/>
        <v>Julio</v>
      </c>
    </row>
    <row r="154" spans="3:16" hidden="1" x14ac:dyDescent="0.25">
      <c r="C154" t="s">
        <v>17</v>
      </c>
      <c r="D154">
        <v>53052001</v>
      </c>
      <c r="E154" t="s">
        <v>18</v>
      </c>
      <c r="F154" s="4">
        <v>-130733.3282</v>
      </c>
      <c r="G154" t="s">
        <v>246</v>
      </c>
      <c r="H154" s="3">
        <v>45852</v>
      </c>
      <c r="I154" t="s">
        <v>247</v>
      </c>
      <c r="J154" t="s">
        <v>247</v>
      </c>
      <c r="K154" t="s">
        <v>69</v>
      </c>
      <c r="M154" t="s">
        <v>22</v>
      </c>
      <c r="N154">
        <f t="shared" si="8"/>
        <v>2025</v>
      </c>
      <c r="O154">
        <f t="shared" si="6"/>
        <v>7</v>
      </c>
      <c r="P154" t="str">
        <f t="shared" si="7"/>
        <v>Julio</v>
      </c>
    </row>
    <row r="155" spans="3:16" hidden="1" x14ac:dyDescent="0.25">
      <c r="C155" t="s">
        <v>17</v>
      </c>
      <c r="D155">
        <v>53052001</v>
      </c>
      <c r="E155" t="s">
        <v>18</v>
      </c>
      <c r="F155" s="5">
        <v>-286419.12272000004</v>
      </c>
      <c r="G155" s="6" t="s">
        <v>246</v>
      </c>
      <c r="H155" s="7">
        <v>45852</v>
      </c>
      <c r="I155" s="6" t="s">
        <v>247</v>
      </c>
      <c r="J155" s="6" t="s">
        <v>247</v>
      </c>
      <c r="K155" s="6" t="s">
        <v>21</v>
      </c>
      <c r="L155" s="6" t="s">
        <v>251</v>
      </c>
      <c r="M155" t="s">
        <v>22</v>
      </c>
      <c r="N155">
        <f t="shared" si="8"/>
        <v>2025</v>
      </c>
      <c r="O155">
        <f t="shared" si="6"/>
        <v>7</v>
      </c>
      <c r="P155" t="str">
        <f t="shared" si="7"/>
        <v>Julio</v>
      </c>
    </row>
    <row r="156" spans="3:16" hidden="1" x14ac:dyDescent="0.25">
      <c r="C156" t="s">
        <v>17</v>
      </c>
      <c r="D156">
        <v>53052001</v>
      </c>
      <c r="E156" t="s">
        <v>18</v>
      </c>
      <c r="F156" s="4">
        <v>-134512.64466999998</v>
      </c>
      <c r="G156" t="s">
        <v>252</v>
      </c>
      <c r="H156" s="3">
        <v>45869</v>
      </c>
      <c r="I156" t="s">
        <v>253</v>
      </c>
      <c r="J156" t="s">
        <v>253</v>
      </c>
      <c r="K156" t="s">
        <v>69</v>
      </c>
      <c r="M156" t="s">
        <v>22</v>
      </c>
      <c r="N156">
        <f t="shared" si="8"/>
        <v>2025</v>
      </c>
      <c r="O156">
        <f t="shared" si="6"/>
        <v>7</v>
      </c>
      <c r="P156" t="str">
        <f t="shared" si="7"/>
        <v>Julio</v>
      </c>
    </row>
    <row r="157" spans="3:16" hidden="1" x14ac:dyDescent="0.25">
      <c r="C157" t="s">
        <v>17</v>
      </c>
      <c r="D157">
        <v>53052001</v>
      </c>
      <c r="E157" t="s">
        <v>18</v>
      </c>
      <c r="F157">
        <v>-173532.337</v>
      </c>
      <c r="G157" t="s">
        <v>254</v>
      </c>
      <c r="H157" s="3">
        <v>45762</v>
      </c>
      <c r="I157" t="s">
        <v>255</v>
      </c>
      <c r="J157" t="s">
        <v>255</v>
      </c>
      <c r="K157" t="s">
        <v>35</v>
      </c>
      <c r="M157" t="s">
        <v>22</v>
      </c>
      <c r="N157">
        <f t="shared" si="8"/>
        <v>2025</v>
      </c>
      <c r="O157">
        <f t="shared" si="6"/>
        <v>4</v>
      </c>
      <c r="P157" t="str">
        <f t="shared" si="7"/>
        <v>Abril</v>
      </c>
    </row>
    <row r="158" spans="3:16" hidden="1" x14ac:dyDescent="0.25">
      <c r="C158" t="s">
        <v>17</v>
      </c>
      <c r="D158">
        <v>53052001</v>
      </c>
      <c r="E158" t="s">
        <v>18</v>
      </c>
      <c r="F158">
        <v>-5269.991</v>
      </c>
      <c r="G158" t="s">
        <v>254</v>
      </c>
      <c r="H158" s="3">
        <v>45762</v>
      </c>
      <c r="I158" t="s">
        <v>255</v>
      </c>
      <c r="J158" t="s">
        <v>255</v>
      </c>
      <c r="K158" t="s">
        <v>37</v>
      </c>
      <c r="M158" t="s">
        <v>22</v>
      </c>
      <c r="N158">
        <f t="shared" si="8"/>
        <v>2025</v>
      </c>
      <c r="O158">
        <f t="shared" si="6"/>
        <v>4</v>
      </c>
      <c r="P158" t="str">
        <f t="shared" si="7"/>
        <v>Abril</v>
      </c>
    </row>
    <row r="159" spans="3:16" hidden="1" x14ac:dyDescent="0.25">
      <c r="C159" t="s">
        <v>17</v>
      </c>
      <c r="D159">
        <v>53052001</v>
      </c>
      <c r="E159" t="s">
        <v>18</v>
      </c>
      <c r="F159" s="11">
        <v>-154188.65</v>
      </c>
      <c r="G159" t="s">
        <v>254</v>
      </c>
      <c r="H159" s="3">
        <v>45762</v>
      </c>
      <c r="I159" t="s">
        <v>255</v>
      </c>
      <c r="J159" t="s">
        <v>255</v>
      </c>
      <c r="K159" t="s">
        <v>31</v>
      </c>
      <c r="M159" t="s">
        <v>22</v>
      </c>
      <c r="N159">
        <f t="shared" si="8"/>
        <v>2025</v>
      </c>
      <c r="O159">
        <f t="shared" si="6"/>
        <v>4</v>
      </c>
      <c r="P159" t="str">
        <f t="shared" si="7"/>
        <v>Abril</v>
      </c>
    </row>
    <row r="160" spans="3:16" hidden="1" x14ac:dyDescent="0.25">
      <c r="C160" t="s">
        <v>17</v>
      </c>
      <c r="D160">
        <v>53052001</v>
      </c>
      <c r="E160" t="s">
        <v>18</v>
      </c>
      <c r="F160">
        <v>-719059.45454999991</v>
      </c>
      <c r="G160" t="s">
        <v>254</v>
      </c>
      <c r="H160" s="3">
        <v>45762</v>
      </c>
      <c r="I160" t="s">
        <v>255</v>
      </c>
      <c r="J160" t="s">
        <v>255</v>
      </c>
      <c r="K160" t="s">
        <v>27</v>
      </c>
      <c r="M160" t="s">
        <v>22</v>
      </c>
      <c r="N160">
        <f t="shared" si="8"/>
        <v>2025</v>
      </c>
      <c r="O160">
        <f t="shared" si="6"/>
        <v>4</v>
      </c>
      <c r="P160" t="str">
        <f t="shared" si="7"/>
        <v>Abril</v>
      </c>
    </row>
    <row r="161" spans="3:16" hidden="1" x14ac:dyDescent="0.25">
      <c r="C161" t="s">
        <v>17</v>
      </c>
      <c r="D161">
        <v>53052001</v>
      </c>
      <c r="E161" t="s">
        <v>18</v>
      </c>
      <c r="F161">
        <v>-147094.18203</v>
      </c>
      <c r="G161" t="s">
        <v>254</v>
      </c>
      <c r="H161" s="3">
        <v>45762</v>
      </c>
      <c r="I161" t="s">
        <v>255</v>
      </c>
      <c r="J161" t="s">
        <v>255</v>
      </c>
      <c r="K161" t="s">
        <v>69</v>
      </c>
      <c r="M161" t="s">
        <v>22</v>
      </c>
      <c r="N161">
        <f t="shared" si="8"/>
        <v>2025</v>
      </c>
      <c r="O161">
        <f t="shared" si="6"/>
        <v>4</v>
      </c>
      <c r="P161" t="str">
        <f t="shared" si="7"/>
        <v>Abril</v>
      </c>
    </row>
    <row r="162" spans="3:16" hidden="1" x14ac:dyDescent="0.25">
      <c r="C162" t="s">
        <v>17</v>
      </c>
      <c r="D162">
        <v>53052001</v>
      </c>
      <c r="E162" t="s">
        <v>18</v>
      </c>
      <c r="F162">
        <v>-144163.58960000001</v>
      </c>
      <c r="G162" t="s">
        <v>254</v>
      </c>
      <c r="H162" s="3">
        <v>45762</v>
      </c>
      <c r="I162" t="s">
        <v>255</v>
      </c>
      <c r="J162" t="s">
        <v>255</v>
      </c>
      <c r="K162" t="s">
        <v>21</v>
      </c>
      <c r="M162" t="s">
        <v>22</v>
      </c>
      <c r="N162">
        <f t="shared" si="8"/>
        <v>2025</v>
      </c>
      <c r="O162">
        <f t="shared" si="6"/>
        <v>4</v>
      </c>
      <c r="P162" t="str">
        <f t="shared" si="7"/>
        <v>Abril</v>
      </c>
    </row>
    <row r="163" spans="3:16" hidden="1" x14ac:dyDescent="0.25">
      <c r="C163" t="s">
        <v>17</v>
      </c>
      <c r="D163">
        <v>53052001</v>
      </c>
      <c r="E163" t="s">
        <v>18</v>
      </c>
      <c r="F163" s="4">
        <v>-32853.074000000001</v>
      </c>
      <c r="G163" t="s">
        <v>256</v>
      </c>
      <c r="H163" s="3">
        <v>45896</v>
      </c>
      <c r="I163" t="s">
        <v>257</v>
      </c>
      <c r="J163" t="s">
        <v>257</v>
      </c>
      <c r="K163" t="s">
        <v>35</v>
      </c>
      <c r="N163">
        <f t="shared" si="8"/>
        <v>2025</v>
      </c>
      <c r="O163">
        <f t="shared" si="6"/>
        <v>8</v>
      </c>
      <c r="P163" t="str">
        <f t="shared" si="7"/>
        <v>Agosto</v>
      </c>
    </row>
    <row r="164" spans="3:16" hidden="1" x14ac:dyDescent="0.25">
      <c r="C164" t="s">
        <v>17</v>
      </c>
      <c r="D164">
        <v>53052001</v>
      </c>
      <c r="E164" t="s">
        <v>18</v>
      </c>
      <c r="F164" s="4">
        <v>-19517.75157</v>
      </c>
      <c r="G164" t="s">
        <v>256</v>
      </c>
      <c r="H164" s="3">
        <v>45896</v>
      </c>
      <c r="I164" t="s">
        <v>257</v>
      </c>
      <c r="J164" t="s">
        <v>257</v>
      </c>
      <c r="K164" t="s">
        <v>37</v>
      </c>
      <c r="N164">
        <f t="shared" si="8"/>
        <v>2025</v>
      </c>
      <c r="O164">
        <f t="shared" si="6"/>
        <v>8</v>
      </c>
      <c r="P164" t="str">
        <f t="shared" si="7"/>
        <v>Agosto</v>
      </c>
    </row>
    <row r="165" spans="3:16" hidden="1" x14ac:dyDescent="0.25">
      <c r="C165" t="s">
        <v>17</v>
      </c>
      <c r="D165">
        <v>53052001</v>
      </c>
      <c r="E165" t="s">
        <v>18</v>
      </c>
      <c r="F165" s="4">
        <v>-216954.799</v>
      </c>
      <c r="G165" t="s">
        <v>256</v>
      </c>
      <c r="H165" s="3">
        <v>45896</v>
      </c>
      <c r="I165" t="s">
        <v>257</v>
      </c>
      <c r="J165" t="s">
        <v>257</v>
      </c>
      <c r="K165" t="s">
        <v>31</v>
      </c>
      <c r="N165">
        <f t="shared" si="8"/>
        <v>2025</v>
      </c>
      <c r="O165">
        <f t="shared" si="6"/>
        <v>8</v>
      </c>
      <c r="P165" t="str">
        <f t="shared" si="7"/>
        <v>Agosto</v>
      </c>
    </row>
    <row r="166" spans="3:16" hidden="1" x14ac:dyDescent="0.25">
      <c r="C166" t="s">
        <v>17</v>
      </c>
      <c r="D166">
        <v>53052001</v>
      </c>
      <c r="E166" t="s">
        <v>18</v>
      </c>
      <c r="F166" s="4">
        <v>-419506.82951999997</v>
      </c>
      <c r="G166" t="s">
        <v>256</v>
      </c>
      <c r="H166" s="3">
        <v>45896</v>
      </c>
      <c r="I166" t="s">
        <v>257</v>
      </c>
      <c r="J166" t="s">
        <v>257</v>
      </c>
      <c r="K166" t="s">
        <v>27</v>
      </c>
      <c r="N166">
        <f t="shared" si="8"/>
        <v>2025</v>
      </c>
      <c r="O166">
        <f t="shared" si="6"/>
        <v>8</v>
      </c>
      <c r="P166" t="str">
        <f t="shared" si="7"/>
        <v>Agosto</v>
      </c>
    </row>
    <row r="167" spans="3:16" hidden="1" x14ac:dyDescent="0.25">
      <c r="C167" t="s">
        <v>17</v>
      </c>
      <c r="D167">
        <v>53052001</v>
      </c>
      <c r="E167" t="s">
        <v>18</v>
      </c>
      <c r="F167" s="4">
        <v>-12283.41783</v>
      </c>
      <c r="G167" t="s">
        <v>256</v>
      </c>
      <c r="H167" s="3">
        <v>45896</v>
      </c>
      <c r="I167" t="s">
        <v>257</v>
      </c>
      <c r="J167" t="s">
        <v>257</v>
      </c>
      <c r="K167" t="s">
        <v>41</v>
      </c>
      <c r="N167">
        <f t="shared" si="8"/>
        <v>2025</v>
      </c>
      <c r="O167">
        <f t="shared" si="6"/>
        <v>8</v>
      </c>
      <c r="P167" t="str">
        <f t="shared" si="7"/>
        <v>Agosto</v>
      </c>
    </row>
    <row r="168" spans="3:16" hidden="1" x14ac:dyDescent="0.25">
      <c r="C168" t="s">
        <v>17</v>
      </c>
      <c r="D168">
        <v>53052001</v>
      </c>
      <c r="E168" t="s">
        <v>18</v>
      </c>
      <c r="F168" s="4">
        <v>-155312.30403999999</v>
      </c>
      <c r="G168" t="s">
        <v>256</v>
      </c>
      <c r="H168" s="3">
        <v>45896</v>
      </c>
      <c r="I168" t="s">
        <v>257</v>
      </c>
      <c r="J168" t="s">
        <v>257</v>
      </c>
      <c r="K168" t="s">
        <v>69</v>
      </c>
      <c r="N168">
        <f t="shared" si="8"/>
        <v>2025</v>
      </c>
      <c r="O168">
        <f t="shared" si="6"/>
        <v>8</v>
      </c>
      <c r="P168" t="str">
        <f t="shared" si="7"/>
        <v>Agosto</v>
      </c>
    </row>
    <row r="169" spans="3:16" hidden="1" x14ac:dyDescent="0.25">
      <c r="C169" t="s">
        <v>17</v>
      </c>
      <c r="D169">
        <v>53052001</v>
      </c>
      <c r="E169" t="s">
        <v>18</v>
      </c>
      <c r="F169" s="4">
        <v>-195149.36980000001</v>
      </c>
      <c r="G169" t="s">
        <v>256</v>
      </c>
      <c r="H169" s="3">
        <v>45896</v>
      </c>
      <c r="I169" t="s">
        <v>257</v>
      </c>
      <c r="J169" t="s">
        <v>257</v>
      </c>
      <c r="K169" t="s">
        <v>21</v>
      </c>
      <c r="N169">
        <f t="shared" si="8"/>
        <v>2025</v>
      </c>
      <c r="O169">
        <f t="shared" si="6"/>
        <v>8</v>
      </c>
      <c r="P169" t="str">
        <f t="shared" si="7"/>
        <v>Agosto</v>
      </c>
    </row>
    <row r="170" spans="3:16" hidden="1" x14ac:dyDescent="0.25">
      <c r="C170" t="s">
        <v>17</v>
      </c>
      <c r="D170">
        <v>53052001</v>
      </c>
      <c r="E170" t="s">
        <v>18</v>
      </c>
      <c r="F170" s="4">
        <v>-4843.2780000000002</v>
      </c>
      <c r="G170" t="s">
        <v>258</v>
      </c>
      <c r="H170" s="3">
        <v>45747</v>
      </c>
      <c r="I170" t="s">
        <v>259</v>
      </c>
      <c r="J170" t="s">
        <v>259</v>
      </c>
      <c r="K170" t="s">
        <v>31</v>
      </c>
      <c r="M170" t="s">
        <v>22</v>
      </c>
      <c r="N170">
        <f t="shared" si="8"/>
        <v>2025</v>
      </c>
      <c r="O170">
        <f t="shared" si="6"/>
        <v>3</v>
      </c>
      <c r="P170" t="str">
        <f t="shared" si="7"/>
        <v>Marzo</v>
      </c>
    </row>
    <row r="171" spans="3:16" hidden="1" x14ac:dyDescent="0.25">
      <c r="C171" t="s">
        <v>17</v>
      </c>
      <c r="D171">
        <v>53052001</v>
      </c>
      <c r="E171" t="s">
        <v>18</v>
      </c>
      <c r="F171" s="4">
        <v>2204.4690000000001</v>
      </c>
      <c r="G171" t="s">
        <v>258</v>
      </c>
      <c r="H171" s="3">
        <v>45747</v>
      </c>
      <c r="I171" t="s">
        <v>259</v>
      </c>
      <c r="J171" t="s">
        <v>259</v>
      </c>
      <c r="K171" t="s">
        <v>27</v>
      </c>
      <c r="M171" t="s">
        <v>22</v>
      </c>
      <c r="N171">
        <f t="shared" si="8"/>
        <v>2025</v>
      </c>
      <c r="O171">
        <f t="shared" si="6"/>
        <v>3</v>
      </c>
      <c r="P171" t="str">
        <f t="shared" si="7"/>
        <v>Marzo</v>
      </c>
    </row>
    <row r="172" spans="3:16" hidden="1" x14ac:dyDescent="0.25">
      <c r="C172" t="s">
        <v>17</v>
      </c>
      <c r="D172">
        <v>53052001</v>
      </c>
      <c r="E172" t="s">
        <v>18</v>
      </c>
      <c r="F172" s="4">
        <v>-21678.392</v>
      </c>
      <c r="G172" t="s">
        <v>260</v>
      </c>
      <c r="H172" s="3">
        <v>45747</v>
      </c>
      <c r="I172" t="s">
        <v>261</v>
      </c>
      <c r="J172" t="s">
        <v>261</v>
      </c>
      <c r="K172" t="s">
        <v>41</v>
      </c>
      <c r="M172" t="s">
        <v>22</v>
      </c>
      <c r="N172">
        <f t="shared" si="8"/>
        <v>2025</v>
      </c>
      <c r="O172">
        <f t="shared" si="6"/>
        <v>3</v>
      </c>
      <c r="P172" t="str">
        <f t="shared" si="7"/>
        <v>Marzo</v>
      </c>
    </row>
    <row r="173" spans="3:16" hidden="1" x14ac:dyDescent="0.25">
      <c r="C173" t="s">
        <v>17</v>
      </c>
      <c r="D173">
        <v>53052001</v>
      </c>
      <c r="E173" t="s">
        <v>18</v>
      </c>
      <c r="F173" s="4">
        <v>52.20675</v>
      </c>
      <c r="G173" t="s">
        <v>262</v>
      </c>
      <c r="H173" s="3">
        <v>45677</v>
      </c>
      <c r="I173" t="s">
        <v>263</v>
      </c>
      <c r="J173" t="s">
        <v>263</v>
      </c>
      <c r="K173" t="s">
        <v>57</v>
      </c>
      <c r="M173" t="s">
        <v>93</v>
      </c>
      <c r="N173">
        <f t="shared" si="8"/>
        <v>2025</v>
      </c>
      <c r="O173">
        <f t="shared" si="6"/>
        <v>1</v>
      </c>
      <c r="P173" t="str">
        <f t="shared" si="7"/>
        <v>Enero</v>
      </c>
    </row>
    <row r="174" spans="3:16" hidden="1" x14ac:dyDescent="0.25">
      <c r="C174" t="s">
        <v>17</v>
      </c>
      <c r="D174">
        <v>53052001</v>
      </c>
      <c r="E174" t="s">
        <v>18</v>
      </c>
      <c r="F174" s="11">
        <v>18.794880000000003</v>
      </c>
      <c r="G174" t="s">
        <v>264</v>
      </c>
      <c r="H174" s="3">
        <v>45793</v>
      </c>
      <c r="I174" t="s">
        <v>265</v>
      </c>
      <c r="J174" t="s">
        <v>265</v>
      </c>
      <c r="K174" t="s">
        <v>57</v>
      </c>
      <c r="N174">
        <f t="shared" si="8"/>
        <v>2025</v>
      </c>
      <c r="O174">
        <f t="shared" si="6"/>
        <v>5</v>
      </c>
      <c r="P174" t="str">
        <f t="shared" si="7"/>
        <v>Mayo</v>
      </c>
    </row>
    <row r="175" spans="3:16" hidden="1" x14ac:dyDescent="0.25">
      <c r="C175" t="s">
        <v>17</v>
      </c>
      <c r="D175">
        <v>53052001</v>
      </c>
      <c r="E175" t="s">
        <v>18</v>
      </c>
      <c r="F175" s="5">
        <v>3.1426599999999998</v>
      </c>
      <c r="G175" s="6" t="s">
        <v>266</v>
      </c>
      <c r="H175" s="7">
        <v>45854</v>
      </c>
      <c r="I175" s="6" t="s">
        <v>267</v>
      </c>
      <c r="J175" s="6" t="s">
        <v>267</v>
      </c>
      <c r="K175" s="6" t="s">
        <v>57</v>
      </c>
      <c r="L175" s="6" t="s">
        <v>268</v>
      </c>
      <c r="M175" t="s">
        <v>22</v>
      </c>
      <c r="N175">
        <f t="shared" si="8"/>
        <v>2025</v>
      </c>
      <c r="O175">
        <f t="shared" si="6"/>
        <v>7</v>
      </c>
      <c r="P175" t="str">
        <f t="shared" si="7"/>
        <v>Julio</v>
      </c>
    </row>
    <row r="176" spans="3:16" hidden="1" x14ac:dyDescent="0.25">
      <c r="C176" t="s">
        <v>17</v>
      </c>
      <c r="D176">
        <v>53052001</v>
      </c>
      <c r="E176" t="s">
        <v>18</v>
      </c>
      <c r="F176" s="4">
        <v>125.53107000000001</v>
      </c>
      <c r="G176" t="s">
        <v>269</v>
      </c>
      <c r="H176" s="3">
        <v>45883</v>
      </c>
      <c r="I176" t="s">
        <v>270</v>
      </c>
      <c r="J176" t="s">
        <v>270</v>
      </c>
      <c r="K176" t="s">
        <v>57</v>
      </c>
      <c r="N176">
        <f t="shared" si="8"/>
        <v>2025</v>
      </c>
      <c r="O176">
        <f t="shared" si="6"/>
        <v>8</v>
      </c>
      <c r="P176" t="str">
        <f t="shared" si="7"/>
        <v>Agosto</v>
      </c>
    </row>
    <row r="177" spans="3:16" hidden="1" x14ac:dyDescent="0.25">
      <c r="C177" t="s">
        <v>17</v>
      </c>
      <c r="D177">
        <v>53052001</v>
      </c>
      <c r="E177" t="s">
        <v>18</v>
      </c>
      <c r="F177">
        <v>245.32642000000001</v>
      </c>
      <c r="G177" t="s">
        <v>271</v>
      </c>
      <c r="H177" s="3">
        <v>45775</v>
      </c>
      <c r="I177" t="s">
        <v>272</v>
      </c>
      <c r="J177" t="s">
        <v>273</v>
      </c>
      <c r="K177" t="s">
        <v>57</v>
      </c>
      <c r="M177" t="s">
        <v>22</v>
      </c>
      <c r="N177">
        <f t="shared" si="8"/>
        <v>2025</v>
      </c>
      <c r="O177">
        <f t="shared" si="6"/>
        <v>4</v>
      </c>
      <c r="P177" t="str">
        <f t="shared" si="7"/>
        <v>Abril</v>
      </c>
    </row>
    <row r="178" spans="3:16" hidden="1" x14ac:dyDescent="0.25">
      <c r="C178" t="s">
        <v>17</v>
      </c>
      <c r="D178">
        <v>53052001</v>
      </c>
      <c r="E178" t="s">
        <v>18</v>
      </c>
      <c r="F178" s="4">
        <v>717.94621999999993</v>
      </c>
      <c r="G178" t="s">
        <v>274</v>
      </c>
      <c r="H178" s="3">
        <v>45832</v>
      </c>
      <c r="I178" t="s">
        <v>275</v>
      </c>
      <c r="J178" t="s">
        <v>275</v>
      </c>
      <c r="K178" t="s">
        <v>46</v>
      </c>
      <c r="N178">
        <f t="shared" si="8"/>
        <v>2025</v>
      </c>
      <c r="O178">
        <f t="shared" si="6"/>
        <v>6</v>
      </c>
      <c r="P178" t="str">
        <f t="shared" si="7"/>
        <v>Junio</v>
      </c>
    </row>
    <row r="179" spans="3:16" x14ac:dyDescent="0.25">
      <c r="C179" t="s">
        <v>17</v>
      </c>
      <c r="D179">
        <v>53052004</v>
      </c>
      <c r="E179" t="s">
        <v>276</v>
      </c>
      <c r="F179" s="4">
        <v>14535.012000000001</v>
      </c>
      <c r="G179" t="s">
        <v>277</v>
      </c>
      <c r="H179" s="3">
        <v>45716</v>
      </c>
      <c r="I179" t="s">
        <v>278</v>
      </c>
      <c r="J179" t="s">
        <v>278</v>
      </c>
      <c r="K179" t="s">
        <v>35</v>
      </c>
      <c r="M179" t="s">
        <v>22</v>
      </c>
      <c r="N179">
        <f t="shared" si="8"/>
        <v>2025</v>
      </c>
      <c r="O179">
        <f t="shared" si="6"/>
        <v>2</v>
      </c>
      <c r="P179" t="str">
        <f t="shared" si="7"/>
        <v>Febrero</v>
      </c>
    </row>
    <row r="180" spans="3:16" hidden="1" x14ac:dyDescent="0.25">
      <c r="C180" t="s">
        <v>17</v>
      </c>
      <c r="D180">
        <v>53052001</v>
      </c>
      <c r="E180" t="s">
        <v>18</v>
      </c>
      <c r="F180" s="4">
        <v>-3311.0087200000003</v>
      </c>
      <c r="G180" t="s">
        <v>279</v>
      </c>
      <c r="H180" s="3">
        <v>45686</v>
      </c>
      <c r="I180" t="s">
        <v>280</v>
      </c>
      <c r="J180" t="s">
        <v>281</v>
      </c>
      <c r="K180" t="s">
        <v>21</v>
      </c>
      <c r="M180" t="s">
        <v>22</v>
      </c>
      <c r="N180">
        <f t="shared" si="8"/>
        <v>2025</v>
      </c>
      <c r="O180">
        <f t="shared" si="6"/>
        <v>1</v>
      </c>
      <c r="P180" t="str">
        <f t="shared" si="7"/>
        <v>Enero</v>
      </c>
    </row>
    <row r="181" spans="3:16" hidden="1" x14ac:dyDescent="0.25">
      <c r="C181" t="s">
        <v>17</v>
      </c>
      <c r="D181">
        <v>53052001</v>
      </c>
      <c r="E181" t="s">
        <v>18</v>
      </c>
      <c r="F181" s="4">
        <v>3311.0087200000003</v>
      </c>
      <c r="G181" t="s">
        <v>282</v>
      </c>
      <c r="H181" s="3">
        <v>45686</v>
      </c>
      <c r="I181" t="s">
        <v>280</v>
      </c>
      <c r="J181" t="s">
        <v>283</v>
      </c>
      <c r="K181" t="s">
        <v>21</v>
      </c>
      <c r="M181" t="s">
        <v>22</v>
      </c>
      <c r="N181">
        <f t="shared" si="8"/>
        <v>2025</v>
      </c>
      <c r="O181">
        <f t="shared" si="6"/>
        <v>1</v>
      </c>
      <c r="P181" t="str">
        <f t="shared" si="7"/>
        <v>Enero</v>
      </c>
    </row>
    <row r="182" spans="3:16" hidden="1" x14ac:dyDescent="0.25">
      <c r="C182" t="s">
        <v>17</v>
      </c>
      <c r="D182">
        <v>53052001</v>
      </c>
      <c r="E182" t="s">
        <v>18</v>
      </c>
      <c r="F182" s="4">
        <v>-3005.1779999999999</v>
      </c>
      <c r="G182" t="s">
        <v>279</v>
      </c>
      <c r="H182" s="3">
        <v>45686</v>
      </c>
      <c r="I182" t="s">
        <v>284</v>
      </c>
      <c r="J182" t="s">
        <v>281</v>
      </c>
      <c r="K182" t="s">
        <v>35</v>
      </c>
      <c r="M182" t="s">
        <v>22</v>
      </c>
      <c r="N182">
        <f t="shared" si="8"/>
        <v>2025</v>
      </c>
      <c r="O182">
        <f t="shared" si="6"/>
        <v>1</v>
      </c>
      <c r="P182" t="str">
        <f t="shared" si="7"/>
        <v>Enero</v>
      </c>
    </row>
    <row r="183" spans="3:16" hidden="1" x14ac:dyDescent="0.25">
      <c r="C183" t="s">
        <v>17</v>
      </c>
      <c r="D183">
        <v>53052001</v>
      </c>
      <c r="E183" t="s">
        <v>18</v>
      </c>
      <c r="F183" s="4">
        <v>3005.1779999999999</v>
      </c>
      <c r="G183" t="s">
        <v>285</v>
      </c>
      <c r="H183" s="3">
        <v>45686</v>
      </c>
      <c r="I183" t="s">
        <v>284</v>
      </c>
      <c r="J183" t="s">
        <v>286</v>
      </c>
      <c r="K183" t="s">
        <v>35</v>
      </c>
      <c r="M183" t="s">
        <v>22</v>
      </c>
      <c r="N183">
        <f t="shared" si="8"/>
        <v>2025</v>
      </c>
      <c r="O183">
        <f t="shared" si="6"/>
        <v>1</v>
      </c>
      <c r="P183" t="str">
        <f t="shared" si="7"/>
        <v>Enero</v>
      </c>
    </row>
    <row r="184" spans="3:16" hidden="1" x14ac:dyDescent="0.25">
      <c r="C184" t="s">
        <v>17</v>
      </c>
      <c r="D184">
        <v>53052001</v>
      </c>
      <c r="E184" t="s">
        <v>18</v>
      </c>
      <c r="F184" s="4">
        <v>-1178.278</v>
      </c>
      <c r="G184" t="s">
        <v>279</v>
      </c>
      <c r="H184" s="3">
        <v>45686</v>
      </c>
      <c r="I184" t="s">
        <v>287</v>
      </c>
      <c r="J184" t="s">
        <v>281</v>
      </c>
      <c r="K184" t="s">
        <v>35</v>
      </c>
      <c r="M184" t="s">
        <v>22</v>
      </c>
      <c r="N184">
        <f t="shared" si="8"/>
        <v>2025</v>
      </c>
      <c r="O184">
        <f t="shared" si="6"/>
        <v>1</v>
      </c>
      <c r="P184" t="str">
        <f t="shared" si="7"/>
        <v>Enero</v>
      </c>
    </row>
    <row r="185" spans="3:16" hidden="1" x14ac:dyDescent="0.25">
      <c r="C185" t="s">
        <v>17</v>
      </c>
      <c r="D185">
        <v>53052001</v>
      </c>
      <c r="E185" t="s">
        <v>18</v>
      </c>
      <c r="F185" s="4">
        <v>1178.278</v>
      </c>
      <c r="G185" t="s">
        <v>285</v>
      </c>
      <c r="H185" s="3">
        <v>45686</v>
      </c>
      <c r="I185" t="s">
        <v>287</v>
      </c>
      <c r="J185" t="s">
        <v>286</v>
      </c>
      <c r="K185" t="s">
        <v>35</v>
      </c>
      <c r="M185" t="s">
        <v>22</v>
      </c>
      <c r="N185">
        <f t="shared" si="8"/>
        <v>2025</v>
      </c>
      <c r="O185">
        <f t="shared" si="6"/>
        <v>1</v>
      </c>
      <c r="P185" t="str">
        <f t="shared" si="7"/>
        <v>Enero</v>
      </c>
    </row>
    <row r="186" spans="3:16" hidden="1" x14ac:dyDescent="0.25">
      <c r="C186" t="s">
        <v>17</v>
      </c>
      <c r="D186">
        <v>53052001</v>
      </c>
      <c r="E186" t="s">
        <v>18</v>
      </c>
      <c r="F186" s="4">
        <v>-1227.6110000000001</v>
      </c>
      <c r="G186" t="s">
        <v>279</v>
      </c>
      <c r="H186" s="3">
        <v>45686</v>
      </c>
      <c r="I186" t="s">
        <v>288</v>
      </c>
      <c r="J186" t="s">
        <v>281</v>
      </c>
      <c r="K186" t="s">
        <v>35</v>
      </c>
      <c r="M186" t="s">
        <v>22</v>
      </c>
      <c r="N186">
        <f t="shared" si="8"/>
        <v>2025</v>
      </c>
      <c r="O186">
        <f t="shared" si="6"/>
        <v>1</v>
      </c>
      <c r="P186" t="str">
        <f t="shared" si="7"/>
        <v>Enero</v>
      </c>
    </row>
    <row r="187" spans="3:16" hidden="1" x14ac:dyDescent="0.25">
      <c r="C187" t="s">
        <v>17</v>
      </c>
      <c r="D187">
        <v>53052001</v>
      </c>
      <c r="E187" t="s">
        <v>18</v>
      </c>
      <c r="F187" s="4">
        <v>1227.6110000000001</v>
      </c>
      <c r="G187" t="s">
        <v>285</v>
      </c>
      <c r="H187" s="3">
        <v>45686</v>
      </c>
      <c r="I187" t="s">
        <v>288</v>
      </c>
      <c r="J187" t="s">
        <v>286</v>
      </c>
      <c r="K187" t="s">
        <v>35</v>
      </c>
      <c r="M187" t="s">
        <v>22</v>
      </c>
      <c r="N187">
        <f t="shared" si="8"/>
        <v>2025</v>
      </c>
      <c r="O187">
        <f t="shared" si="6"/>
        <v>1</v>
      </c>
      <c r="P187" t="str">
        <f t="shared" si="7"/>
        <v>Enero</v>
      </c>
    </row>
    <row r="188" spans="3:16" hidden="1" x14ac:dyDescent="0.25">
      <c r="C188" t="s">
        <v>17</v>
      </c>
      <c r="D188">
        <v>53052001</v>
      </c>
      <c r="E188" t="s">
        <v>18</v>
      </c>
      <c r="F188" s="4">
        <v>-1426.6402700000001</v>
      </c>
      <c r="G188" t="s">
        <v>279</v>
      </c>
      <c r="H188" s="3">
        <v>45686</v>
      </c>
      <c r="I188" t="s">
        <v>289</v>
      </c>
      <c r="J188" t="s">
        <v>281</v>
      </c>
      <c r="K188" t="s">
        <v>31</v>
      </c>
      <c r="M188" t="s">
        <v>22</v>
      </c>
      <c r="N188">
        <f t="shared" si="8"/>
        <v>2025</v>
      </c>
      <c r="O188">
        <f t="shared" si="6"/>
        <v>1</v>
      </c>
      <c r="P188" t="str">
        <f t="shared" si="7"/>
        <v>Enero</v>
      </c>
    </row>
    <row r="189" spans="3:16" hidden="1" x14ac:dyDescent="0.25">
      <c r="C189" t="s">
        <v>17</v>
      </c>
      <c r="D189">
        <v>53052001</v>
      </c>
      <c r="E189" t="s">
        <v>18</v>
      </c>
      <c r="F189" s="4">
        <v>1426.6402700000001</v>
      </c>
      <c r="G189" t="s">
        <v>290</v>
      </c>
      <c r="H189" s="3">
        <v>45686</v>
      </c>
      <c r="I189" t="s">
        <v>289</v>
      </c>
      <c r="J189" t="s">
        <v>291</v>
      </c>
      <c r="K189" t="s">
        <v>31</v>
      </c>
      <c r="M189" t="s">
        <v>22</v>
      </c>
      <c r="N189">
        <f t="shared" si="8"/>
        <v>2025</v>
      </c>
      <c r="O189">
        <f t="shared" si="6"/>
        <v>1</v>
      </c>
      <c r="P189" t="str">
        <f t="shared" si="7"/>
        <v>Enero</v>
      </c>
    </row>
    <row r="190" spans="3:16" x14ac:dyDescent="0.25">
      <c r="C190" t="s">
        <v>17</v>
      </c>
      <c r="D190">
        <v>53052004</v>
      </c>
      <c r="E190" t="s">
        <v>276</v>
      </c>
      <c r="F190" s="4">
        <v>572.88900000000001</v>
      </c>
      <c r="G190" t="s">
        <v>292</v>
      </c>
      <c r="H190" s="3">
        <v>45900</v>
      </c>
      <c r="I190" t="s">
        <v>293</v>
      </c>
      <c r="J190" t="s">
        <v>293</v>
      </c>
      <c r="K190" t="s">
        <v>35</v>
      </c>
      <c r="N190">
        <f t="shared" si="8"/>
        <v>2025</v>
      </c>
      <c r="O190">
        <f t="shared" si="6"/>
        <v>8</v>
      </c>
      <c r="P190" t="str">
        <f t="shared" si="7"/>
        <v>Agosto</v>
      </c>
    </row>
    <row r="191" spans="3:16" x14ac:dyDescent="0.25">
      <c r="C191" t="s">
        <v>17</v>
      </c>
      <c r="D191">
        <v>53052004</v>
      </c>
      <c r="E191" t="s">
        <v>276</v>
      </c>
      <c r="F191" s="4">
        <v>4803.9849999999997</v>
      </c>
      <c r="G191" t="s">
        <v>294</v>
      </c>
      <c r="H191" s="3">
        <v>45869</v>
      </c>
      <c r="I191" t="s">
        <v>295</v>
      </c>
      <c r="J191" t="s">
        <v>295</v>
      </c>
      <c r="K191" t="s">
        <v>35</v>
      </c>
      <c r="M191" t="s">
        <v>22</v>
      </c>
      <c r="N191">
        <f t="shared" si="8"/>
        <v>2025</v>
      </c>
      <c r="O191">
        <f t="shared" si="6"/>
        <v>7</v>
      </c>
      <c r="P191" t="str">
        <f t="shared" si="7"/>
        <v>Julio</v>
      </c>
    </row>
    <row r="192" spans="3:16" x14ac:dyDescent="0.25">
      <c r="C192" t="s">
        <v>17</v>
      </c>
      <c r="D192">
        <v>53052004</v>
      </c>
      <c r="E192" t="s">
        <v>276</v>
      </c>
      <c r="F192" s="4">
        <v>163.65576999999999</v>
      </c>
      <c r="G192" t="s">
        <v>296</v>
      </c>
      <c r="H192" s="3">
        <v>45900</v>
      </c>
      <c r="I192" t="s">
        <v>297</v>
      </c>
      <c r="J192" t="s">
        <v>297</v>
      </c>
      <c r="K192" t="s">
        <v>27</v>
      </c>
      <c r="N192">
        <f t="shared" si="8"/>
        <v>2025</v>
      </c>
      <c r="O192">
        <f t="shared" si="6"/>
        <v>8</v>
      </c>
      <c r="P192" t="str">
        <f t="shared" si="7"/>
        <v>Agosto</v>
      </c>
    </row>
    <row r="193" spans="3:16" x14ac:dyDescent="0.25">
      <c r="C193" t="s">
        <v>17</v>
      </c>
      <c r="D193">
        <v>53052004</v>
      </c>
      <c r="E193" t="s">
        <v>276</v>
      </c>
      <c r="F193" s="4">
        <v>2988.9307400000002</v>
      </c>
      <c r="G193" t="s">
        <v>298</v>
      </c>
      <c r="H193" s="3">
        <v>45869</v>
      </c>
      <c r="I193" t="s">
        <v>299</v>
      </c>
      <c r="J193" t="s">
        <v>299</v>
      </c>
      <c r="K193" t="s">
        <v>27</v>
      </c>
      <c r="M193" t="s">
        <v>22</v>
      </c>
      <c r="N193">
        <f t="shared" si="8"/>
        <v>2025</v>
      </c>
      <c r="O193">
        <f t="shared" si="6"/>
        <v>7</v>
      </c>
      <c r="P193" t="str">
        <f t="shared" si="7"/>
        <v>Julio</v>
      </c>
    </row>
    <row r="194" spans="3:16" x14ac:dyDescent="0.25">
      <c r="C194" t="s">
        <v>17</v>
      </c>
      <c r="D194">
        <v>53052004</v>
      </c>
      <c r="E194" t="s">
        <v>276</v>
      </c>
      <c r="F194" s="4">
        <v>1257.5151799999999</v>
      </c>
      <c r="G194" t="s">
        <v>300</v>
      </c>
      <c r="H194" s="3">
        <v>45838</v>
      </c>
      <c r="I194" t="s">
        <v>301</v>
      </c>
      <c r="J194" t="s">
        <v>301</v>
      </c>
      <c r="K194" t="s">
        <v>27</v>
      </c>
      <c r="N194">
        <f t="shared" si="8"/>
        <v>2025</v>
      </c>
      <c r="O194">
        <f t="shared" ref="O194:O257" si="9">+MONTH(H194)</f>
        <v>6</v>
      </c>
      <c r="P194" t="str">
        <f t="shared" ref="P194:P257" si="10">+VLOOKUP(O194,X:Y,2,0)</f>
        <v>Junio</v>
      </c>
    </row>
    <row r="195" spans="3:16" x14ac:dyDescent="0.25">
      <c r="C195" t="s">
        <v>17</v>
      </c>
      <c r="D195">
        <v>53052004</v>
      </c>
      <c r="E195" t="s">
        <v>276</v>
      </c>
      <c r="F195">
        <v>6588.01</v>
      </c>
      <c r="G195" t="s">
        <v>302</v>
      </c>
      <c r="H195" s="3">
        <v>45808</v>
      </c>
      <c r="I195" t="s">
        <v>303</v>
      </c>
      <c r="J195" t="s">
        <v>303</v>
      </c>
      <c r="K195" t="s">
        <v>35</v>
      </c>
      <c r="N195">
        <f t="shared" ref="N195:N258" si="11">+YEAR(H195)</f>
        <v>2025</v>
      </c>
      <c r="O195">
        <f t="shared" si="9"/>
        <v>5</v>
      </c>
      <c r="P195" t="str">
        <f t="shared" si="10"/>
        <v>Mayo</v>
      </c>
    </row>
    <row r="196" spans="3:16" x14ac:dyDescent="0.25">
      <c r="C196" t="s">
        <v>17</v>
      </c>
      <c r="D196">
        <v>53052004</v>
      </c>
      <c r="E196" t="s">
        <v>276</v>
      </c>
      <c r="F196">
        <v>12532.652</v>
      </c>
      <c r="G196" t="s">
        <v>304</v>
      </c>
      <c r="H196" s="3">
        <v>45808</v>
      </c>
      <c r="I196" t="s">
        <v>305</v>
      </c>
      <c r="J196" t="s">
        <v>305</v>
      </c>
      <c r="K196" t="s">
        <v>35</v>
      </c>
      <c r="N196">
        <f t="shared" si="11"/>
        <v>2025</v>
      </c>
      <c r="O196">
        <f t="shared" si="9"/>
        <v>5</v>
      </c>
      <c r="P196" t="str">
        <f t="shared" si="10"/>
        <v>Mayo</v>
      </c>
    </row>
    <row r="197" spans="3:16" x14ac:dyDescent="0.25">
      <c r="C197" t="s">
        <v>17</v>
      </c>
      <c r="D197">
        <v>53052004</v>
      </c>
      <c r="E197" t="s">
        <v>276</v>
      </c>
      <c r="F197">
        <v>3554.4630000000002</v>
      </c>
      <c r="G197" t="s">
        <v>306</v>
      </c>
      <c r="H197" s="3">
        <v>45808</v>
      </c>
      <c r="I197" t="s">
        <v>307</v>
      </c>
      <c r="J197" t="s">
        <v>307</v>
      </c>
      <c r="K197" t="s">
        <v>35</v>
      </c>
      <c r="N197">
        <f t="shared" si="11"/>
        <v>2025</v>
      </c>
      <c r="O197">
        <f t="shared" si="9"/>
        <v>5</v>
      </c>
      <c r="P197" t="str">
        <f t="shared" si="10"/>
        <v>Mayo</v>
      </c>
    </row>
    <row r="198" spans="3:16" x14ac:dyDescent="0.25">
      <c r="C198" t="s">
        <v>17</v>
      </c>
      <c r="D198">
        <v>53052004</v>
      </c>
      <c r="E198" t="s">
        <v>276</v>
      </c>
      <c r="F198" s="4">
        <v>19137.363000000001</v>
      </c>
      <c r="G198" t="s">
        <v>308</v>
      </c>
      <c r="H198" s="3">
        <v>45716</v>
      </c>
      <c r="I198" t="s">
        <v>309</v>
      </c>
      <c r="J198" t="s">
        <v>309</v>
      </c>
      <c r="K198" t="s">
        <v>35</v>
      </c>
      <c r="M198" t="s">
        <v>22</v>
      </c>
      <c r="N198">
        <f t="shared" si="11"/>
        <v>2025</v>
      </c>
      <c r="O198">
        <f t="shared" si="9"/>
        <v>2</v>
      </c>
      <c r="P198" t="str">
        <f t="shared" si="10"/>
        <v>Febrero</v>
      </c>
    </row>
    <row r="199" spans="3:16" x14ac:dyDescent="0.25">
      <c r="C199" t="s">
        <v>17</v>
      </c>
      <c r="D199">
        <v>53052004</v>
      </c>
      <c r="E199" t="s">
        <v>276</v>
      </c>
      <c r="F199" s="4">
        <v>13249.928</v>
      </c>
      <c r="G199" t="s">
        <v>310</v>
      </c>
      <c r="H199" s="3">
        <v>45869</v>
      </c>
      <c r="I199" t="s">
        <v>311</v>
      </c>
      <c r="J199" t="s">
        <v>311</v>
      </c>
      <c r="K199" t="s">
        <v>35</v>
      </c>
      <c r="M199" t="s">
        <v>22</v>
      </c>
      <c r="N199">
        <f t="shared" si="11"/>
        <v>2025</v>
      </c>
      <c r="O199">
        <f t="shared" si="9"/>
        <v>7</v>
      </c>
      <c r="P199" t="str">
        <f t="shared" si="10"/>
        <v>Julio</v>
      </c>
    </row>
    <row r="200" spans="3:16" x14ac:dyDescent="0.25">
      <c r="C200" t="s">
        <v>17</v>
      </c>
      <c r="D200">
        <v>53052004</v>
      </c>
      <c r="E200" t="s">
        <v>276</v>
      </c>
      <c r="F200" s="4">
        <v>7117.6679999999997</v>
      </c>
      <c r="G200" t="s">
        <v>312</v>
      </c>
      <c r="H200" s="3">
        <v>45838</v>
      </c>
      <c r="I200" t="s">
        <v>313</v>
      </c>
      <c r="J200" t="s">
        <v>313</v>
      </c>
      <c r="K200" t="s">
        <v>35</v>
      </c>
      <c r="N200">
        <f t="shared" si="11"/>
        <v>2025</v>
      </c>
      <c r="O200">
        <f t="shared" si="9"/>
        <v>6</v>
      </c>
      <c r="P200" t="str">
        <f t="shared" si="10"/>
        <v>Junio</v>
      </c>
    </row>
    <row r="201" spans="3:16" x14ac:dyDescent="0.25">
      <c r="C201" t="s">
        <v>17</v>
      </c>
      <c r="D201">
        <v>53052004</v>
      </c>
      <c r="E201" t="s">
        <v>276</v>
      </c>
      <c r="F201" s="4">
        <v>5457.5209999999997</v>
      </c>
      <c r="G201" t="s">
        <v>314</v>
      </c>
      <c r="H201" s="3">
        <v>45747</v>
      </c>
      <c r="I201" t="s">
        <v>315</v>
      </c>
      <c r="J201" t="s">
        <v>315</v>
      </c>
      <c r="K201" t="s">
        <v>35</v>
      </c>
      <c r="M201" t="s">
        <v>22</v>
      </c>
      <c r="N201">
        <f t="shared" si="11"/>
        <v>2025</v>
      </c>
      <c r="O201">
        <f t="shared" si="9"/>
        <v>3</v>
      </c>
      <c r="P201" t="str">
        <f t="shared" si="10"/>
        <v>Marzo</v>
      </c>
    </row>
    <row r="202" spans="3:16" x14ac:dyDescent="0.25">
      <c r="C202" t="s">
        <v>17</v>
      </c>
      <c r="D202">
        <v>53052004</v>
      </c>
      <c r="E202" t="s">
        <v>276</v>
      </c>
      <c r="F202" s="4">
        <v>13172.091</v>
      </c>
      <c r="G202" t="s">
        <v>316</v>
      </c>
      <c r="H202" s="3">
        <v>45747</v>
      </c>
      <c r="I202" t="s">
        <v>317</v>
      </c>
      <c r="J202" t="s">
        <v>317</v>
      </c>
      <c r="K202" t="s">
        <v>35</v>
      </c>
      <c r="M202" t="s">
        <v>22</v>
      </c>
      <c r="N202">
        <f t="shared" si="11"/>
        <v>2025</v>
      </c>
      <c r="O202">
        <f t="shared" si="9"/>
        <v>3</v>
      </c>
      <c r="P202" t="str">
        <f t="shared" si="10"/>
        <v>Marzo</v>
      </c>
    </row>
    <row r="203" spans="3:16" x14ac:dyDescent="0.25">
      <c r="C203" t="s">
        <v>17</v>
      </c>
      <c r="D203">
        <v>53052004</v>
      </c>
      <c r="E203" t="s">
        <v>276</v>
      </c>
      <c r="F203" s="4">
        <v>8595.1059999999998</v>
      </c>
      <c r="G203" t="s">
        <v>318</v>
      </c>
      <c r="H203" s="3">
        <v>45900</v>
      </c>
      <c r="I203" t="s">
        <v>319</v>
      </c>
      <c r="J203" t="s">
        <v>319</v>
      </c>
      <c r="K203" t="s">
        <v>35</v>
      </c>
      <c r="N203">
        <f t="shared" si="11"/>
        <v>2025</v>
      </c>
      <c r="O203">
        <f t="shared" si="9"/>
        <v>8</v>
      </c>
      <c r="P203" t="str">
        <f t="shared" si="10"/>
        <v>Agosto</v>
      </c>
    </row>
    <row r="204" spans="3:16" x14ac:dyDescent="0.25">
      <c r="C204" t="s">
        <v>17</v>
      </c>
      <c r="D204">
        <v>53052004</v>
      </c>
      <c r="E204" t="s">
        <v>276</v>
      </c>
      <c r="F204" s="4">
        <v>14799.161</v>
      </c>
      <c r="G204" t="s">
        <v>320</v>
      </c>
      <c r="H204" s="3">
        <v>45869</v>
      </c>
      <c r="I204" t="s">
        <v>321</v>
      </c>
      <c r="J204" t="s">
        <v>321</v>
      </c>
      <c r="K204" t="s">
        <v>35</v>
      </c>
      <c r="M204" t="s">
        <v>22</v>
      </c>
      <c r="N204">
        <f t="shared" si="11"/>
        <v>2025</v>
      </c>
      <c r="O204">
        <f t="shared" si="9"/>
        <v>7</v>
      </c>
      <c r="P204" t="str">
        <f t="shared" si="10"/>
        <v>Julio</v>
      </c>
    </row>
    <row r="205" spans="3:16" x14ac:dyDescent="0.25">
      <c r="C205" t="s">
        <v>17</v>
      </c>
      <c r="D205">
        <v>53052004</v>
      </c>
      <c r="E205" t="s">
        <v>276</v>
      </c>
      <c r="F205" s="4">
        <v>11198.173000000001</v>
      </c>
      <c r="G205" t="s">
        <v>322</v>
      </c>
      <c r="H205" s="3">
        <v>45838</v>
      </c>
      <c r="I205" t="s">
        <v>323</v>
      </c>
      <c r="J205" t="s">
        <v>323</v>
      </c>
      <c r="K205" t="s">
        <v>35</v>
      </c>
      <c r="N205">
        <f t="shared" si="11"/>
        <v>2025</v>
      </c>
      <c r="O205">
        <f t="shared" si="9"/>
        <v>6</v>
      </c>
      <c r="P205" t="str">
        <f t="shared" si="10"/>
        <v>Junio</v>
      </c>
    </row>
    <row r="206" spans="3:16" x14ac:dyDescent="0.25">
      <c r="C206" t="s">
        <v>17</v>
      </c>
      <c r="D206">
        <v>53052004</v>
      </c>
      <c r="E206" t="s">
        <v>276</v>
      </c>
      <c r="F206" s="4">
        <v>1.8456400000000002</v>
      </c>
      <c r="G206" t="s">
        <v>324</v>
      </c>
      <c r="H206" s="3">
        <v>45838</v>
      </c>
      <c r="I206" t="s">
        <v>325</v>
      </c>
      <c r="J206" t="s">
        <v>325</v>
      </c>
      <c r="K206" t="s">
        <v>69</v>
      </c>
      <c r="N206">
        <f t="shared" si="11"/>
        <v>2025</v>
      </c>
      <c r="O206">
        <f t="shared" si="9"/>
        <v>6</v>
      </c>
      <c r="P206" t="str">
        <f t="shared" si="10"/>
        <v>Junio</v>
      </c>
    </row>
    <row r="207" spans="3:16" x14ac:dyDescent="0.25">
      <c r="C207" t="s">
        <v>17</v>
      </c>
      <c r="D207">
        <v>53052004</v>
      </c>
      <c r="E207" t="s">
        <v>276</v>
      </c>
      <c r="F207" s="4">
        <v>1.0999999999999999E-2</v>
      </c>
      <c r="G207" t="s">
        <v>326</v>
      </c>
      <c r="H207" s="3">
        <v>45900</v>
      </c>
      <c r="I207" t="s">
        <v>327</v>
      </c>
      <c r="J207" t="s">
        <v>327</v>
      </c>
      <c r="K207" t="s">
        <v>31</v>
      </c>
      <c r="N207">
        <f t="shared" si="11"/>
        <v>2025</v>
      </c>
      <c r="O207">
        <f t="shared" si="9"/>
        <v>8</v>
      </c>
      <c r="P207" t="str">
        <f t="shared" si="10"/>
        <v>Agosto</v>
      </c>
    </row>
    <row r="208" spans="3:16" x14ac:dyDescent="0.25">
      <c r="C208" t="s">
        <v>17</v>
      </c>
      <c r="D208">
        <v>53052004</v>
      </c>
      <c r="E208" t="s">
        <v>276</v>
      </c>
      <c r="F208">
        <v>7998.5162799999998</v>
      </c>
      <c r="G208" t="s">
        <v>328</v>
      </c>
      <c r="H208" s="3">
        <v>45808</v>
      </c>
      <c r="I208" t="s">
        <v>329</v>
      </c>
      <c r="J208" t="s">
        <v>329</v>
      </c>
      <c r="K208" t="s">
        <v>21</v>
      </c>
      <c r="N208">
        <f t="shared" si="11"/>
        <v>2025</v>
      </c>
      <c r="O208">
        <f t="shared" si="9"/>
        <v>5</v>
      </c>
      <c r="P208" t="str">
        <f t="shared" si="10"/>
        <v>Mayo</v>
      </c>
    </row>
    <row r="209" spans="3:16" x14ac:dyDescent="0.25">
      <c r="C209" t="s">
        <v>17</v>
      </c>
      <c r="D209">
        <v>53052004</v>
      </c>
      <c r="E209" t="s">
        <v>276</v>
      </c>
      <c r="F209" s="4">
        <v>9294.0418599999994</v>
      </c>
      <c r="G209" t="s">
        <v>330</v>
      </c>
      <c r="H209" s="3">
        <v>45688</v>
      </c>
      <c r="I209" t="s">
        <v>331</v>
      </c>
      <c r="J209" t="s">
        <v>331</v>
      </c>
      <c r="K209" t="s">
        <v>21</v>
      </c>
      <c r="M209" t="s">
        <v>22</v>
      </c>
      <c r="N209">
        <f t="shared" si="11"/>
        <v>2025</v>
      </c>
      <c r="O209">
        <f t="shared" si="9"/>
        <v>1</v>
      </c>
      <c r="P209" t="str">
        <f t="shared" si="10"/>
        <v>Enero</v>
      </c>
    </row>
    <row r="210" spans="3:16" x14ac:dyDescent="0.25">
      <c r="C210" t="s">
        <v>17</v>
      </c>
      <c r="D210">
        <v>53052004</v>
      </c>
      <c r="E210" t="s">
        <v>276</v>
      </c>
      <c r="F210">
        <v>7599.4191300000002</v>
      </c>
      <c r="G210" t="s">
        <v>332</v>
      </c>
      <c r="H210" s="3">
        <v>45808</v>
      </c>
      <c r="I210" t="s">
        <v>333</v>
      </c>
      <c r="J210" t="s">
        <v>333</v>
      </c>
      <c r="K210" t="s">
        <v>21</v>
      </c>
      <c r="N210">
        <f t="shared" si="11"/>
        <v>2025</v>
      </c>
      <c r="O210">
        <f t="shared" si="9"/>
        <v>5</v>
      </c>
      <c r="P210" t="str">
        <f t="shared" si="10"/>
        <v>Mayo</v>
      </c>
    </row>
    <row r="211" spans="3:16" x14ac:dyDescent="0.25">
      <c r="C211" t="s">
        <v>17</v>
      </c>
      <c r="D211">
        <v>53052004</v>
      </c>
      <c r="E211" t="s">
        <v>276</v>
      </c>
      <c r="F211">
        <v>4544.2736299999997</v>
      </c>
      <c r="G211" t="s">
        <v>334</v>
      </c>
      <c r="H211" s="3">
        <v>45777</v>
      </c>
      <c r="I211" t="s">
        <v>335</v>
      </c>
      <c r="J211" t="s">
        <v>335</v>
      </c>
      <c r="K211" t="s">
        <v>21</v>
      </c>
      <c r="M211" t="s">
        <v>22</v>
      </c>
      <c r="N211">
        <f t="shared" si="11"/>
        <v>2025</v>
      </c>
      <c r="O211">
        <f t="shared" si="9"/>
        <v>4</v>
      </c>
      <c r="P211" t="str">
        <f t="shared" si="10"/>
        <v>Abril</v>
      </c>
    </row>
    <row r="212" spans="3:16" x14ac:dyDescent="0.25">
      <c r="C212" t="s">
        <v>17</v>
      </c>
      <c r="D212">
        <v>53052004</v>
      </c>
      <c r="E212" t="s">
        <v>276</v>
      </c>
      <c r="F212" s="4">
        <v>10960.4874</v>
      </c>
      <c r="G212" t="s">
        <v>336</v>
      </c>
      <c r="H212" s="3">
        <v>45869</v>
      </c>
      <c r="I212" t="s">
        <v>337</v>
      </c>
      <c r="J212" t="s">
        <v>337</v>
      </c>
      <c r="K212" t="s">
        <v>21</v>
      </c>
      <c r="M212" t="s">
        <v>22</v>
      </c>
      <c r="N212">
        <f t="shared" si="11"/>
        <v>2025</v>
      </c>
      <c r="O212">
        <f t="shared" si="9"/>
        <v>7</v>
      </c>
      <c r="P212" t="str">
        <f t="shared" si="10"/>
        <v>Julio</v>
      </c>
    </row>
    <row r="213" spans="3:16" x14ac:dyDescent="0.25">
      <c r="C213" t="s">
        <v>17</v>
      </c>
      <c r="D213">
        <v>53052004</v>
      </c>
      <c r="E213" t="s">
        <v>276</v>
      </c>
      <c r="F213" s="4">
        <v>1021.39112</v>
      </c>
      <c r="G213" t="s">
        <v>338</v>
      </c>
      <c r="H213" s="3">
        <v>45900</v>
      </c>
      <c r="I213" t="s">
        <v>337</v>
      </c>
      <c r="J213" t="s">
        <v>337</v>
      </c>
      <c r="K213" t="s">
        <v>21</v>
      </c>
      <c r="N213">
        <f t="shared" si="11"/>
        <v>2025</v>
      </c>
      <c r="O213">
        <f t="shared" si="9"/>
        <v>8</v>
      </c>
      <c r="P213" t="str">
        <f t="shared" si="10"/>
        <v>Agosto</v>
      </c>
    </row>
    <row r="214" spans="3:16" x14ac:dyDescent="0.25">
      <c r="C214" t="s">
        <v>17</v>
      </c>
      <c r="D214">
        <v>53052004</v>
      </c>
      <c r="E214" t="s">
        <v>276</v>
      </c>
      <c r="F214" s="4">
        <v>3408.92895</v>
      </c>
      <c r="G214" t="s">
        <v>339</v>
      </c>
      <c r="H214" s="3">
        <v>45838</v>
      </c>
      <c r="I214" t="s">
        <v>340</v>
      </c>
      <c r="J214" t="s">
        <v>340</v>
      </c>
      <c r="K214" t="s">
        <v>21</v>
      </c>
      <c r="N214">
        <f t="shared" si="11"/>
        <v>2025</v>
      </c>
      <c r="O214">
        <f t="shared" si="9"/>
        <v>6</v>
      </c>
      <c r="P214" t="str">
        <f t="shared" si="10"/>
        <v>Junio</v>
      </c>
    </row>
    <row r="215" spans="3:16" x14ac:dyDescent="0.25">
      <c r="C215" t="s">
        <v>17</v>
      </c>
      <c r="D215">
        <v>53052004</v>
      </c>
      <c r="E215" t="s">
        <v>276</v>
      </c>
      <c r="F215">
        <v>10334.20571</v>
      </c>
      <c r="G215" t="s">
        <v>341</v>
      </c>
      <c r="H215" s="3">
        <v>45777</v>
      </c>
      <c r="I215" t="s">
        <v>342</v>
      </c>
      <c r="J215" t="s">
        <v>342</v>
      </c>
      <c r="K215" t="s">
        <v>21</v>
      </c>
      <c r="M215" t="s">
        <v>22</v>
      </c>
      <c r="N215">
        <f t="shared" si="11"/>
        <v>2025</v>
      </c>
      <c r="O215">
        <f t="shared" si="9"/>
        <v>4</v>
      </c>
      <c r="P215" t="str">
        <f t="shared" si="10"/>
        <v>Abril</v>
      </c>
    </row>
    <row r="216" spans="3:16" x14ac:dyDescent="0.25">
      <c r="C216" t="s">
        <v>17</v>
      </c>
      <c r="D216">
        <v>53052004</v>
      </c>
      <c r="E216" t="s">
        <v>276</v>
      </c>
      <c r="F216" s="4">
        <v>13034.203660000001</v>
      </c>
      <c r="G216" t="s">
        <v>343</v>
      </c>
      <c r="H216" s="3">
        <v>45688</v>
      </c>
      <c r="I216" t="s">
        <v>344</v>
      </c>
      <c r="J216" t="s">
        <v>344</v>
      </c>
      <c r="K216" t="s">
        <v>21</v>
      </c>
      <c r="M216" t="s">
        <v>22</v>
      </c>
      <c r="N216">
        <f t="shared" si="11"/>
        <v>2025</v>
      </c>
      <c r="O216">
        <f t="shared" si="9"/>
        <v>1</v>
      </c>
      <c r="P216" t="str">
        <f t="shared" si="10"/>
        <v>Enero</v>
      </c>
    </row>
    <row r="217" spans="3:16" x14ac:dyDescent="0.25">
      <c r="C217" t="s">
        <v>17</v>
      </c>
      <c r="D217">
        <v>53052004</v>
      </c>
      <c r="E217" t="s">
        <v>276</v>
      </c>
      <c r="F217" s="4">
        <v>26163.3364</v>
      </c>
      <c r="G217" t="s">
        <v>345</v>
      </c>
      <c r="H217" s="3">
        <v>45869</v>
      </c>
      <c r="I217" t="s">
        <v>346</v>
      </c>
      <c r="J217" t="s">
        <v>346</v>
      </c>
      <c r="K217" t="s">
        <v>21</v>
      </c>
      <c r="M217" t="s">
        <v>22</v>
      </c>
      <c r="N217">
        <f t="shared" si="11"/>
        <v>2025</v>
      </c>
      <c r="O217">
        <f t="shared" si="9"/>
        <v>7</v>
      </c>
      <c r="P217" t="str">
        <f t="shared" si="10"/>
        <v>Julio</v>
      </c>
    </row>
    <row r="218" spans="3:16" x14ac:dyDescent="0.25">
      <c r="C218" t="s">
        <v>17</v>
      </c>
      <c r="D218">
        <v>53052004</v>
      </c>
      <c r="E218" t="s">
        <v>276</v>
      </c>
      <c r="F218" s="4">
        <v>4792.0580199999995</v>
      </c>
      <c r="G218" t="s">
        <v>347</v>
      </c>
      <c r="H218" s="3">
        <v>45838</v>
      </c>
      <c r="I218" t="s">
        <v>348</v>
      </c>
      <c r="J218" t="s">
        <v>348</v>
      </c>
      <c r="K218" t="s">
        <v>21</v>
      </c>
      <c r="N218">
        <f t="shared" si="11"/>
        <v>2025</v>
      </c>
      <c r="O218">
        <f t="shared" si="9"/>
        <v>6</v>
      </c>
      <c r="P218" t="str">
        <f t="shared" si="10"/>
        <v>Junio</v>
      </c>
    </row>
    <row r="219" spans="3:16" x14ac:dyDescent="0.25">
      <c r="C219" t="s">
        <v>17</v>
      </c>
      <c r="D219">
        <v>53052004</v>
      </c>
      <c r="E219" t="s">
        <v>276</v>
      </c>
      <c r="F219" s="4">
        <v>7781.62399</v>
      </c>
      <c r="G219" t="s">
        <v>349</v>
      </c>
      <c r="H219" s="3">
        <v>45747</v>
      </c>
      <c r="I219" t="s">
        <v>350</v>
      </c>
      <c r="J219" t="s">
        <v>350</v>
      </c>
      <c r="K219" t="s">
        <v>21</v>
      </c>
      <c r="M219" t="s">
        <v>22</v>
      </c>
      <c r="N219">
        <f t="shared" si="11"/>
        <v>2025</v>
      </c>
      <c r="O219">
        <f t="shared" si="9"/>
        <v>3</v>
      </c>
      <c r="P219" t="str">
        <f t="shared" si="10"/>
        <v>Marzo</v>
      </c>
    </row>
    <row r="220" spans="3:16" x14ac:dyDescent="0.25">
      <c r="C220" t="s">
        <v>17</v>
      </c>
      <c r="D220">
        <v>53052004</v>
      </c>
      <c r="E220" t="s">
        <v>276</v>
      </c>
      <c r="F220" s="11">
        <v>2830.7930000000001</v>
      </c>
      <c r="G220" t="s">
        <v>351</v>
      </c>
      <c r="H220" s="3">
        <v>45777</v>
      </c>
      <c r="I220" t="s">
        <v>352</v>
      </c>
      <c r="J220" t="s">
        <v>352</v>
      </c>
      <c r="K220" t="s">
        <v>35</v>
      </c>
      <c r="M220" t="s">
        <v>22</v>
      </c>
      <c r="N220">
        <f t="shared" si="11"/>
        <v>2025</v>
      </c>
      <c r="O220">
        <f t="shared" si="9"/>
        <v>4</v>
      </c>
      <c r="P220" t="str">
        <f t="shared" si="10"/>
        <v>Abril</v>
      </c>
    </row>
    <row r="221" spans="3:16" x14ac:dyDescent="0.25">
      <c r="C221" t="s">
        <v>17</v>
      </c>
      <c r="D221">
        <v>53052004</v>
      </c>
      <c r="E221" t="s">
        <v>276</v>
      </c>
      <c r="F221" s="4">
        <v>18683.295999999998</v>
      </c>
      <c r="G221" t="s">
        <v>353</v>
      </c>
      <c r="H221" s="3">
        <v>45688</v>
      </c>
      <c r="I221" t="s">
        <v>354</v>
      </c>
      <c r="J221" t="s">
        <v>354</v>
      </c>
      <c r="K221" t="s">
        <v>35</v>
      </c>
      <c r="M221" t="s">
        <v>22</v>
      </c>
      <c r="N221">
        <f t="shared" si="11"/>
        <v>2025</v>
      </c>
      <c r="O221">
        <f t="shared" si="9"/>
        <v>1</v>
      </c>
      <c r="P221" t="str">
        <f t="shared" si="10"/>
        <v>Enero</v>
      </c>
    </row>
    <row r="222" spans="3:16" x14ac:dyDescent="0.25">
      <c r="C222" t="s">
        <v>17</v>
      </c>
      <c r="D222">
        <v>53052004</v>
      </c>
      <c r="E222" t="s">
        <v>276</v>
      </c>
      <c r="F222" s="4">
        <v>9281.9169999999995</v>
      </c>
      <c r="G222" t="s">
        <v>355</v>
      </c>
      <c r="H222" s="3">
        <v>45747</v>
      </c>
      <c r="I222" t="s">
        <v>356</v>
      </c>
      <c r="J222" t="s">
        <v>356</v>
      </c>
      <c r="K222" t="s">
        <v>35</v>
      </c>
      <c r="M222" t="s">
        <v>22</v>
      </c>
      <c r="N222">
        <f t="shared" si="11"/>
        <v>2025</v>
      </c>
      <c r="O222">
        <f t="shared" si="9"/>
        <v>3</v>
      </c>
      <c r="P222" t="str">
        <f t="shared" si="10"/>
        <v>Marzo</v>
      </c>
    </row>
    <row r="223" spans="3:16" x14ac:dyDescent="0.25">
      <c r="C223" t="s">
        <v>17</v>
      </c>
      <c r="D223">
        <v>53052004</v>
      </c>
      <c r="E223" t="s">
        <v>276</v>
      </c>
      <c r="F223">
        <v>792.44200000000001</v>
      </c>
      <c r="G223" t="s">
        <v>357</v>
      </c>
      <c r="H223" s="3">
        <v>45777</v>
      </c>
      <c r="I223" t="s">
        <v>358</v>
      </c>
      <c r="J223" t="s">
        <v>359</v>
      </c>
      <c r="K223" t="s">
        <v>35</v>
      </c>
      <c r="M223" t="s">
        <v>22</v>
      </c>
      <c r="N223">
        <f t="shared" si="11"/>
        <v>2025</v>
      </c>
      <c r="O223">
        <f t="shared" si="9"/>
        <v>4</v>
      </c>
      <c r="P223" t="str">
        <f t="shared" si="10"/>
        <v>Abril</v>
      </c>
    </row>
    <row r="224" spans="3:16" x14ac:dyDescent="0.25">
      <c r="C224" t="s">
        <v>17</v>
      </c>
      <c r="D224">
        <v>53052004</v>
      </c>
      <c r="E224" t="s">
        <v>276</v>
      </c>
      <c r="F224" s="4">
        <v>23545.723000000002</v>
      </c>
      <c r="G224" t="s">
        <v>360</v>
      </c>
      <c r="H224" s="3">
        <v>45688</v>
      </c>
      <c r="I224" t="s">
        <v>361</v>
      </c>
      <c r="J224" t="s">
        <v>361</v>
      </c>
      <c r="K224" t="s">
        <v>35</v>
      </c>
      <c r="M224" t="s">
        <v>22</v>
      </c>
      <c r="N224">
        <f t="shared" si="11"/>
        <v>2025</v>
      </c>
      <c r="O224">
        <f t="shared" si="9"/>
        <v>1</v>
      </c>
      <c r="P224" t="str">
        <f t="shared" si="10"/>
        <v>Enero</v>
      </c>
    </row>
    <row r="225" spans="3:16" x14ac:dyDescent="0.25">
      <c r="C225" t="s">
        <v>17</v>
      </c>
      <c r="D225">
        <v>53052004</v>
      </c>
      <c r="E225" t="s">
        <v>276</v>
      </c>
      <c r="F225">
        <v>5244.4849999999997</v>
      </c>
      <c r="G225" t="s">
        <v>362</v>
      </c>
      <c r="H225" s="3">
        <v>45777</v>
      </c>
      <c r="I225" t="s">
        <v>363</v>
      </c>
      <c r="J225" t="s">
        <v>363</v>
      </c>
      <c r="K225" t="s">
        <v>35</v>
      </c>
      <c r="M225" t="s">
        <v>22</v>
      </c>
      <c r="N225">
        <f t="shared" si="11"/>
        <v>2025</v>
      </c>
      <c r="O225">
        <f t="shared" si="9"/>
        <v>4</v>
      </c>
      <c r="P225" t="str">
        <f t="shared" si="10"/>
        <v>Abril</v>
      </c>
    </row>
    <row r="226" spans="3:16" x14ac:dyDescent="0.25">
      <c r="C226" t="s">
        <v>17</v>
      </c>
      <c r="D226">
        <v>53052004</v>
      </c>
      <c r="E226" t="s">
        <v>276</v>
      </c>
      <c r="F226" s="4">
        <v>16486.008000000002</v>
      </c>
      <c r="G226" t="s">
        <v>364</v>
      </c>
      <c r="H226" s="3">
        <v>45688</v>
      </c>
      <c r="I226" t="s">
        <v>365</v>
      </c>
      <c r="J226" t="s">
        <v>365</v>
      </c>
      <c r="K226" t="s">
        <v>35</v>
      </c>
      <c r="M226" t="s">
        <v>22</v>
      </c>
      <c r="N226">
        <f t="shared" si="11"/>
        <v>2025</v>
      </c>
      <c r="O226">
        <f t="shared" si="9"/>
        <v>1</v>
      </c>
      <c r="P226" t="str">
        <f t="shared" si="10"/>
        <v>Enero</v>
      </c>
    </row>
    <row r="227" spans="3:16" hidden="1" x14ac:dyDescent="0.25">
      <c r="C227" t="s">
        <v>17</v>
      </c>
      <c r="D227">
        <v>53052001</v>
      </c>
      <c r="E227" t="s">
        <v>18</v>
      </c>
      <c r="F227">
        <v>209931.94699999999</v>
      </c>
      <c r="G227" t="s">
        <v>366</v>
      </c>
      <c r="H227" s="3">
        <v>45805</v>
      </c>
      <c r="I227" t="s">
        <v>367</v>
      </c>
      <c r="J227" t="s">
        <v>367</v>
      </c>
      <c r="K227" t="s">
        <v>31</v>
      </c>
      <c r="N227">
        <f t="shared" si="11"/>
        <v>2025</v>
      </c>
      <c r="O227">
        <f t="shared" si="9"/>
        <v>5</v>
      </c>
      <c r="P227" t="str">
        <f t="shared" si="10"/>
        <v>Mayo</v>
      </c>
    </row>
    <row r="228" spans="3:16" hidden="1" x14ac:dyDescent="0.25">
      <c r="C228" t="s">
        <v>17</v>
      </c>
      <c r="D228">
        <v>53052001</v>
      </c>
      <c r="E228" t="s">
        <v>18</v>
      </c>
      <c r="F228" s="4">
        <v>32853.074000000001</v>
      </c>
      <c r="G228" t="s">
        <v>368</v>
      </c>
      <c r="H228" s="3">
        <v>45896</v>
      </c>
      <c r="I228" t="s">
        <v>369</v>
      </c>
      <c r="J228" t="s">
        <v>369</v>
      </c>
      <c r="K228" t="s">
        <v>35</v>
      </c>
      <c r="N228">
        <f t="shared" si="11"/>
        <v>2025</v>
      </c>
      <c r="O228">
        <f t="shared" si="9"/>
        <v>8</v>
      </c>
      <c r="P228" t="str">
        <f t="shared" si="10"/>
        <v>Agosto</v>
      </c>
    </row>
    <row r="229" spans="3:16" hidden="1" x14ac:dyDescent="0.25">
      <c r="C229" t="s">
        <v>17</v>
      </c>
      <c r="D229">
        <v>53052001</v>
      </c>
      <c r="E229" t="s">
        <v>18</v>
      </c>
      <c r="F229" s="4">
        <v>18315.841</v>
      </c>
      <c r="G229" t="s">
        <v>370</v>
      </c>
      <c r="H229" s="3">
        <v>45852</v>
      </c>
      <c r="I229" t="s">
        <v>371</v>
      </c>
      <c r="J229" t="s">
        <v>371</v>
      </c>
      <c r="K229" t="s">
        <v>35</v>
      </c>
      <c r="M229" t="s">
        <v>22</v>
      </c>
      <c r="N229">
        <f t="shared" si="11"/>
        <v>2025</v>
      </c>
      <c r="O229">
        <f t="shared" si="9"/>
        <v>7</v>
      </c>
      <c r="P229" t="str">
        <f t="shared" si="10"/>
        <v>Julio</v>
      </c>
    </row>
    <row r="230" spans="3:16" hidden="1" x14ac:dyDescent="0.25">
      <c r="C230" t="s">
        <v>17</v>
      </c>
      <c r="D230">
        <v>53052001</v>
      </c>
      <c r="E230" t="s">
        <v>18</v>
      </c>
      <c r="F230" s="5">
        <v>134512.64466999998</v>
      </c>
      <c r="G230" s="6" t="s">
        <v>372</v>
      </c>
      <c r="H230" s="7">
        <v>45852</v>
      </c>
      <c r="I230" s="6" t="s">
        <v>371</v>
      </c>
      <c r="J230" s="6" t="s">
        <v>371</v>
      </c>
      <c r="K230" s="6" t="s">
        <v>69</v>
      </c>
      <c r="L230" s="6" t="s">
        <v>373</v>
      </c>
      <c r="M230" t="s">
        <v>22</v>
      </c>
      <c r="N230">
        <f t="shared" si="11"/>
        <v>2025</v>
      </c>
      <c r="O230">
        <f t="shared" si="9"/>
        <v>7</v>
      </c>
      <c r="P230" t="str">
        <f t="shared" si="10"/>
        <v>Julio</v>
      </c>
    </row>
    <row r="231" spans="3:16" hidden="1" x14ac:dyDescent="0.25">
      <c r="C231" t="s">
        <v>17</v>
      </c>
      <c r="D231">
        <v>53052001</v>
      </c>
      <c r="E231" t="s">
        <v>18</v>
      </c>
      <c r="F231" s="5">
        <v>140399.57531000001</v>
      </c>
      <c r="G231" s="6" t="s">
        <v>374</v>
      </c>
      <c r="H231" s="7">
        <v>45852</v>
      </c>
      <c r="I231" s="6" t="s">
        <v>371</v>
      </c>
      <c r="J231" s="6" t="s">
        <v>371</v>
      </c>
      <c r="K231" s="6" t="s">
        <v>21</v>
      </c>
      <c r="L231" s="6" t="s">
        <v>375</v>
      </c>
      <c r="M231" t="s">
        <v>22</v>
      </c>
      <c r="N231">
        <f t="shared" si="11"/>
        <v>2025</v>
      </c>
      <c r="O231">
        <f t="shared" si="9"/>
        <v>7</v>
      </c>
      <c r="P231" t="str">
        <f t="shared" si="10"/>
        <v>Julio</v>
      </c>
    </row>
    <row r="232" spans="3:16" hidden="1" x14ac:dyDescent="0.25">
      <c r="C232" t="s">
        <v>17</v>
      </c>
      <c r="D232">
        <v>53052001</v>
      </c>
      <c r="E232" t="s">
        <v>18</v>
      </c>
      <c r="F232" s="5">
        <v>39900.302320000003</v>
      </c>
      <c r="G232" s="6" t="s">
        <v>376</v>
      </c>
      <c r="H232" s="7">
        <v>45852</v>
      </c>
      <c r="I232" s="6" t="s">
        <v>371</v>
      </c>
      <c r="J232" s="6" t="s">
        <v>371</v>
      </c>
      <c r="K232" s="6" t="s">
        <v>27</v>
      </c>
      <c r="L232" s="6" t="s">
        <v>377</v>
      </c>
      <c r="M232" t="s">
        <v>22</v>
      </c>
      <c r="N232">
        <f t="shared" si="11"/>
        <v>2025</v>
      </c>
      <c r="O232">
        <f t="shared" si="9"/>
        <v>7</v>
      </c>
      <c r="P232" t="str">
        <f t="shared" si="10"/>
        <v>Julio</v>
      </c>
    </row>
    <row r="233" spans="3:16" hidden="1" x14ac:dyDescent="0.25">
      <c r="C233" t="s">
        <v>17</v>
      </c>
      <c r="D233">
        <v>53052001</v>
      </c>
      <c r="E233" t="s">
        <v>18</v>
      </c>
      <c r="F233" s="5">
        <v>200929.28899999999</v>
      </c>
      <c r="G233" s="6" t="s">
        <v>378</v>
      </c>
      <c r="H233" s="7">
        <v>45852</v>
      </c>
      <c r="I233" s="6" t="s">
        <v>371</v>
      </c>
      <c r="J233" s="6" t="s">
        <v>371</v>
      </c>
      <c r="K233" s="6" t="s">
        <v>31</v>
      </c>
      <c r="L233" s="6" t="s">
        <v>379</v>
      </c>
      <c r="M233" t="s">
        <v>22</v>
      </c>
      <c r="N233">
        <f t="shared" si="11"/>
        <v>2025</v>
      </c>
      <c r="O233">
        <f t="shared" si="9"/>
        <v>7</v>
      </c>
      <c r="P233" t="str">
        <f t="shared" si="10"/>
        <v>Julio</v>
      </c>
    </row>
    <row r="234" spans="3:16" hidden="1" x14ac:dyDescent="0.25">
      <c r="C234" t="s">
        <v>17</v>
      </c>
      <c r="D234">
        <v>53052001</v>
      </c>
      <c r="E234" t="s">
        <v>18</v>
      </c>
      <c r="F234" s="4">
        <v>1783.59843</v>
      </c>
      <c r="G234" t="s">
        <v>380</v>
      </c>
      <c r="H234" s="3">
        <v>45852</v>
      </c>
      <c r="I234" t="s">
        <v>371</v>
      </c>
      <c r="J234" t="s">
        <v>371</v>
      </c>
      <c r="K234" t="s">
        <v>41</v>
      </c>
      <c r="M234" t="s">
        <v>22</v>
      </c>
      <c r="N234">
        <f t="shared" si="11"/>
        <v>2025</v>
      </c>
      <c r="O234">
        <f t="shared" si="9"/>
        <v>7</v>
      </c>
      <c r="P234" t="str">
        <f t="shared" si="10"/>
        <v>Julio</v>
      </c>
    </row>
    <row r="235" spans="3:16" hidden="1" x14ac:dyDescent="0.25">
      <c r="C235" t="s">
        <v>17</v>
      </c>
      <c r="D235">
        <v>53052001</v>
      </c>
      <c r="E235" t="s">
        <v>18</v>
      </c>
      <c r="F235" s="5">
        <v>322854.40000000002</v>
      </c>
      <c r="G235" s="6" t="s">
        <v>381</v>
      </c>
      <c r="H235" s="7">
        <v>45852</v>
      </c>
      <c r="I235" s="6" t="s">
        <v>382</v>
      </c>
      <c r="J235" s="6" t="s">
        <v>382</v>
      </c>
      <c r="K235" s="6" t="s">
        <v>27</v>
      </c>
      <c r="L235" s="6" t="s">
        <v>383</v>
      </c>
      <c r="M235" t="s">
        <v>22</v>
      </c>
      <c r="N235">
        <f t="shared" si="11"/>
        <v>2025</v>
      </c>
      <c r="O235">
        <f t="shared" si="9"/>
        <v>7</v>
      </c>
      <c r="P235" t="str">
        <f t="shared" si="10"/>
        <v>Julio</v>
      </c>
    </row>
    <row r="236" spans="3:16" hidden="1" x14ac:dyDescent="0.25">
      <c r="C236" t="s">
        <v>17</v>
      </c>
      <c r="D236">
        <v>53052001</v>
      </c>
      <c r="E236" t="s">
        <v>18</v>
      </c>
      <c r="F236">
        <v>147094.18203</v>
      </c>
      <c r="G236" t="s">
        <v>384</v>
      </c>
      <c r="H236" s="3">
        <v>45762</v>
      </c>
      <c r="I236" t="s">
        <v>385</v>
      </c>
      <c r="J236" t="s">
        <v>385</v>
      </c>
      <c r="K236" t="s">
        <v>69</v>
      </c>
      <c r="M236" t="s">
        <v>22</v>
      </c>
      <c r="N236">
        <f t="shared" si="11"/>
        <v>2025</v>
      </c>
      <c r="O236">
        <f t="shared" si="9"/>
        <v>4</v>
      </c>
      <c r="P236" t="str">
        <f t="shared" si="10"/>
        <v>Abril</v>
      </c>
    </row>
    <row r="237" spans="3:16" hidden="1" x14ac:dyDescent="0.25">
      <c r="C237" t="s">
        <v>17</v>
      </c>
      <c r="D237">
        <v>53052001</v>
      </c>
      <c r="E237" t="s">
        <v>18</v>
      </c>
      <c r="F237">
        <v>5269.991</v>
      </c>
      <c r="G237" t="s">
        <v>386</v>
      </c>
      <c r="H237" s="3">
        <v>45762</v>
      </c>
      <c r="I237" t="s">
        <v>385</v>
      </c>
      <c r="J237" t="s">
        <v>385</v>
      </c>
      <c r="K237" t="s">
        <v>37</v>
      </c>
      <c r="M237" t="s">
        <v>22</v>
      </c>
      <c r="N237">
        <f t="shared" si="11"/>
        <v>2025</v>
      </c>
      <c r="O237">
        <f t="shared" si="9"/>
        <v>4</v>
      </c>
      <c r="P237" t="str">
        <f t="shared" si="10"/>
        <v>Abril</v>
      </c>
    </row>
    <row r="238" spans="3:16" hidden="1" x14ac:dyDescent="0.25">
      <c r="C238" t="s">
        <v>17</v>
      </c>
      <c r="D238">
        <v>53052001</v>
      </c>
      <c r="E238" t="s">
        <v>18</v>
      </c>
      <c r="F238" s="4">
        <v>146019.54741</v>
      </c>
      <c r="G238" t="s">
        <v>387</v>
      </c>
      <c r="H238" s="3">
        <v>45852</v>
      </c>
      <c r="I238" t="s">
        <v>388</v>
      </c>
      <c r="J238" t="s">
        <v>388</v>
      </c>
      <c r="K238" t="s">
        <v>21</v>
      </c>
      <c r="M238" t="s">
        <v>22</v>
      </c>
      <c r="N238">
        <f t="shared" si="11"/>
        <v>2025</v>
      </c>
      <c r="O238">
        <f t="shared" si="9"/>
        <v>7</v>
      </c>
      <c r="P238" t="str">
        <f t="shared" si="10"/>
        <v>Julio</v>
      </c>
    </row>
    <row r="239" spans="3:16" hidden="1" x14ac:dyDescent="0.25">
      <c r="C239" t="s">
        <v>17</v>
      </c>
      <c r="D239">
        <v>53052001</v>
      </c>
      <c r="E239" t="s">
        <v>18</v>
      </c>
      <c r="F239" s="4">
        <v>109667.49952</v>
      </c>
      <c r="G239" t="s">
        <v>389</v>
      </c>
      <c r="H239" s="3">
        <v>45852</v>
      </c>
      <c r="I239" t="s">
        <v>388</v>
      </c>
      <c r="J239" t="s">
        <v>388</v>
      </c>
      <c r="K239" t="s">
        <v>27</v>
      </c>
      <c r="M239" t="s">
        <v>22</v>
      </c>
      <c r="N239">
        <f t="shared" si="11"/>
        <v>2025</v>
      </c>
      <c r="O239">
        <f t="shared" si="9"/>
        <v>7</v>
      </c>
      <c r="P239" t="str">
        <f t="shared" si="10"/>
        <v>Julio</v>
      </c>
    </row>
    <row r="240" spans="3:16" hidden="1" x14ac:dyDescent="0.25">
      <c r="C240" t="s">
        <v>17</v>
      </c>
      <c r="D240">
        <v>53052001</v>
      </c>
      <c r="E240" t="s">
        <v>18</v>
      </c>
      <c r="F240" s="4">
        <v>226527.08100000001</v>
      </c>
      <c r="G240" t="s">
        <v>390</v>
      </c>
      <c r="H240" s="3">
        <v>45852</v>
      </c>
      <c r="I240" t="s">
        <v>388</v>
      </c>
      <c r="J240" t="s">
        <v>388</v>
      </c>
      <c r="K240" t="s">
        <v>31</v>
      </c>
      <c r="M240" t="s">
        <v>22</v>
      </c>
      <c r="N240">
        <f t="shared" si="11"/>
        <v>2025</v>
      </c>
      <c r="O240">
        <f t="shared" si="9"/>
        <v>7</v>
      </c>
      <c r="P240" t="str">
        <f t="shared" si="10"/>
        <v>Julio</v>
      </c>
    </row>
    <row r="241" spans="3:16" hidden="1" x14ac:dyDescent="0.25">
      <c r="C241" t="s">
        <v>17</v>
      </c>
      <c r="D241">
        <v>53052001</v>
      </c>
      <c r="E241" t="s">
        <v>18</v>
      </c>
      <c r="F241" s="4">
        <v>9545.1498300000003</v>
      </c>
      <c r="G241" t="s">
        <v>391</v>
      </c>
      <c r="H241" s="3">
        <v>45852</v>
      </c>
      <c r="I241" t="s">
        <v>388</v>
      </c>
      <c r="J241" t="s">
        <v>388</v>
      </c>
      <c r="K241" t="s">
        <v>41</v>
      </c>
      <c r="M241" t="s">
        <v>22</v>
      </c>
      <c r="N241">
        <f t="shared" si="11"/>
        <v>2025</v>
      </c>
      <c r="O241">
        <f t="shared" si="9"/>
        <v>7</v>
      </c>
      <c r="P241" t="str">
        <f t="shared" si="10"/>
        <v>Julio</v>
      </c>
    </row>
    <row r="242" spans="3:16" hidden="1" x14ac:dyDescent="0.25">
      <c r="C242" t="s">
        <v>17</v>
      </c>
      <c r="D242">
        <v>53052001</v>
      </c>
      <c r="E242" t="s">
        <v>18</v>
      </c>
      <c r="F242" s="4">
        <v>6917.6360000000004</v>
      </c>
      <c r="G242" t="s">
        <v>392</v>
      </c>
      <c r="H242" s="3">
        <v>45852</v>
      </c>
      <c r="I242" t="s">
        <v>388</v>
      </c>
      <c r="J242" t="s">
        <v>388</v>
      </c>
      <c r="K242" t="s">
        <v>37</v>
      </c>
      <c r="M242" t="s">
        <v>22</v>
      </c>
      <c r="N242">
        <f t="shared" si="11"/>
        <v>2025</v>
      </c>
      <c r="O242">
        <f t="shared" si="9"/>
        <v>7</v>
      </c>
      <c r="P242" t="str">
        <f t="shared" si="10"/>
        <v>Julio</v>
      </c>
    </row>
    <row r="243" spans="3:16" hidden="1" x14ac:dyDescent="0.25">
      <c r="C243" t="s">
        <v>17</v>
      </c>
      <c r="D243">
        <v>53052001</v>
      </c>
      <c r="E243" t="s">
        <v>18</v>
      </c>
      <c r="F243" s="4">
        <v>318659.92700000003</v>
      </c>
      <c r="G243" t="s">
        <v>393</v>
      </c>
      <c r="H243" s="3">
        <v>45852</v>
      </c>
      <c r="I243" t="s">
        <v>394</v>
      </c>
      <c r="J243" t="s">
        <v>394</v>
      </c>
      <c r="K243" t="s">
        <v>27</v>
      </c>
      <c r="M243" t="s">
        <v>22</v>
      </c>
      <c r="N243">
        <f t="shared" si="11"/>
        <v>2025</v>
      </c>
      <c r="O243">
        <f t="shared" si="9"/>
        <v>7</v>
      </c>
      <c r="P243" t="str">
        <f t="shared" si="10"/>
        <v>Julio</v>
      </c>
    </row>
    <row r="244" spans="3:16" hidden="1" x14ac:dyDescent="0.25">
      <c r="C244" t="s">
        <v>17</v>
      </c>
      <c r="D244">
        <v>53052001</v>
      </c>
      <c r="E244" t="s">
        <v>18</v>
      </c>
      <c r="F244">
        <v>94879.976049999997</v>
      </c>
      <c r="G244" t="s">
        <v>395</v>
      </c>
      <c r="H244" s="3">
        <v>45805</v>
      </c>
      <c r="I244" t="s">
        <v>396</v>
      </c>
      <c r="J244" t="s">
        <v>396</v>
      </c>
      <c r="K244" t="s">
        <v>35</v>
      </c>
      <c r="N244">
        <f t="shared" si="11"/>
        <v>2025</v>
      </c>
      <c r="O244">
        <f t="shared" si="9"/>
        <v>5</v>
      </c>
      <c r="P244" t="str">
        <f t="shared" si="10"/>
        <v>Mayo</v>
      </c>
    </row>
    <row r="245" spans="3:16" hidden="1" x14ac:dyDescent="0.25">
      <c r="C245" t="s">
        <v>17</v>
      </c>
      <c r="D245">
        <v>53052001</v>
      </c>
      <c r="E245" t="s">
        <v>18</v>
      </c>
      <c r="F245">
        <v>43800.743240000003</v>
      </c>
      <c r="G245" t="s">
        <v>397</v>
      </c>
      <c r="H245" s="3">
        <v>45805</v>
      </c>
      <c r="I245" t="s">
        <v>396</v>
      </c>
      <c r="J245" t="s">
        <v>396</v>
      </c>
      <c r="K245" t="s">
        <v>69</v>
      </c>
      <c r="N245">
        <f t="shared" si="11"/>
        <v>2025</v>
      </c>
      <c r="O245">
        <f t="shared" si="9"/>
        <v>5</v>
      </c>
      <c r="P245" t="str">
        <f t="shared" si="10"/>
        <v>Mayo</v>
      </c>
    </row>
    <row r="246" spans="3:16" hidden="1" x14ac:dyDescent="0.25">
      <c r="C246" t="s">
        <v>17</v>
      </c>
      <c r="D246">
        <v>53052001</v>
      </c>
      <c r="E246" t="s">
        <v>18</v>
      </c>
      <c r="F246">
        <v>185786.09734000001</v>
      </c>
      <c r="G246" t="s">
        <v>398</v>
      </c>
      <c r="H246" s="3">
        <v>45805</v>
      </c>
      <c r="I246" t="s">
        <v>396</v>
      </c>
      <c r="J246" t="s">
        <v>396</v>
      </c>
      <c r="K246" t="s">
        <v>21</v>
      </c>
      <c r="N246">
        <f t="shared" si="11"/>
        <v>2025</v>
      </c>
      <c r="O246">
        <f t="shared" si="9"/>
        <v>5</v>
      </c>
      <c r="P246" t="str">
        <f t="shared" si="10"/>
        <v>Mayo</v>
      </c>
    </row>
    <row r="247" spans="3:16" hidden="1" x14ac:dyDescent="0.25">
      <c r="C247" t="s">
        <v>17</v>
      </c>
      <c r="D247">
        <v>53052001</v>
      </c>
      <c r="E247" t="s">
        <v>18</v>
      </c>
      <c r="F247">
        <v>87537.628819999998</v>
      </c>
      <c r="G247" t="s">
        <v>399</v>
      </c>
      <c r="H247" s="3">
        <v>45805</v>
      </c>
      <c r="I247" t="s">
        <v>396</v>
      </c>
      <c r="J247" t="s">
        <v>396</v>
      </c>
      <c r="K247" t="s">
        <v>27</v>
      </c>
      <c r="N247">
        <f t="shared" si="11"/>
        <v>2025</v>
      </c>
      <c r="O247">
        <f t="shared" si="9"/>
        <v>5</v>
      </c>
      <c r="P247" t="str">
        <f t="shared" si="10"/>
        <v>Mayo</v>
      </c>
    </row>
    <row r="248" spans="3:16" hidden="1" x14ac:dyDescent="0.25">
      <c r="C248" t="s">
        <v>17</v>
      </c>
      <c r="D248">
        <v>53052001</v>
      </c>
      <c r="E248" t="s">
        <v>18</v>
      </c>
      <c r="F248">
        <v>12519.463310000001</v>
      </c>
      <c r="G248" t="s">
        <v>400</v>
      </c>
      <c r="H248" s="3">
        <v>45805</v>
      </c>
      <c r="I248" t="s">
        <v>396</v>
      </c>
      <c r="J248" t="s">
        <v>396</v>
      </c>
      <c r="K248" t="s">
        <v>41</v>
      </c>
      <c r="N248">
        <f t="shared" si="11"/>
        <v>2025</v>
      </c>
      <c r="O248">
        <f t="shared" si="9"/>
        <v>5</v>
      </c>
      <c r="P248" t="str">
        <f t="shared" si="10"/>
        <v>Mayo</v>
      </c>
    </row>
    <row r="249" spans="3:16" hidden="1" x14ac:dyDescent="0.25">
      <c r="C249" t="s">
        <v>17</v>
      </c>
      <c r="D249">
        <v>53052001</v>
      </c>
      <c r="E249" t="s">
        <v>18</v>
      </c>
      <c r="F249">
        <v>8762.3389999999999</v>
      </c>
      <c r="G249" t="s">
        <v>401</v>
      </c>
      <c r="H249" s="3">
        <v>45805</v>
      </c>
      <c r="I249" t="s">
        <v>396</v>
      </c>
      <c r="J249" t="s">
        <v>396</v>
      </c>
      <c r="K249" t="s">
        <v>37</v>
      </c>
      <c r="N249">
        <f t="shared" si="11"/>
        <v>2025</v>
      </c>
      <c r="O249">
        <f t="shared" si="9"/>
        <v>5</v>
      </c>
      <c r="P249" t="str">
        <f t="shared" si="10"/>
        <v>Mayo</v>
      </c>
    </row>
    <row r="250" spans="3:16" hidden="1" x14ac:dyDescent="0.25">
      <c r="C250" t="s">
        <v>17</v>
      </c>
      <c r="D250">
        <v>53052001</v>
      </c>
      <c r="E250" t="s">
        <v>18</v>
      </c>
      <c r="F250" s="4">
        <v>153539.79800000001</v>
      </c>
      <c r="G250" t="s">
        <v>402</v>
      </c>
      <c r="H250" s="3">
        <v>45707</v>
      </c>
      <c r="I250" t="s">
        <v>403</v>
      </c>
      <c r="J250" t="s">
        <v>403</v>
      </c>
      <c r="K250" t="s">
        <v>35</v>
      </c>
      <c r="M250" t="s">
        <v>22</v>
      </c>
      <c r="N250">
        <f t="shared" si="11"/>
        <v>2025</v>
      </c>
      <c r="O250">
        <f t="shared" si="9"/>
        <v>2</v>
      </c>
      <c r="P250" t="str">
        <f t="shared" si="10"/>
        <v>Febrero</v>
      </c>
    </row>
    <row r="251" spans="3:16" hidden="1" x14ac:dyDescent="0.25">
      <c r="C251" t="s">
        <v>17</v>
      </c>
      <c r="D251">
        <v>53052001</v>
      </c>
      <c r="E251" t="s">
        <v>18</v>
      </c>
      <c r="F251" s="4">
        <v>153283.09789999999</v>
      </c>
      <c r="G251" t="s">
        <v>404</v>
      </c>
      <c r="H251" s="3">
        <v>45707</v>
      </c>
      <c r="I251" t="s">
        <v>403</v>
      </c>
      <c r="J251" t="s">
        <v>403</v>
      </c>
      <c r="K251" t="s">
        <v>69</v>
      </c>
      <c r="M251" t="s">
        <v>22</v>
      </c>
      <c r="N251">
        <f t="shared" si="11"/>
        <v>2025</v>
      </c>
      <c r="O251">
        <f t="shared" si="9"/>
        <v>2</v>
      </c>
      <c r="P251" t="str">
        <f t="shared" si="10"/>
        <v>Febrero</v>
      </c>
    </row>
    <row r="252" spans="3:16" hidden="1" x14ac:dyDescent="0.25">
      <c r="C252" t="s">
        <v>17</v>
      </c>
      <c r="D252">
        <v>53052001</v>
      </c>
      <c r="E252" t="s">
        <v>18</v>
      </c>
      <c r="F252" s="4">
        <v>154474.31652000002</v>
      </c>
      <c r="G252" t="s">
        <v>405</v>
      </c>
      <c r="H252" s="3">
        <v>45707</v>
      </c>
      <c r="I252" t="s">
        <v>403</v>
      </c>
      <c r="J252" t="s">
        <v>403</v>
      </c>
      <c r="K252" t="s">
        <v>21</v>
      </c>
      <c r="M252" t="s">
        <v>22</v>
      </c>
      <c r="N252">
        <f t="shared" si="11"/>
        <v>2025</v>
      </c>
      <c r="O252">
        <f t="shared" si="9"/>
        <v>2</v>
      </c>
      <c r="P252" t="str">
        <f t="shared" si="10"/>
        <v>Febrero</v>
      </c>
    </row>
    <row r="253" spans="3:16" hidden="1" x14ac:dyDescent="0.25">
      <c r="C253" t="s">
        <v>17</v>
      </c>
      <c r="D253">
        <v>53052001</v>
      </c>
      <c r="E253" t="s">
        <v>18</v>
      </c>
      <c r="F253" s="4">
        <v>104518.54948999999</v>
      </c>
      <c r="G253" t="s">
        <v>406</v>
      </c>
      <c r="H253" s="3">
        <v>45707</v>
      </c>
      <c r="I253" t="s">
        <v>403</v>
      </c>
      <c r="J253" t="s">
        <v>403</v>
      </c>
      <c r="K253" t="s">
        <v>27</v>
      </c>
      <c r="M253" t="s">
        <v>22</v>
      </c>
      <c r="N253">
        <f t="shared" si="11"/>
        <v>2025</v>
      </c>
      <c r="O253">
        <f t="shared" si="9"/>
        <v>2</v>
      </c>
      <c r="P253" t="str">
        <f t="shared" si="10"/>
        <v>Febrero</v>
      </c>
    </row>
    <row r="254" spans="3:16" hidden="1" x14ac:dyDescent="0.25">
      <c r="C254" t="s">
        <v>17</v>
      </c>
      <c r="D254">
        <v>53052001</v>
      </c>
      <c r="E254" t="s">
        <v>18</v>
      </c>
      <c r="F254" s="4">
        <v>191960.83743000001</v>
      </c>
      <c r="G254" t="s">
        <v>407</v>
      </c>
      <c r="H254" s="3">
        <v>45707</v>
      </c>
      <c r="I254" t="s">
        <v>403</v>
      </c>
      <c r="J254" t="s">
        <v>403</v>
      </c>
      <c r="K254" t="s">
        <v>31</v>
      </c>
      <c r="M254" t="s">
        <v>22</v>
      </c>
      <c r="N254">
        <f t="shared" si="11"/>
        <v>2025</v>
      </c>
      <c r="O254">
        <f t="shared" si="9"/>
        <v>2</v>
      </c>
      <c r="P254" t="str">
        <f t="shared" si="10"/>
        <v>Febrero</v>
      </c>
    </row>
    <row r="255" spans="3:16" hidden="1" x14ac:dyDescent="0.25">
      <c r="C255" t="s">
        <v>17</v>
      </c>
      <c r="D255">
        <v>53052001</v>
      </c>
      <c r="E255" t="s">
        <v>18</v>
      </c>
      <c r="F255" s="4">
        <v>12909.654829999999</v>
      </c>
      <c r="G255" t="s">
        <v>408</v>
      </c>
      <c r="H255" s="3">
        <v>45707</v>
      </c>
      <c r="I255" t="s">
        <v>403</v>
      </c>
      <c r="J255" t="s">
        <v>403</v>
      </c>
      <c r="K255" t="s">
        <v>41</v>
      </c>
      <c r="M255" t="s">
        <v>22</v>
      </c>
      <c r="N255">
        <f t="shared" si="11"/>
        <v>2025</v>
      </c>
      <c r="O255">
        <f t="shared" si="9"/>
        <v>2</v>
      </c>
      <c r="P255" t="str">
        <f t="shared" si="10"/>
        <v>Febrero</v>
      </c>
    </row>
    <row r="256" spans="3:16" hidden="1" x14ac:dyDescent="0.25">
      <c r="C256" t="s">
        <v>17</v>
      </c>
      <c r="D256">
        <v>53052001</v>
      </c>
      <c r="E256" t="s">
        <v>18</v>
      </c>
      <c r="F256" s="4">
        <v>13367.965</v>
      </c>
      <c r="G256" t="s">
        <v>409</v>
      </c>
      <c r="H256" s="3">
        <v>45707</v>
      </c>
      <c r="I256" t="s">
        <v>403</v>
      </c>
      <c r="J256" t="s">
        <v>403</v>
      </c>
      <c r="K256" t="s">
        <v>37</v>
      </c>
      <c r="M256" t="s">
        <v>22</v>
      </c>
      <c r="N256">
        <f t="shared" si="11"/>
        <v>2025</v>
      </c>
      <c r="O256">
        <f t="shared" si="9"/>
        <v>2</v>
      </c>
      <c r="P256" t="str">
        <f t="shared" si="10"/>
        <v>Febrero</v>
      </c>
    </row>
    <row r="257" spans="3:16" hidden="1" x14ac:dyDescent="0.25">
      <c r="C257" t="s">
        <v>17</v>
      </c>
      <c r="D257">
        <v>53052001</v>
      </c>
      <c r="E257" t="s">
        <v>18</v>
      </c>
      <c r="F257" s="4">
        <v>141857.01723</v>
      </c>
      <c r="G257" t="s">
        <v>410</v>
      </c>
      <c r="H257" s="3">
        <v>45737</v>
      </c>
      <c r="I257" t="s">
        <v>411</v>
      </c>
      <c r="J257" t="s">
        <v>411</v>
      </c>
      <c r="K257" t="s">
        <v>35</v>
      </c>
      <c r="M257" t="s">
        <v>22</v>
      </c>
      <c r="N257">
        <f t="shared" si="11"/>
        <v>2025</v>
      </c>
      <c r="O257">
        <f t="shared" si="9"/>
        <v>3</v>
      </c>
      <c r="P257" t="str">
        <f t="shared" si="10"/>
        <v>Marzo</v>
      </c>
    </row>
    <row r="258" spans="3:16" hidden="1" x14ac:dyDescent="0.25">
      <c r="C258" t="s">
        <v>17</v>
      </c>
      <c r="D258">
        <v>53052001</v>
      </c>
      <c r="E258" t="s">
        <v>18</v>
      </c>
      <c r="F258" s="4">
        <v>141509.16409999999</v>
      </c>
      <c r="G258" t="s">
        <v>412</v>
      </c>
      <c r="H258" s="3">
        <v>45737</v>
      </c>
      <c r="I258" t="s">
        <v>411</v>
      </c>
      <c r="J258" t="s">
        <v>411</v>
      </c>
      <c r="K258" t="s">
        <v>69</v>
      </c>
      <c r="M258" t="s">
        <v>22</v>
      </c>
      <c r="N258">
        <f t="shared" si="11"/>
        <v>2025</v>
      </c>
      <c r="O258">
        <f t="shared" ref="O258:O321" si="12">+MONTH(H258)</f>
        <v>3</v>
      </c>
      <c r="P258" t="str">
        <f t="shared" ref="P258:P321" si="13">+VLOOKUP(O258,X:Y,2,0)</f>
        <v>Marzo</v>
      </c>
    </row>
    <row r="259" spans="3:16" hidden="1" x14ac:dyDescent="0.25">
      <c r="C259" t="s">
        <v>17</v>
      </c>
      <c r="D259">
        <v>53052001</v>
      </c>
      <c r="E259" t="s">
        <v>18</v>
      </c>
      <c r="F259" s="4">
        <v>99431.405870000002</v>
      </c>
      <c r="G259" t="s">
        <v>413</v>
      </c>
      <c r="H259" s="3">
        <v>45737</v>
      </c>
      <c r="I259" t="s">
        <v>411</v>
      </c>
      <c r="J259" t="s">
        <v>411</v>
      </c>
      <c r="K259" t="s">
        <v>21</v>
      </c>
      <c r="M259" t="s">
        <v>22</v>
      </c>
      <c r="N259">
        <f t="shared" ref="N259:N322" si="14">+YEAR(H259)</f>
        <v>2025</v>
      </c>
      <c r="O259">
        <f t="shared" si="12"/>
        <v>3</v>
      </c>
      <c r="P259" t="str">
        <f t="shared" si="13"/>
        <v>Marzo</v>
      </c>
    </row>
    <row r="260" spans="3:16" hidden="1" x14ac:dyDescent="0.25">
      <c r="C260" t="s">
        <v>17</v>
      </c>
      <c r="D260">
        <v>53052001</v>
      </c>
      <c r="E260" t="s">
        <v>18</v>
      </c>
      <c r="F260" s="4">
        <v>176016.63911000002</v>
      </c>
      <c r="G260" t="s">
        <v>414</v>
      </c>
      <c r="H260" s="3">
        <v>45737</v>
      </c>
      <c r="I260" t="s">
        <v>411</v>
      </c>
      <c r="J260" t="s">
        <v>411</v>
      </c>
      <c r="K260" t="s">
        <v>31</v>
      </c>
      <c r="M260" t="s">
        <v>22</v>
      </c>
      <c r="N260">
        <f t="shared" si="14"/>
        <v>2025</v>
      </c>
      <c r="O260">
        <f t="shared" si="12"/>
        <v>3</v>
      </c>
      <c r="P260" t="str">
        <f t="shared" si="13"/>
        <v>Marzo</v>
      </c>
    </row>
    <row r="261" spans="3:16" hidden="1" x14ac:dyDescent="0.25">
      <c r="C261" t="s">
        <v>17</v>
      </c>
      <c r="D261">
        <v>53052001</v>
      </c>
      <c r="E261" t="s">
        <v>18</v>
      </c>
      <c r="F261" s="4">
        <v>11686.05798</v>
      </c>
      <c r="G261" t="s">
        <v>415</v>
      </c>
      <c r="H261" s="3">
        <v>45737</v>
      </c>
      <c r="I261" t="s">
        <v>411</v>
      </c>
      <c r="J261" t="s">
        <v>411</v>
      </c>
      <c r="K261" t="s">
        <v>41</v>
      </c>
      <c r="M261" t="s">
        <v>22</v>
      </c>
      <c r="N261">
        <f t="shared" si="14"/>
        <v>2025</v>
      </c>
      <c r="O261">
        <f t="shared" si="12"/>
        <v>3</v>
      </c>
      <c r="P261" t="str">
        <f t="shared" si="13"/>
        <v>Marzo</v>
      </c>
    </row>
    <row r="262" spans="3:16" hidden="1" x14ac:dyDescent="0.25">
      <c r="C262" t="s">
        <v>17</v>
      </c>
      <c r="D262">
        <v>53052001</v>
      </c>
      <c r="E262" t="s">
        <v>18</v>
      </c>
      <c r="F262" s="4">
        <v>46856.942000000003</v>
      </c>
      <c r="G262" t="s">
        <v>416</v>
      </c>
      <c r="H262" s="3">
        <v>45737</v>
      </c>
      <c r="I262" t="s">
        <v>411</v>
      </c>
      <c r="J262" t="s">
        <v>411</v>
      </c>
      <c r="K262" t="s">
        <v>37</v>
      </c>
      <c r="M262" t="s">
        <v>22</v>
      </c>
      <c r="N262">
        <f t="shared" si="14"/>
        <v>2025</v>
      </c>
      <c r="O262">
        <f t="shared" si="12"/>
        <v>3</v>
      </c>
      <c r="P262" t="str">
        <f t="shared" si="13"/>
        <v>Marzo</v>
      </c>
    </row>
    <row r="263" spans="3:16" hidden="1" x14ac:dyDescent="0.25">
      <c r="C263" t="s">
        <v>17</v>
      </c>
      <c r="D263">
        <v>53052001</v>
      </c>
      <c r="E263" t="s">
        <v>18</v>
      </c>
      <c r="F263" s="4">
        <v>402443.36616999999</v>
      </c>
      <c r="G263" t="s">
        <v>417</v>
      </c>
      <c r="H263" s="3">
        <v>45737</v>
      </c>
      <c r="I263" t="s">
        <v>418</v>
      </c>
      <c r="J263" t="s">
        <v>418</v>
      </c>
      <c r="K263" t="s">
        <v>27</v>
      </c>
      <c r="M263" t="s">
        <v>22</v>
      </c>
      <c r="N263">
        <f t="shared" si="14"/>
        <v>2025</v>
      </c>
      <c r="O263">
        <f t="shared" si="12"/>
        <v>3</v>
      </c>
      <c r="P263" t="str">
        <f t="shared" si="13"/>
        <v>Marzo</v>
      </c>
    </row>
    <row r="264" spans="3:16" hidden="1" x14ac:dyDescent="0.25">
      <c r="C264" t="s">
        <v>17</v>
      </c>
      <c r="D264">
        <v>53052001</v>
      </c>
      <c r="E264" t="s">
        <v>18</v>
      </c>
      <c r="F264" s="4">
        <v>155312.30403999999</v>
      </c>
      <c r="G264" t="s">
        <v>419</v>
      </c>
      <c r="H264" s="3">
        <v>45896</v>
      </c>
      <c r="I264" t="s">
        <v>420</v>
      </c>
      <c r="J264" t="s">
        <v>420</v>
      </c>
      <c r="K264" t="s">
        <v>69</v>
      </c>
      <c r="N264">
        <f t="shared" si="14"/>
        <v>2025</v>
      </c>
      <c r="O264">
        <f t="shared" si="12"/>
        <v>8</v>
      </c>
      <c r="P264" t="str">
        <f t="shared" si="13"/>
        <v>Agosto</v>
      </c>
    </row>
    <row r="265" spans="3:16" hidden="1" x14ac:dyDescent="0.25">
      <c r="C265" t="s">
        <v>17</v>
      </c>
      <c r="D265">
        <v>53052001</v>
      </c>
      <c r="E265" t="s">
        <v>18</v>
      </c>
      <c r="F265" s="4">
        <v>195149.36980000001</v>
      </c>
      <c r="G265" t="s">
        <v>421</v>
      </c>
      <c r="H265" s="3">
        <v>45896</v>
      </c>
      <c r="I265" t="s">
        <v>420</v>
      </c>
      <c r="J265" t="s">
        <v>420</v>
      </c>
      <c r="K265" t="s">
        <v>21</v>
      </c>
      <c r="N265">
        <f t="shared" si="14"/>
        <v>2025</v>
      </c>
      <c r="O265">
        <f t="shared" si="12"/>
        <v>8</v>
      </c>
      <c r="P265" t="str">
        <f t="shared" si="13"/>
        <v>Agosto</v>
      </c>
    </row>
    <row r="266" spans="3:16" hidden="1" x14ac:dyDescent="0.25">
      <c r="C266" t="s">
        <v>17</v>
      </c>
      <c r="D266">
        <v>53052001</v>
      </c>
      <c r="E266" t="s">
        <v>18</v>
      </c>
      <c r="F266" s="4">
        <v>108676.81452</v>
      </c>
      <c r="G266" t="s">
        <v>422</v>
      </c>
      <c r="H266" s="3">
        <v>45896</v>
      </c>
      <c r="I266" t="s">
        <v>420</v>
      </c>
      <c r="J266" t="s">
        <v>420</v>
      </c>
      <c r="K266" t="s">
        <v>27</v>
      </c>
      <c r="N266">
        <f t="shared" si="14"/>
        <v>2025</v>
      </c>
      <c r="O266">
        <f t="shared" si="12"/>
        <v>8</v>
      </c>
      <c r="P266" t="str">
        <f t="shared" si="13"/>
        <v>Agosto</v>
      </c>
    </row>
    <row r="267" spans="3:16" hidden="1" x14ac:dyDescent="0.25">
      <c r="C267" t="s">
        <v>17</v>
      </c>
      <c r="D267">
        <v>53052001</v>
      </c>
      <c r="E267" t="s">
        <v>18</v>
      </c>
      <c r="F267" s="4">
        <v>216954.799</v>
      </c>
      <c r="G267" t="s">
        <v>423</v>
      </c>
      <c r="H267" s="3">
        <v>45896</v>
      </c>
      <c r="I267" t="s">
        <v>420</v>
      </c>
      <c r="J267" t="s">
        <v>420</v>
      </c>
      <c r="K267" t="s">
        <v>31</v>
      </c>
      <c r="N267">
        <f t="shared" si="14"/>
        <v>2025</v>
      </c>
      <c r="O267">
        <f t="shared" si="12"/>
        <v>8</v>
      </c>
      <c r="P267" t="str">
        <f t="shared" si="13"/>
        <v>Agosto</v>
      </c>
    </row>
    <row r="268" spans="3:16" hidden="1" x14ac:dyDescent="0.25">
      <c r="C268" t="s">
        <v>17</v>
      </c>
      <c r="D268">
        <v>53052001</v>
      </c>
      <c r="E268" t="s">
        <v>18</v>
      </c>
      <c r="F268" s="4">
        <v>12283.41783</v>
      </c>
      <c r="G268" t="s">
        <v>424</v>
      </c>
      <c r="H268" s="3">
        <v>45896</v>
      </c>
      <c r="I268" t="s">
        <v>420</v>
      </c>
      <c r="J268" t="s">
        <v>420</v>
      </c>
      <c r="K268" t="s">
        <v>41</v>
      </c>
      <c r="N268">
        <f t="shared" si="14"/>
        <v>2025</v>
      </c>
      <c r="O268">
        <f t="shared" si="12"/>
        <v>8</v>
      </c>
      <c r="P268" t="str">
        <f t="shared" si="13"/>
        <v>Agosto</v>
      </c>
    </row>
    <row r="269" spans="3:16" hidden="1" x14ac:dyDescent="0.25">
      <c r="C269" t="s">
        <v>17</v>
      </c>
      <c r="D269">
        <v>53052001</v>
      </c>
      <c r="E269" t="s">
        <v>18</v>
      </c>
      <c r="F269" s="4">
        <v>19517.75157</v>
      </c>
      <c r="G269" t="s">
        <v>425</v>
      </c>
      <c r="H269" s="3">
        <v>45896</v>
      </c>
      <c r="I269" t="s">
        <v>420</v>
      </c>
      <c r="J269" t="s">
        <v>420</v>
      </c>
      <c r="K269" t="s">
        <v>37</v>
      </c>
      <c r="N269">
        <f t="shared" si="14"/>
        <v>2025</v>
      </c>
      <c r="O269">
        <f t="shared" si="12"/>
        <v>8</v>
      </c>
      <c r="P269" t="str">
        <f t="shared" si="13"/>
        <v>Agosto</v>
      </c>
    </row>
    <row r="270" spans="3:16" hidden="1" x14ac:dyDescent="0.25">
      <c r="C270" t="s">
        <v>17</v>
      </c>
      <c r="D270">
        <v>53052001</v>
      </c>
      <c r="E270" t="s">
        <v>18</v>
      </c>
      <c r="F270" s="4">
        <v>310830.01500000001</v>
      </c>
      <c r="G270" t="s">
        <v>426</v>
      </c>
      <c r="H270" s="3">
        <v>45896</v>
      </c>
      <c r="I270" t="s">
        <v>427</v>
      </c>
      <c r="J270" t="s">
        <v>427</v>
      </c>
      <c r="K270" t="s">
        <v>27</v>
      </c>
      <c r="N270">
        <f t="shared" si="14"/>
        <v>2025</v>
      </c>
      <c r="O270">
        <f t="shared" si="12"/>
        <v>8</v>
      </c>
      <c r="P270" t="str">
        <f t="shared" si="13"/>
        <v>Agosto</v>
      </c>
    </row>
    <row r="271" spans="3:16" hidden="1" x14ac:dyDescent="0.25">
      <c r="C271" t="s">
        <v>17</v>
      </c>
      <c r="D271">
        <v>53052001</v>
      </c>
      <c r="E271" t="s">
        <v>18</v>
      </c>
      <c r="F271" s="5">
        <v>2012.5657699999999</v>
      </c>
      <c r="G271" s="6" t="s">
        <v>428</v>
      </c>
      <c r="H271" s="7">
        <v>45852</v>
      </c>
      <c r="I271" s="6" t="s">
        <v>429</v>
      </c>
      <c r="J271" s="6" t="s">
        <v>429</v>
      </c>
      <c r="K271" s="6" t="s">
        <v>41</v>
      </c>
      <c r="L271" s="6" t="s">
        <v>430</v>
      </c>
      <c r="M271" t="s">
        <v>22</v>
      </c>
      <c r="N271">
        <f t="shared" si="14"/>
        <v>2025</v>
      </c>
      <c r="O271">
        <f t="shared" si="12"/>
        <v>7</v>
      </c>
      <c r="P271" t="str">
        <f t="shared" si="13"/>
        <v>Julio</v>
      </c>
    </row>
    <row r="272" spans="3:16" hidden="1" x14ac:dyDescent="0.25">
      <c r="C272" t="s">
        <v>17</v>
      </c>
      <c r="D272">
        <v>53052001</v>
      </c>
      <c r="E272" t="s">
        <v>18</v>
      </c>
      <c r="F272" s="5">
        <v>1783.59843</v>
      </c>
      <c r="G272" s="6" t="s">
        <v>431</v>
      </c>
      <c r="H272" s="7">
        <v>45852</v>
      </c>
      <c r="I272" s="6" t="s">
        <v>429</v>
      </c>
      <c r="J272" s="6" t="s">
        <v>429</v>
      </c>
      <c r="K272" s="6" t="s">
        <v>37</v>
      </c>
      <c r="L272" s="6" t="s">
        <v>432</v>
      </c>
      <c r="M272" t="s">
        <v>22</v>
      </c>
      <c r="N272">
        <f t="shared" si="14"/>
        <v>2025</v>
      </c>
      <c r="O272">
        <f t="shared" si="12"/>
        <v>7</v>
      </c>
      <c r="P272" t="str">
        <f t="shared" si="13"/>
        <v>Julio</v>
      </c>
    </row>
    <row r="273" spans="3:16" hidden="1" x14ac:dyDescent="0.25">
      <c r="C273" t="s">
        <v>17</v>
      </c>
      <c r="D273">
        <v>53052001</v>
      </c>
      <c r="E273" t="s">
        <v>18</v>
      </c>
      <c r="F273" s="11">
        <v>173532.337</v>
      </c>
      <c r="G273" t="s">
        <v>433</v>
      </c>
      <c r="H273" s="3">
        <v>45762</v>
      </c>
      <c r="I273" t="s">
        <v>434</v>
      </c>
      <c r="J273" t="s">
        <v>434</v>
      </c>
      <c r="K273" t="s">
        <v>35</v>
      </c>
      <c r="M273" t="s">
        <v>22</v>
      </c>
      <c r="N273">
        <f t="shared" si="14"/>
        <v>2025</v>
      </c>
      <c r="O273">
        <f t="shared" si="12"/>
        <v>4</v>
      </c>
      <c r="P273" t="str">
        <f t="shared" si="13"/>
        <v>Abril</v>
      </c>
    </row>
    <row r="274" spans="3:16" hidden="1" x14ac:dyDescent="0.25">
      <c r="C274" t="s">
        <v>17</v>
      </c>
      <c r="D274">
        <v>53052001</v>
      </c>
      <c r="E274" t="s">
        <v>18</v>
      </c>
      <c r="F274">
        <v>144163.58960000001</v>
      </c>
      <c r="G274" t="s">
        <v>435</v>
      </c>
      <c r="H274" s="3">
        <v>45762</v>
      </c>
      <c r="I274" t="s">
        <v>434</v>
      </c>
      <c r="J274" t="s">
        <v>434</v>
      </c>
      <c r="K274" t="s">
        <v>21</v>
      </c>
      <c r="M274" t="s">
        <v>22</v>
      </c>
      <c r="N274">
        <f t="shared" si="14"/>
        <v>2025</v>
      </c>
      <c r="O274">
        <f t="shared" si="12"/>
        <v>4</v>
      </c>
      <c r="P274" t="str">
        <f t="shared" si="13"/>
        <v>Abril</v>
      </c>
    </row>
    <row r="275" spans="3:16" hidden="1" x14ac:dyDescent="0.25">
      <c r="C275" t="s">
        <v>17</v>
      </c>
      <c r="D275">
        <v>53052001</v>
      </c>
      <c r="E275" t="s">
        <v>18</v>
      </c>
      <c r="F275">
        <v>85960.180010000011</v>
      </c>
      <c r="G275" t="s">
        <v>436</v>
      </c>
      <c r="H275" s="3">
        <v>45762</v>
      </c>
      <c r="I275" t="s">
        <v>434</v>
      </c>
      <c r="J275" t="s">
        <v>434</v>
      </c>
      <c r="K275" t="s">
        <v>27</v>
      </c>
      <c r="M275" t="s">
        <v>22</v>
      </c>
      <c r="N275">
        <f t="shared" si="14"/>
        <v>2025</v>
      </c>
      <c r="O275">
        <f t="shared" si="12"/>
        <v>4</v>
      </c>
      <c r="P275" t="str">
        <f t="shared" si="13"/>
        <v>Abril</v>
      </c>
    </row>
    <row r="276" spans="3:16" hidden="1" x14ac:dyDescent="0.25">
      <c r="C276" t="s">
        <v>17</v>
      </c>
      <c r="D276">
        <v>53052001</v>
      </c>
      <c r="E276" t="s">
        <v>18</v>
      </c>
      <c r="F276">
        <v>154188.65</v>
      </c>
      <c r="G276" t="s">
        <v>437</v>
      </c>
      <c r="H276" s="3">
        <v>45762</v>
      </c>
      <c r="I276" t="s">
        <v>434</v>
      </c>
      <c r="J276" t="s">
        <v>434</v>
      </c>
      <c r="K276" t="s">
        <v>31</v>
      </c>
      <c r="M276" t="s">
        <v>22</v>
      </c>
      <c r="N276">
        <f t="shared" si="14"/>
        <v>2025</v>
      </c>
      <c r="O276">
        <f t="shared" si="12"/>
        <v>4</v>
      </c>
      <c r="P276" t="str">
        <f t="shared" si="13"/>
        <v>Abril</v>
      </c>
    </row>
    <row r="277" spans="3:16" hidden="1" x14ac:dyDescent="0.25">
      <c r="C277" t="s">
        <v>17</v>
      </c>
      <c r="D277">
        <v>53052001</v>
      </c>
      <c r="E277" t="s">
        <v>18</v>
      </c>
      <c r="F277">
        <v>633099.27454000001</v>
      </c>
      <c r="G277" t="s">
        <v>438</v>
      </c>
      <c r="H277" s="3">
        <v>45762</v>
      </c>
      <c r="I277" t="s">
        <v>439</v>
      </c>
      <c r="J277" t="s">
        <v>439</v>
      </c>
      <c r="K277" t="s">
        <v>27</v>
      </c>
      <c r="M277" t="s">
        <v>22</v>
      </c>
      <c r="N277">
        <f t="shared" si="14"/>
        <v>2025</v>
      </c>
      <c r="O277">
        <f t="shared" si="12"/>
        <v>4</v>
      </c>
      <c r="P277" t="str">
        <f t="shared" si="13"/>
        <v>Abril</v>
      </c>
    </row>
    <row r="278" spans="3:16" hidden="1" x14ac:dyDescent="0.25">
      <c r="C278" t="s">
        <v>17</v>
      </c>
      <c r="D278">
        <v>53052001</v>
      </c>
      <c r="E278" t="s">
        <v>18</v>
      </c>
      <c r="F278" s="4">
        <v>233340.98800000001</v>
      </c>
      <c r="G278" t="s">
        <v>440</v>
      </c>
      <c r="H278" s="3">
        <v>45852</v>
      </c>
      <c r="I278" t="s">
        <v>441</v>
      </c>
      <c r="J278" t="s">
        <v>441</v>
      </c>
      <c r="K278" t="s">
        <v>35</v>
      </c>
      <c r="M278" t="s">
        <v>22</v>
      </c>
      <c r="N278">
        <f t="shared" si="14"/>
        <v>2025</v>
      </c>
      <c r="O278">
        <f t="shared" si="12"/>
        <v>7</v>
      </c>
      <c r="P278" t="str">
        <f t="shared" si="13"/>
        <v>Julio</v>
      </c>
    </row>
    <row r="279" spans="3:16" hidden="1" x14ac:dyDescent="0.25">
      <c r="C279" t="s">
        <v>17</v>
      </c>
      <c r="D279">
        <v>53052001</v>
      </c>
      <c r="E279" t="s">
        <v>18</v>
      </c>
      <c r="F279" s="4">
        <v>130733.3282</v>
      </c>
      <c r="G279" t="s">
        <v>442</v>
      </c>
      <c r="H279" s="3">
        <v>45852</v>
      </c>
      <c r="I279" t="s">
        <v>443</v>
      </c>
      <c r="J279" t="s">
        <v>443</v>
      </c>
      <c r="K279" t="s">
        <v>69</v>
      </c>
      <c r="M279" t="s">
        <v>22</v>
      </c>
      <c r="N279">
        <f t="shared" si="14"/>
        <v>2025</v>
      </c>
      <c r="O279">
        <f t="shared" si="12"/>
        <v>7</v>
      </c>
      <c r="P279" t="str">
        <f t="shared" si="13"/>
        <v>Julio</v>
      </c>
    </row>
    <row r="280" spans="3:16" x14ac:dyDescent="0.25">
      <c r="C280" t="s">
        <v>17</v>
      </c>
      <c r="D280">
        <v>53052004</v>
      </c>
      <c r="E280" t="s">
        <v>276</v>
      </c>
      <c r="F280">
        <v>2135.4993100000002</v>
      </c>
      <c r="G280" t="s">
        <v>444</v>
      </c>
      <c r="H280" s="3">
        <v>45808</v>
      </c>
      <c r="I280" t="s">
        <v>445</v>
      </c>
      <c r="J280" t="s">
        <v>445</v>
      </c>
      <c r="K280" t="s">
        <v>27</v>
      </c>
      <c r="N280">
        <f t="shared" si="14"/>
        <v>2025</v>
      </c>
      <c r="O280">
        <f t="shared" si="12"/>
        <v>5</v>
      </c>
      <c r="P280" t="str">
        <f t="shared" si="13"/>
        <v>Mayo</v>
      </c>
    </row>
    <row r="281" spans="3:16" x14ac:dyDescent="0.25">
      <c r="C281" t="s">
        <v>17</v>
      </c>
      <c r="D281">
        <v>53052004</v>
      </c>
      <c r="E281" t="s">
        <v>276</v>
      </c>
      <c r="F281" s="4">
        <v>16500.888640000001</v>
      </c>
      <c r="G281" t="s">
        <v>446</v>
      </c>
      <c r="H281" s="3">
        <v>45688</v>
      </c>
      <c r="I281" t="s">
        <v>447</v>
      </c>
      <c r="J281" t="s">
        <v>447</v>
      </c>
      <c r="K281" t="s">
        <v>27</v>
      </c>
      <c r="M281" t="s">
        <v>22</v>
      </c>
      <c r="N281">
        <f t="shared" si="14"/>
        <v>2025</v>
      </c>
      <c r="O281">
        <f t="shared" si="12"/>
        <v>1</v>
      </c>
      <c r="P281" t="str">
        <f t="shared" si="13"/>
        <v>Enero</v>
      </c>
    </row>
    <row r="282" spans="3:16" x14ac:dyDescent="0.25">
      <c r="C282" t="s">
        <v>17</v>
      </c>
      <c r="D282">
        <v>53052004</v>
      </c>
      <c r="E282" t="s">
        <v>276</v>
      </c>
      <c r="F282" s="4">
        <v>7431.5786200000002</v>
      </c>
      <c r="G282" t="s">
        <v>448</v>
      </c>
      <c r="H282" s="3">
        <v>45747</v>
      </c>
      <c r="I282" t="s">
        <v>449</v>
      </c>
      <c r="J282" t="s">
        <v>449</v>
      </c>
      <c r="K282" t="s">
        <v>27</v>
      </c>
      <c r="M282" t="s">
        <v>22</v>
      </c>
      <c r="N282">
        <f t="shared" si="14"/>
        <v>2025</v>
      </c>
      <c r="O282">
        <f t="shared" si="12"/>
        <v>3</v>
      </c>
      <c r="P282" t="str">
        <f t="shared" si="13"/>
        <v>Marzo</v>
      </c>
    </row>
    <row r="283" spans="3:16" hidden="1" x14ac:dyDescent="0.25">
      <c r="C283" t="s">
        <v>17</v>
      </c>
      <c r="D283">
        <v>53052001</v>
      </c>
      <c r="E283" t="s">
        <v>18</v>
      </c>
      <c r="F283">
        <v>331111.07500000001</v>
      </c>
      <c r="G283" t="s">
        <v>450</v>
      </c>
      <c r="H283" s="3">
        <v>45805</v>
      </c>
      <c r="I283" t="s">
        <v>451</v>
      </c>
      <c r="J283" t="s">
        <v>451</v>
      </c>
      <c r="K283" t="s">
        <v>27</v>
      </c>
      <c r="N283">
        <f t="shared" si="14"/>
        <v>2025</v>
      </c>
      <c r="O283">
        <f t="shared" si="12"/>
        <v>5</v>
      </c>
      <c r="P283" t="str">
        <f t="shared" si="13"/>
        <v>Mayo</v>
      </c>
    </row>
    <row r="284" spans="3:16" x14ac:dyDescent="0.25">
      <c r="C284" t="s">
        <v>17</v>
      </c>
      <c r="D284">
        <v>53052004</v>
      </c>
      <c r="E284" t="s">
        <v>276</v>
      </c>
      <c r="F284" s="4">
        <v>21205.415120000001</v>
      </c>
      <c r="G284" t="s">
        <v>452</v>
      </c>
      <c r="H284" s="3">
        <v>45716</v>
      </c>
      <c r="I284" t="s">
        <v>453</v>
      </c>
      <c r="J284" t="s">
        <v>453</v>
      </c>
      <c r="K284" t="s">
        <v>27</v>
      </c>
      <c r="M284" t="s">
        <v>22</v>
      </c>
      <c r="N284">
        <f t="shared" si="14"/>
        <v>2025</v>
      </c>
      <c r="O284">
        <f t="shared" si="12"/>
        <v>2</v>
      </c>
      <c r="P284" t="str">
        <f t="shared" si="13"/>
        <v>Febrero</v>
      </c>
    </row>
    <row r="285" spans="3:16" x14ac:dyDescent="0.25">
      <c r="C285" t="s">
        <v>17</v>
      </c>
      <c r="D285">
        <v>53052004</v>
      </c>
      <c r="E285" t="s">
        <v>276</v>
      </c>
      <c r="F285" s="4">
        <v>29403.673999999999</v>
      </c>
      <c r="G285" t="s">
        <v>454</v>
      </c>
      <c r="H285" s="3">
        <v>45716</v>
      </c>
      <c r="I285" t="s">
        <v>455</v>
      </c>
      <c r="J285" t="s">
        <v>456</v>
      </c>
      <c r="K285" t="s">
        <v>35</v>
      </c>
      <c r="M285" t="s">
        <v>22</v>
      </c>
      <c r="N285">
        <f t="shared" si="14"/>
        <v>2025</v>
      </c>
      <c r="O285">
        <f t="shared" si="12"/>
        <v>2</v>
      </c>
      <c r="P285" t="str">
        <f t="shared" si="13"/>
        <v>Febrero</v>
      </c>
    </row>
    <row r="286" spans="3:16" x14ac:dyDescent="0.25">
      <c r="C286" t="s">
        <v>17</v>
      </c>
      <c r="D286">
        <v>53052004</v>
      </c>
      <c r="E286" t="s">
        <v>276</v>
      </c>
      <c r="F286" s="4">
        <v>708.11410999999998</v>
      </c>
      <c r="G286" t="s">
        <v>457</v>
      </c>
      <c r="H286" s="3">
        <v>45716</v>
      </c>
      <c r="I286" t="s">
        <v>458</v>
      </c>
      <c r="J286" t="s">
        <v>458</v>
      </c>
      <c r="K286" t="s">
        <v>31</v>
      </c>
      <c r="M286" t="s">
        <v>22</v>
      </c>
      <c r="N286">
        <f t="shared" si="14"/>
        <v>2025</v>
      </c>
      <c r="O286">
        <f t="shared" si="12"/>
        <v>2</v>
      </c>
      <c r="P286" t="str">
        <f t="shared" si="13"/>
        <v>Febrero</v>
      </c>
    </row>
    <row r="287" spans="3:16" x14ac:dyDescent="0.25">
      <c r="C287" t="s">
        <v>17</v>
      </c>
      <c r="D287">
        <v>53052004</v>
      </c>
      <c r="E287" t="s">
        <v>276</v>
      </c>
      <c r="F287" s="4">
        <v>8105.4409999999998</v>
      </c>
      <c r="G287" t="s">
        <v>459</v>
      </c>
      <c r="H287" s="3">
        <v>45716</v>
      </c>
      <c r="I287" t="s">
        <v>460</v>
      </c>
      <c r="J287" t="s">
        <v>460</v>
      </c>
      <c r="K287" t="s">
        <v>21</v>
      </c>
      <c r="M287" t="s">
        <v>22</v>
      </c>
      <c r="N287">
        <f t="shared" si="14"/>
        <v>2025</v>
      </c>
      <c r="O287">
        <f t="shared" si="12"/>
        <v>2</v>
      </c>
      <c r="P287" t="str">
        <f t="shared" si="13"/>
        <v>Febrero</v>
      </c>
    </row>
    <row r="288" spans="3:16" x14ac:dyDescent="0.25">
      <c r="C288" t="s">
        <v>17</v>
      </c>
      <c r="D288">
        <v>53052004</v>
      </c>
      <c r="E288" t="s">
        <v>276</v>
      </c>
      <c r="F288" s="4">
        <v>16845.798739999998</v>
      </c>
      <c r="G288" t="s">
        <v>461</v>
      </c>
      <c r="H288" s="3">
        <v>45716</v>
      </c>
      <c r="I288" t="s">
        <v>462</v>
      </c>
      <c r="J288" t="s">
        <v>462</v>
      </c>
      <c r="K288" t="s">
        <v>21</v>
      </c>
      <c r="M288" t="s">
        <v>22</v>
      </c>
      <c r="N288">
        <f t="shared" si="14"/>
        <v>2025</v>
      </c>
      <c r="O288">
        <f t="shared" si="12"/>
        <v>2</v>
      </c>
      <c r="P288" t="str">
        <f t="shared" si="13"/>
        <v>Febrero</v>
      </c>
    </row>
    <row r="289" spans="1:16" s="15" customFormat="1" x14ac:dyDescent="0.25">
      <c r="A289"/>
      <c r="B289"/>
      <c r="C289" t="s">
        <v>17</v>
      </c>
      <c r="D289">
        <v>53052004</v>
      </c>
      <c r="E289" t="s">
        <v>276</v>
      </c>
      <c r="F289" s="4">
        <v>10466.92647</v>
      </c>
      <c r="G289" t="s">
        <v>463</v>
      </c>
      <c r="H289" s="3">
        <v>45747</v>
      </c>
      <c r="I289" t="s">
        <v>464</v>
      </c>
      <c r="J289" t="s">
        <v>464</v>
      </c>
      <c r="K289" t="s">
        <v>21</v>
      </c>
      <c r="L289"/>
      <c r="M289" t="s">
        <v>22</v>
      </c>
      <c r="N289">
        <f t="shared" si="14"/>
        <v>2025</v>
      </c>
      <c r="O289">
        <f t="shared" si="12"/>
        <v>3</v>
      </c>
      <c r="P289" t="str">
        <f t="shared" si="13"/>
        <v>Marzo</v>
      </c>
    </row>
    <row r="290" spans="1:16" x14ac:dyDescent="0.25">
      <c r="C290" t="s">
        <v>17</v>
      </c>
      <c r="D290">
        <v>53052004</v>
      </c>
      <c r="E290" t="s">
        <v>276</v>
      </c>
      <c r="F290" s="4">
        <v>8029.3524299999999</v>
      </c>
      <c r="G290" t="s">
        <v>465</v>
      </c>
      <c r="H290" s="3">
        <v>45674</v>
      </c>
      <c r="I290" t="s">
        <v>466</v>
      </c>
      <c r="J290" t="s">
        <v>466</v>
      </c>
      <c r="K290" t="s">
        <v>31</v>
      </c>
      <c r="M290" t="s">
        <v>93</v>
      </c>
      <c r="N290">
        <f t="shared" si="14"/>
        <v>2025</v>
      </c>
      <c r="O290">
        <f t="shared" si="12"/>
        <v>1</v>
      </c>
      <c r="P290" t="str">
        <f t="shared" si="13"/>
        <v>Enero</v>
      </c>
    </row>
    <row r="291" spans="1:16" x14ac:dyDescent="0.25">
      <c r="C291" t="s">
        <v>17</v>
      </c>
      <c r="D291">
        <v>53052004</v>
      </c>
      <c r="E291" t="s">
        <v>276</v>
      </c>
      <c r="F291">
        <v>307.53123999999997</v>
      </c>
      <c r="G291" t="s">
        <v>467</v>
      </c>
      <c r="H291" s="3">
        <v>45791</v>
      </c>
      <c r="I291" t="s">
        <v>468</v>
      </c>
      <c r="J291" t="s">
        <v>468</v>
      </c>
      <c r="K291" t="s">
        <v>27</v>
      </c>
      <c r="N291">
        <f t="shared" si="14"/>
        <v>2025</v>
      </c>
      <c r="O291">
        <f t="shared" si="12"/>
        <v>5</v>
      </c>
      <c r="P291" t="str">
        <f t="shared" si="13"/>
        <v>Mayo</v>
      </c>
    </row>
    <row r="292" spans="1:16" x14ac:dyDescent="0.25">
      <c r="C292" t="s">
        <v>17</v>
      </c>
      <c r="D292">
        <v>53052004</v>
      </c>
      <c r="E292" t="s">
        <v>276</v>
      </c>
      <c r="F292" s="4">
        <v>3.0093200000000002</v>
      </c>
      <c r="G292" t="s">
        <v>469</v>
      </c>
      <c r="H292" s="3">
        <v>45828</v>
      </c>
      <c r="I292" t="s">
        <v>470</v>
      </c>
      <c r="J292" t="s">
        <v>471</v>
      </c>
      <c r="K292" t="s">
        <v>69</v>
      </c>
      <c r="N292">
        <f t="shared" si="14"/>
        <v>2025</v>
      </c>
      <c r="O292">
        <f t="shared" si="12"/>
        <v>6</v>
      </c>
      <c r="P292" t="str">
        <f t="shared" si="13"/>
        <v>Junio</v>
      </c>
    </row>
    <row r="293" spans="1:16" hidden="1" x14ac:dyDescent="0.25">
      <c r="C293" t="s">
        <v>17</v>
      </c>
      <c r="D293">
        <v>53052001</v>
      </c>
      <c r="E293" t="s">
        <v>18</v>
      </c>
      <c r="F293">
        <v>4368.4728600000008</v>
      </c>
      <c r="G293" t="s">
        <v>472</v>
      </c>
      <c r="H293" s="3">
        <v>45777</v>
      </c>
      <c r="I293" t="s">
        <v>473</v>
      </c>
      <c r="J293" t="s">
        <v>473</v>
      </c>
      <c r="K293" t="s">
        <v>27</v>
      </c>
      <c r="M293" t="s">
        <v>22</v>
      </c>
      <c r="N293">
        <f t="shared" si="14"/>
        <v>2025</v>
      </c>
      <c r="O293">
        <f t="shared" si="12"/>
        <v>4</v>
      </c>
      <c r="P293" t="str">
        <f t="shared" si="13"/>
        <v>Abril</v>
      </c>
    </row>
    <row r="294" spans="1:16" hidden="1" x14ac:dyDescent="0.25">
      <c r="C294" t="s">
        <v>17</v>
      </c>
      <c r="D294">
        <v>53052001</v>
      </c>
      <c r="E294" t="s">
        <v>18</v>
      </c>
      <c r="F294" s="4">
        <v>123.79198</v>
      </c>
      <c r="G294" t="s">
        <v>474</v>
      </c>
      <c r="H294" s="3">
        <v>45736</v>
      </c>
      <c r="I294" t="s">
        <v>475</v>
      </c>
      <c r="J294" t="s">
        <v>476</v>
      </c>
      <c r="K294" t="s">
        <v>57</v>
      </c>
      <c r="M294" t="s">
        <v>22</v>
      </c>
      <c r="N294">
        <f t="shared" si="14"/>
        <v>2025</v>
      </c>
      <c r="O294">
        <f t="shared" si="12"/>
        <v>3</v>
      </c>
      <c r="P294" t="str">
        <f t="shared" si="13"/>
        <v>Marzo</v>
      </c>
    </row>
    <row r="295" spans="1:16" hidden="1" x14ac:dyDescent="0.25">
      <c r="C295" t="s">
        <v>17</v>
      </c>
      <c r="D295">
        <v>53052001</v>
      </c>
      <c r="E295" t="s">
        <v>18</v>
      </c>
      <c r="F295" s="4">
        <v>3556.1489999999999</v>
      </c>
      <c r="G295" t="s">
        <v>477</v>
      </c>
      <c r="H295" s="3">
        <v>45747</v>
      </c>
      <c r="I295" t="s">
        <v>478</v>
      </c>
      <c r="J295" t="s">
        <v>478</v>
      </c>
      <c r="K295" t="s">
        <v>35</v>
      </c>
      <c r="M295" t="s">
        <v>22</v>
      </c>
      <c r="N295">
        <f t="shared" si="14"/>
        <v>2025</v>
      </c>
      <c r="O295">
        <f t="shared" si="12"/>
        <v>3</v>
      </c>
      <c r="P295" t="str">
        <f t="shared" si="13"/>
        <v>Marzo</v>
      </c>
    </row>
    <row r="296" spans="1:16" hidden="1" x14ac:dyDescent="0.25">
      <c r="C296" t="s">
        <v>17</v>
      </c>
      <c r="D296">
        <v>53052001</v>
      </c>
      <c r="E296" t="s">
        <v>18</v>
      </c>
      <c r="F296" s="4">
        <v>6.4050000000000002</v>
      </c>
      <c r="G296" t="s">
        <v>479</v>
      </c>
      <c r="H296" s="3">
        <v>45688</v>
      </c>
      <c r="I296" t="s">
        <v>480</v>
      </c>
      <c r="J296" t="s">
        <v>480</v>
      </c>
      <c r="K296" t="s">
        <v>27</v>
      </c>
      <c r="M296" t="s">
        <v>22</v>
      </c>
      <c r="N296">
        <f t="shared" si="14"/>
        <v>2025</v>
      </c>
      <c r="O296">
        <f t="shared" si="12"/>
        <v>1</v>
      </c>
      <c r="P296" t="str">
        <f t="shared" si="13"/>
        <v>Enero</v>
      </c>
    </row>
    <row r="297" spans="1:16" hidden="1" x14ac:dyDescent="0.25">
      <c r="C297" t="s">
        <v>17</v>
      </c>
      <c r="D297">
        <v>53052001</v>
      </c>
      <c r="E297" t="s">
        <v>18</v>
      </c>
      <c r="F297" s="4">
        <v>6.8179999999999996</v>
      </c>
      <c r="G297" t="s">
        <v>481</v>
      </c>
      <c r="H297" s="3">
        <v>45717</v>
      </c>
      <c r="I297" t="s">
        <v>482</v>
      </c>
      <c r="J297" t="s">
        <v>482</v>
      </c>
      <c r="K297" t="s">
        <v>27</v>
      </c>
      <c r="M297" t="s">
        <v>22</v>
      </c>
      <c r="N297">
        <f t="shared" si="14"/>
        <v>2025</v>
      </c>
      <c r="O297">
        <f t="shared" si="12"/>
        <v>3</v>
      </c>
      <c r="P297" t="str">
        <f t="shared" si="13"/>
        <v>Marzo</v>
      </c>
    </row>
    <row r="298" spans="1:16" hidden="1" x14ac:dyDescent="0.25">
      <c r="C298" t="s">
        <v>17</v>
      </c>
      <c r="D298">
        <v>53052001</v>
      </c>
      <c r="E298" t="s">
        <v>18</v>
      </c>
      <c r="F298" s="4">
        <v>19.623360000000002</v>
      </c>
      <c r="G298" t="s">
        <v>483</v>
      </c>
      <c r="H298" s="3">
        <v>45868</v>
      </c>
      <c r="I298" t="s">
        <v>484</v>
      </c>
      <c r="J298" t="s">
        <v>484</v>
      </c>
      <c r="K298" t="s">
        <v>69</v>
      </c>
      <c r="M298" t="s">
        <v>22</v>
      </c>
      <c r="N298">
        <f t="shared" si="14"/>
        <v>2025</v>
      </c>
      <c r="O298">
        <f t="shared" si="12"/>
        <v>7</v>
      </c>
      <c r="P298" t="str">
        <f t="shared" si="13"/>
        <v>Julio</v>
      </c>
    </row>
    <row r="299" spans="1:16" hidden="1" x14ac:dyDescent="0.25">
      <c r="C299" t="s">
        <v>17</v>
      </c>
      <c r="D299">
        <v>53052001</v>
      </c>
      <c r="E299" t="s">
        <v>18</v>
      </c>
      <c r="F299" s="4">
        <v>7.367</v>
      </c>
      <c r="G299" t="s">
        <v>485</v>
      </c>
      <c r="H299" s="3">
        <v>45860</v>
      </c>
      <c r="I299" t="s">
        <v>486</v>
      </c>
      <c r="J299" t="s">
        <v>487</v>
      </c>
      <c r="K299" t="s">
        <v>27</v>
      </c>
      <c r="M299" t="s">
        <v>22</v>
      </c>
      <c r="N299">
        <f t="shared" si="14"/>
        <v>2025</v>
      </c>
      <c r="O299">
        <f t="shared" si="12"/>
        <v>7</v>
      </c>
      <c r="P299" t="str">
        <f t="shared" si="13"/>
        <v>Julio</v>
      </c>
    </row>
    <row r="300" spans="1:16" hidden="1" x14ac:dyDescent="0.25">
      <c r="C300" t="s">
        <v>17</v>
      </c>
      <c r="D300">
        <v>53052001</v>
      </c>
      <c r="E300" t="s">
        <v>18</v>
      </c>
      <c r="F300" s="4">
        <v>18.024999999999999</v>
      </c>
      <c r="G300" t="s">
        <v>488</v>
      </c>
      <c r="H300" s="3">
        <v>45869</v>
      </c>
      <c r="I300" t="s">
        <v>489</v>
      </c>
      <c r="J300" t="s">
        <v>489</v>
      </c>
      <c r="K300" t="s">
        <v>27</v>
      </c>
      <c r="M300" t="s">
        <v>22</v>
      </c>
      <c r="N300">
        <f t="shared" si="14"/>
        <v>2025</v>
      </c>
      <c r="O300">
        <f t="shared" si="12"/>
        <v>7</v>
      </c>
      <c r="P300" t="str">
        <f t="shared" si="13"/>
        <v>Julio</v>
      </c>
    </row>
    <row r="301" spans="1:16" hidden="1" x14ac:dyDescent="0.25">
      <c r="C301" t="s">
        <v>17</v>
      </c>
      <c r="D301">
        <v>53052001</v>
      </c>
      <c r="E301" t="s">
        <v>18</v>
      </c>
      <c r="F301" s="4">
        <v>7.367</v>
      </c>
      <c r="G301" t="s">
        <v>490</v>
      </c>
      <c r="H301" s="3">
        <v>45869</v>
      </c>
      <c r="I301" t="s">
        <v>487</v>
      </c>
      <c r="J301" t="s">
        <v>487</v>
      </c>
      <c r="K301" t="s">
        <v>27</v>
      </c>
      <c r="M301" t="s">
        <v>93</v>
      </c>
      <c r="N301">
        <f t="shared" si="14"/>
        <v>2025</v>
      </c>
      <c r="O301">
        <f t="shared" si="12"/>
        <v>7</v>
      </c>
      <c r="P301" t="str">
        <f t="shared" si="13"/>
        <v>Julio</v>
      </c>
    </row>
    <row r="302" spans="1:16" hidden="1" x14ac:dyDescent="0.25">
      <c r="C302" t="s">
        <v>17</v>
      </c>
      <c r="D302">
        <v>53052001</v>
      </c>
      <c r="E302" t="s">
        <v>18</v>
      </c>
      <c r="F302" s="4">
        <v>303.26799999999997</v>
      </c>
      <c r="G302" t="s">
        <v>491</v>
      </c>
      <c r="H302" s="3">
        <v>45897</v>
      </c>
      <c r="I302" t="s">
        <v>492</v>
      </c>
      <c r="J302" t="s">
        <v>492</v>
      </c>
      <c r="K302" t="s">
        <v>27</v>
      </c>
      <c r="N302">
        <f t="shared" si="14"/>
        <v>2025</v>
      </c>
      <c r="O302">
        <f t="shared" si="12"/>
        <v>8</v>
      </c>
      <c r="P302" t="str">
        <f t="shared" si="13"/>
        <v>Agosto</v>
      </c>
    </row>
    <row r="303" spans="1:16" hidden="1" x14ac:dyDescent="0.25">
      <c r="C303" t="s">
        <v>17</v>
      </c>
      <c r="D303">
        <v>53052001</v>
      </c>
      <c r="E303" t="s">
        <v>18</v>
      </c>
      <c r="F303" s="4">
        <v>16.446000000000002</v>
      </c>
      <c r="G303" t="s">
        <v>493</v>
      </c>
      <c r="H303" s="3">
        <v>45708</v>
      </c>
      <c r="I303" t="s">
        <v>494</v>
      </c>
      <c r="J303" t="s">
        <v>494</v>
      </c>
      <c r="K303" t="s">
        <v>27</v>
      </c>
      <c r="M303" t="s">
        <v>22</v>
      </c>
      <c r="N303">
        <f t="shared" si="14"/>
        <v>2025</v>
      </c>
      <c r="O303">
        <f t="shared" si="12"/>
        <v>2</v>
      </c>
      <c r="P303" t="str">
        <f t="shared" si="13"/>
        <v>Febrero</v>
      </c>
    </row>
    <row r="304" spans="1:16" hidden="1" x14ac:dyDescent="0.25">
      <c r="C304" t="s">
        <v>17</v>
      </c>
      <c r="D304">
        <v>53052001</v>
      </c>
      <c r="E304" t="s">
        <v>18</v>
      </c>
      <c r="F304" s="4">
        <v>11529</v>
      </c>
      <c r="G304" t="s">
        <v>495</v>
      </c>
      <c r="H304" s="3">
        <v>45684</v>
      </c>
      <c r="I304" t="s">
        <v>496</v>
      </c>
      <c r="J304" t="s">
        <v>496</v>
      </c>
      <c r="K304" t="s">
        <v>497</v>
      </c>
      <c r="M304" t="s">
        <v>22</v>
      </c>
      <c r="N304">
        <f t="shared" si="14"/>
        <v>2025</v>
      </c>
      <c r="O304">
        <f t="shared" si="12"/>
        <v>1</v>
      </c>
      <c r="P304" t="str">
        <f t="shared" si="13"/>
        <v>Enero</v>
      </c>
    </row>
    <row r="305" spans="3:16" hidden="1" x14ac:dyDescent="0.25">
      <c r="C305" t="s">
        <v>17</v>
      </c>
      <c r="D305">
        <v>53052001</v>
      </c>
      <c r="E305" t="s">
        <v>18</v>
      </c>
      <c r="F305" s="4">
        <v>1.147</v>
      </c>
      <c r="G305" t="s">
        <v>498</v>
      </c>
      <c r="H305" s="3">
        <v>45707</v>
      </c>
      <c r="I305" t="s">
        <v>499</v>
      </c>
      <c r="J305" t="s">
        <v>500</v>
      </c>
      <c r="K305" t="s">
        <v>27</v>
      </c>
      <c r="M305" t="s">
        <v>22</v>
      </c>
      <c r="N305">
        <f t="shared" si="14"/>
        <v>2025</v>
      </c>
      <c r="O305">
        <f t="shared" si="12"/>
        <v>2</v>
      </c>
      <c r="P305" t="str">
        <f t="shared" si="13"/>
        <v>Febrero</v>
      </c>
    </row>
    <row r="306" spans="3:16" hidden="1" x14ac:dyDescent="0.25">
      <c r="C306" t="s">
        <v>17</v>
      </c>
      <c r="D306">
        <v>53052001</v>
      </c>
      <c r="E306" t="s">
        <v>18</v>
      </c>
      <c r="F306" s="4">
        <v>-37296</v>
      </c>
      <c r="G306" t="s">
        <v>501</v>
      </c>
      <c r="H306" s="3">
        <v>45869</v>
      </c>
      <c r="I306" t="s">
        <v>502</v>
      </c>
      <c r="J306" t="s">
        <v>503</v>
      </c>
      <c r="K306" t="s">
        <v>21</v>
      </c>
      <c r="M306" t="s">
        <v>22</v>
      </c>
      <c r="N306">
        <f t="shared" si="14"/>
        <v>2025</v>
      </c>
      <c r="O306">
        <f t="shared" si="12"/>
        <v>7</v>
      </c>
      <c r="P306" t="str">
        <f t="shared" si="13"/>
        <v>Julio</v>
      </c>
    </row>
    <row r="307" spans="3:16" hidden="1" x14ac:dyDescent="0.25">
      <c r="C307" t="s">
        <v>17</v>
      </c>
      <c r="D307">
        <v>53052001</v>
      </c>
      <c r="E307" t="s">
        <v>18</v>
      </c>
      <c r="F307" s="4">
        <v>-26268.905999999999</v>
      </c>
      <c r="G307" t="s">
        <v>501</v>
      </c>
      <c r="H307" s="3">
        <v>45869</v>
      </c>
      <c r="I307" t="s">
        <v>504</v>
      </c>
      <c r="J307" t="s">
        <v>503</v>
      </c>
      <c r="K307" t="s">
        <v>27</v>
      </c>
      <c r="M307" t="s">
        <v>93</v>
      </c>
      <c r="N307">
        <f t="shared" si="14"/>
        <v>2025</v>
      </c>
      <c r="O307">
        <f t="shared" si="12"/>
        <v>7</v>
      </c>
      <c r="P307" t="str">
        <f t="shared" si="13"/>
        <v>Julio</v>
      </c>
    </row>
    <row r="308" spans="3:16" hidden="1" x14ac:dyDescent="0.25">
      <c r="C308" t="s">
        <v>17</v>
      </c>
      <c r="D308">
        <v>53052001</v>
      </c>
      <c r="E308" t="s">
        <v>18</v>
      </c>
      <c r="F308" s="4">
        <v>-35935.902999999998</v>
      </c>
      <c r="G308" t="s">
        <v>501</v>
      </c>
      <c r="H308" s="3">
        <v>45869</v>
      </c>
      <c r="I308" t="s">
        <v>505</v>
      </c>
      <c r="J308" t="s">
        <v>503</v>
      </c>
      <c r="K308" t="s">
        <v>27</v>
      </c>
      <c r="M308" t="s">
        <v>93</v>
      </c>
      <c r="N308">
        <f t="shared" si="14"/>
        <v>2025</v>
      </c>
      <c r="O308">
        <f t="shared" si="12"/>
        <v>7</v>
      </c>
      <c r="P308" t="str">
        <f t="shared" si="13"/>
        <v>Julio</v>
      </c>
    </row>
    <row r="309" spans="3:16" hidden="1" x14ac:dyDescent="0.25">
      <c r="C309" t="s">
        <v>17</v>
      </c>
      <c r="D309">
        <v>53052001</v>
      </c>
      <c r="E309" t="s">
        <v>18</v>
      </c>
      <c r="F309">
        <v>49800.54</v>
      </c>
      <c r="G309" t="s">
        <v>506</v>
      </c>
      <c r="H309" s="3">
        <v>45789</v>
      </c>
      <c r="I309" t="s">
        <v>507</v>
      </c>
      <c r="J309" t="s">
        <v>507</v>
      </c>
      <c r="K309" t="s">
        <v>31</v>
      </c>
      <c r="N309">
        <f t="shared" si="14"/>
        <v>2025</v>
      </c>
      <c r="O309">
        <f t="shared" si="12"/>
        <v>5</v>
      </c>
      <c r="P309" t="str">
        <f t="shared" si="13"/>
        <v>Mayo</v>
      </c>
    </row>
    <row r="310" spans="3:16" hidden="1" x14ac:dyDescent="0.25">
      <c r="C310" t="s">
        <v>17</v>
      </c>
      <c r="D310">
        <v>53052001</v>
      </c>
      <c r="E310" t="s">
        <v>18</v>
      </c>
      <c r="F310" s="4">
        <v>19865.065999999999</v>
      </c>
      <c r="G310" t="s">
        <v>508</v>
      </c>
      <c r="H310" s="3">
        <v>45866</v>
      </c>
      <c r="I310" t="s">
        <v>509</v>
      </c>
      <c r="J310" t="s">
        <v>509</v>
      </c>
      <c r="K310" t="s">
        <v>21</v>
      </c>
      <c r="M310" t="s">
        <v>22</v>
      </c>
      <c r="N310">
        <f t="shared" si="14"/>
        <v>2025</v>
      </c>
      <c r="O310">
        <f t="shared" si="12"/>
        <v>7</v>
      </c>
      <c r="P310" t="str">
        <f t="shared" si="13"/>
        <v>Julio</v>
      </c>
    </row>
    <row r="311" spans="3:16" hidden="1" x14ac:dyDescent="0.25">
      <c r="C311" t="s">
        <v>17</v>
      </c>
      <c r="D311">
        <v>53052001</v>
      </c>
      <c r="E311" t="s">
        <v>18</v>
      </c>
      <c r="F311" s="4">
        <v>15331.355</v>
      </c>
      <c r="G311" t="s">
        <v>510</v>
      </c>
      <c r="H311" s="3">
        <v>45698</v>
      </c>
      <c r="I311" t="s">
        <v>511</v>
      </c>
      <c r="J311" t="s">
        <v>511</v>
      </c>
      <c r="K311" t="s">
        <v>35</v>
      </c>
      <c r="M311" t="s">
        <v>22</v>
      </c>
      <c r="N311">
        <f t="shared" si="14"/>
        <v>2025</v>
      </c>
      <c r="O311">
        <f t="shared" si="12"/>
        <v>2</v>
      </c>
      <c r="P311" t="str">
        <f t="shared" si="13"/>
        <v>Febrero</v>
      </c>
    </row>
    <row r="312" spans="3:16" hidden="1" x14ac:dyDescent="0.25">
      <c r="C312" t="s">
        <v>17</v>
      </c>
      <c r="D312">
        <v>53052001</v>
      </c>
      <c r="E312" t="s">
        <v>18</v>
      </c>
      <c r="F312" s="4">
        <v>30877.925999999999</v>
      </c>
      <c r="G312" t="s">
        <v>512</v>
      </c>
      <c r="H312" s="3">
        <v>45741</v>
      </c>
      <c r="I312" t="s">
        <v>513</v>
      </c>
      <c r="J312" t="s">
        <v>513</v>
      </c>
      <c r="K312" t="s">
        <v>27</v>
      </c>
      <c r="M312" t="s">
        <v>22</v>
      </c>
      <c r="N312">
        <f t="shared" si="14"/>
        <v>2025</v>
      </c>
      <c r="O312">
        <f t="shared" si="12"/>
        <v>3</v>
      </c>
      <c r="P312" t="str">
        <f t="shared" si="13"/>
        <v>Marzo</v>
      </c>
    </row>
    <row r="313" spans="3:16" hidden="1" x14ac:dyDescent="0.25">
      <c r="C313" t="s">
        <v>17</v>
      </c>
      <c r="D313">
        <v>53052001</v>
      </c>
      <c r="E313" t="s">
        <v>18</v>
      </c>
      <c r="F313">
        <v>2669.3980000000001</v>
      </c>
      <c r="G313" t="s">
        <v>514</v>
      </c>
      <c r="H313" s="3">
        <v>45782</v>
      </c>
      <c r="I313" t="s">
        <v>515</v>
      </c>
      <c r="J313" t="s">
        <v>515</v>
      </c>
      <c r="K313" t="s">
        <v>27</v>
      </c>
      <c r="M313" t="s">
        <v>22</v>
      </c>
      <c r="N313">
        <f t="shared" si="14"/>
        <v>2025</v>
      </c>
      <c r="O313">
        <f t="shared" si="12"/>
        <v>5</v>
      </c>
      <c r="P313" t="str">
        <f t="shared" si="13"/>
        <v>Mayo</v>
      </c>
    </row>
    <row r="314" spans="3:16" hidden="1" x14ac:dyDescent="0.25">
      <c r="C314" t="s">
        <v>17</v>
      </c>
      <c r="D314">
        <v>53052001</v>
      </c>
      <c r="E314" t="s">
        <v>18</v>
      </c>
      <c r="F314" s="4">
        <v>35935.902999999998</v>
      </c>
      <c r="G314" t="s">
        <v>516</v>
      </c>
      <c r="H314" s="3">
        <v>45839</v>
      </c>
      <c r="I314" t="s">
        <v>517</v>
      </c>
      <c r="J314" t="s">
        <v>517</v>
      </c>
      <c r="K314" t="s">
        <v>27</v>
      </c>
      <c r="N314">
        <f t="shared" si="14"/>
        <v>2025</v>
      </c>
      <c r="O314">
        <f t="shared" si="12"/>
        <v>7</v>
      </c>
      <c r="P314" t="str">
        <f t="shared" si="13"/>
        <v>Julio</v>
      </c>
    </row>
    <row r="315" spans="3:16" hidden="1" x14ac:dyDescent="0.25">
      <c r="C315" t="s">
        <v>17</v>
      </c>
      <c r="D315">
        <v>53052001</v>
      </c>
      <c r="E315" t="s">
        <v>18</v>
      </c>
      <c r="F315" s="4">
        <v>38210</v>
      </c>
      <c r="G315" t="s">
        <v>518</v>
      </c>
      <c r="H315" s="3">
        <v>45870</v>
      </c>
      <c r="I315" t="s">
        <v>519</v>
      </c>
      <c r="J315" t="s">
        <v>519</v>
      </c>
      <c r="K315" t="s">
        <v>31</v>
      </c>
      <c r="M315" t="s">
        <v>93</v>
      </c>
      <c r="N315">
        <f t="shared" si="14"/>
        <v>2025</v>
      </c>
      <c r="O315">
        <f t="shared" si="12"/>
        <v>8</v>
      </c>
      <c r="P315" t="str">
        <f t="shared" si="13"/>
        <v>Agosto</v>
      </c>
    </row>
    <row r="316" spans="3:16" hidden="1" x14ac:dyDescent="0.25">
      <c r="C316" t="s">
        <v>17</v>
      </c>
      <c r="D316">
        <v>53052001</v>
      </c>
      <c r="E316" t="s">
        <v>18</v>
      </c>
      <c r="F316">
        <v>258414.77499999999</v>
      </c>
      <c r="G316" t="s">
        <v>520</v>
      </c>
      <c r="H316">
        <v>45754</v>
      </c>
      <c r="I316" t="s">
        <v>521</v>
      </c>
      <c r="J316" t="s">
        <v>521</v>
      </c>
      <c r="K316" t="s">
        <v>21</v>
      </c>
      <c r="M316" t="s">
        <v>93</v>
      </c>
      <c r="N316">
        <f t="shared" si="14"/>
        <v>2025</v>
      </c>
      <c r="O316">
        <f t="shared" si="12"/>
        <v>4</v>
      </c>
      <c r="P316" t="str">
        <f t="shared" si="13"/>
        <v>Abril</v>
      </c>
    </row>
    <row r="317" spans="3:16" hidden="1" x14ac:dyDescent="0.25">
      <c r="C317" t="s">
        <v>17</v>
      </c>
      <c r="D317">
        <v>53052001</v>
      </c>
      <c r="E317" t="s">
        <v>18</v>
      </c>
      <c r="F317" s="4">
        <v>2407.3202099999999</v>
      </c>
      <c r="G317" t="s">
        <v>522</v>
      </c>
      <c r="H317" s="3">
        <v>45743</v>
      </c>
      <c r="I317" t="s">
        <v>523</v>
      </c>
      <c r="J317" t="s">
        <v>523</v>
      </c>
      <c r="K317" t="s">
        <v>41</v>
      </c>
      <c r="M317" t="s">
        <v>22</v>
      </c>
      <c r="N317">
        <f t="shared" si="14"/>
        <v>2025</v>
      </c>
      <c r="O317">
        <f t="shared" si="12"/>
        <v>3</v>
      </c>
      <c r="P317" t="str">
        <f t="shared" si="13"/>
        <v>Marzo</v>
      </c>
    </row>
    <row r="318" spans="3:16" hidden="1" x14ac:dyDescent="0.25">
      <c r="C318" t="s">
        <v>17</v>
      </c>
      <c r="D318">
        <v>53052001</v>
      </c>
      <c r="E318" t="s">
        <v>18</v>
      </c>
      <c r="F318">
        <v>13108.090050000001</v>
      </c>
      <c r="G318" t="s">
        <v>524</v>
      </c>
      <c r="H318" s="3">
        <v>45808</v>
      </c>
      <c r="I318" t="s">
        <v>525</v>
      </c>
      <c r="J318" t="s">
        <v>525</v>
      </c>
      <c r="K318" t="s">
        <v>69</v>
      </c>
      <c r="N318">
        <f t="shared" si="14"/>
        <v>2025</v>
      </c>
      <c r="O318">
        <f t="shared" si="12"/>
        <v>5</v>
      </c>
      <c r="P318" t="str">
        <f t="shared" si="13"/>
        <v>Mayo</v>
      </c>
    </row>
    <row r="319" spans="3:16" hidden="1" x14ac:dyDescent="0.25">
      <c r="C319" t="s">
        <v>17</v>
      </c>
      <c r="D319">
        <v>53052001</v>
      </c>
      <c r="E319" t="s">
        <v>18</v>
      </c>
      <c r="F319" s="11">
        <v>18734.99985</v>
      </c>
      <c r="G319" t="s">
        <v>526</v>
      </c>
      <c r="H319" s="3">
        <v>45785</v>
      </c>
      <c r="I319" t="s">
        <v>527</v>
      </c>
      <c r="J319" t="s">
        <v>527</v>
      </c>
      <c r="K319" t="s">
        <v>69</v>
      </c>
      <c r="N319">
        <f t="shared" si="14"/>
        <v>2025</v>
      </c>
      <c r="O319">
        <f t="shared" si="12"/>
        <v>5</v>
      </c>
      <c r="P319" t="str">
        <f t="shared" si="13"/>
        <v>Mayo</v>
      </c>
    </row>
    <row r="320" spans="3:16" hidden="1" x14ac:dyDescent="0.25">
      <c r="C320" t="s">
        <v>17</v>
      </c>
      <c r="D320">
        <v>53052001</v>
      </c>
      <c r="E320" t="s">
        <v>18</v>
      </c>
      <c r="F320" s="4">
        <v>2527.5990000000002</v>
      </c>
      <c r="G320" t="s">
        <v>528</v>
      </c>
      <c r="H320" s="3">
        <v>45733</v>
      </c>
      <c r="I320" t="s">
        <v>529</v>
      </c>
      <c r="J320" t="s">
        <v>529</v>
      </c>
      <c r="K320" t="s">
        <v>27</v>
      </c>
      <c r="M320" t="s">
        <v>22</v>
      </c>
      <c r="N320">
        <f t="shared" si="14"/>
        <v>2025</v>
      </c>
      <c r="O320">
        <f t="shared" si="12"/>
        <v>3</v>
      </c>
      <c r="P320" t="str">
        <f t="shared" si="13"/>
        <v>Marzo</v>
      </c>
    </row>
    <row r="321" spans="3:16" hidden="1" x14ac:dyDescent="0.25">
      <c r="C321" t="s">
        <v>17</v>
      </c>
      <c r="D321">
        <v>53052001</v>
      </c>
      <c r="E321" t="s">
        <v>18</v>
      </c>
      <c r="F321">
        <v>5236.78503</v>
      </c>
      <c r="G321" t="s">
        <v>530</v>
      </c>
      <c r="H321" s="3">
        <v>45782</v>
      </c>
      <c r="I321" t="s">
        <v>531</v>
      </c>
      <c r="J321" t="s">
        <v>531</v>
      </c>
      <c r="K321" t="s">
        <v>27</v>
      </c>
      <c r="M321" t="s">
        <v>22</v>
      </c>
      <c r="N321">
        <f t="shared" si="14"/>
        <v>2025</v>
      </c>
      <c r="O321">
        <f t="shared" si="12"/>
        <v>5</v>
      </c>
      <c r="P321" t="str">
        <f t="shared" si="13"/>
        <v>Mayo</v>
      </c>
    </row>
    <row r="322" spans="3:16" hidden="1" x14ac:dyDescent="0.25">
      <c r="C322" t="s">
        <v>17</v>
      </c>
      <c r="D322">
        <v>53052001</v>
      </c>
      <c r="E322" t="s">
        <v>18</v>
      </c>
      <c r="F322" s="4">
        <v>1718.6410000000001</v>
      </c>
      <c r="G322" t="s">
        <v>532</v>
      </c>
      <c r="H322" s="3">
        <v>45666</v>
      </c>
      <c r="I322" t="s">
        <v>533</v>
      </c>
      <c r="J322" t="s">
        <v>533</v>
      </c>
      <c r="K322" t="s">
        <v>27</v>
      </c>
      <c r="M322" t="s">
        <v>93</v>
      </c>
      <c r="N322">
        <f t="shared" si="14"/>
        <v>2025</v>
      </c>
      <c r="O322">
        <f t="shared" ref="O322:O385" si="15">+MONTH(H322)</f>
        <v>1</v>
      </c>
      <c r="P322" t="str">
        <f t="shared" ref="P322:P385" si="16">+VLOOKUP(O322,X:Y,2,0)</f>
        <v>Enero</v>
      </c>
    </row>
    <row r="323" spans="3:16" hidden="1" x14ac:dyDescent="0.25">
      <c r="C323" t="s">
        <v>17</v>
      </c>
      <c r="D323">
        <v>53052001</v>
      </c>
      <c r="E323" t="s">
        <v>18</v>
      </c>
      <c r="F323" s="4">
        <v>2820.8220000000001</v>
      </c>
      <c r="G323" t="s">
        <v>534</v>
      </c>
      <c r="H323" s="3">
        <v>45705</v>
      </c>
      <c r="I323" t="s">
        <v>535</v>
      </c>
      <c r="J323" t="s">
        <v>535</v>
      </c>
      <c r="K323" t="s">
        <v>27</v>
      </c>
      <c r="M323" t="s">
        <v>22</v>
      </c>
      <c r="N323">
        <f t="shared" ref="N323:N386" si="17">+YEAR(H323)</f>
        <v>2025</v>
      </c>
      <c r="O323">
        <f t="shared" si="15"/>
        <v>2</v>
      </c>
      <c r="P323" t="str">
        <f t="shared" si="16"/>
        <v>Febrero</v>
      </c>
    </row>
    <row r="324" spans="3:16" hidden="1" x14ac:dyDescent="0.25">
      <c r="C324" t="s">
        <v>17</v>
      </c>
      <c r="D324">
        <v>53052001</v>
      </c>
      <c r="E324" t="s">
        <v>18</v>
      </c>
      <c r="F324" s="4">
        <v>10663.3125</v>
      </c>
      <c r="G324" t="s">
        <v>536</v>
      </c>
      <c r="H324" s="3">
        <v>45736</v>
      </c>
      <c r="I324" t="s">
        <v>537</v>
      </c>
      <c r="J324" t="s">
        <v>537</v>
      </c>
      <c r="K324" t="s">
        <v>41</v>
      </c>
      <c r="M324" t="s">
        <v>22</v>
      </c>
      <c r="N324">
        <f t="shared" si="17"/>
        <v>2025</v>
      </c>
      <c r="O324">
        <f t="shared" si="15"/>
        <v>3</v>
      </c>
      <c r="P324" t="str">
        <f t="shared" si="16"/>
        <v>Marzo</v>
      </c>
    </row>
    <row r="325" spans="3:16" hidden="1" x14ac:dyDescent="0.25">
      <c r="C325" t="s">
        <v>17</v>
      </c>
      <c r="D325">
        <v>53052001</v>
      </c>
      <c r="E325" t="s">
        <v>18</v>
      </c>
      <c r="F325" s="4">
        <v>4165.8973299999998</v>
      </c>
      <c r="G325" t="s">
        <v>538</v>
      </c>
      <c r="H325" s="3">
        <v>45670</v>
      </c>
      <c r="I325" t="s">
        <v>539</v>
      </c>
      <c r="J325" t="s">
        <v>539</v>
      </c>
      <c r="K325" t="s">
        <v>69</v>
      </c>
      <c r="M325" t="s">
        <v>93</v>
      </c>
      <c r="N325">
        <f t="shared" si="17"/>
        <v>2025</v>
      </c>
      <c r="O325">
        <f t="shared" si="15"/>
        <v>1</v>
      </c>
      <c r="P325" t="str">
        <f t="shared" si="16"/>
        <v>Enero</v>
      </c>
    </row>
    <row r="326" spans="3:16" hidden="1" x14ac:dyDescent="0.25">
      <c r="C326" t="s">
        <v>17</v>
      </c>
      <c r="D326">
        <v>53052001</v>
      </c>
      <c r="E326" t="s">
        <v>18</v>
      </c>
      <c r="F326" s="4">
        <v>2841.8249999999998</v>
      </c>
      <c r="G326" t="s">
        <v>540</v>
      </c>
      <c r="H326" s="3">
        <v>45673</v>
      </c>
      <c r="I326" t="s">
        <v>541</v>
      </c>
      <c r="J326" t="s">
        <v>541</v>
      </c>
      <c r="K326" t="s">
        <v>27</v>
      </c>
      <c r="M326" t="s">
        <v>93</v>
      </c>
      <c r="N326">
        <f t="shared" si="17"/>
        <v>2025</v>
      </c>
      <c r="O326">
        <f t="shared" si="15"/>
        <v>1</v>
      </c>
      <c r="P326" t="str">
        <f t="shared" si="16"/>
        <v>Enero</v>
      </c>
    </row>
    <row r="327" spans="3:16" hidden="1" x14ac:dyDescent="0.25">
      <c r="C327" t="s">
        <v>17</v>
      </c>
      <c r="D327">
        <v>53052001</v>
      </c>
      <c r="E327" t="s">
        <v>18</v>
      </c>
      <c r="F327">
        <v>2757.0430000000001</v>
      </c>
      <c r="G327" t="s">
        <v>542</v>
      </c>
      <c r="H327" s="3">
        <v>45768</v>
      </c>
      <c r="I327" t="s">
        <v>543</v>
      </c>
      <c r="J327" t="s">
        <v>543</v>
      </c>
      <c r="K327" t="s">
        <v>27</v>
      </c>
      <c r="M327" t="s">
        <v>22</v>
      </c>
      <c r="N327">
        <f t="shared" si="17"/>
        <v>2025</v>
      </c>
      <c r="O327">
        <f t="shared" si="15"/>
        <v>4</v>
      </c>
      <c r="P327" t="str">
        <f t="shared" si="16"/>
        <v>Abril</v>
      </c>
    </row>
    <row r="328" spans="3:16" hidden="1" x14ac:dyDescent="0.25">
      <c r="C328" t="s">
        <v>17</v>
      </c>
      <c r="D328">
        <v>53052001</v>
      </c>
      <c r="E328" t="s">
        <v>18</v>
      </c>
      <c r="F328" s="4">
        <v>12496.815869999999</v>
      </c>
      <c r="G328" t="s">
        <v>544</v>
      </c>
      <c r="H328" s="3">
        <v>45898</v>
      </c>
      <c r="I328" t="s">
        <v>545</v>
      </c>
      <c r="J328" t="s">
        <v>545</v>
      </c>
      <c r="K328" t="s">
        <v>37</v>
      </c>
      <c r="N328">
        <f t="shared" si="17"/>
        <v>2025</v>
      </c>
      <c r="O328">
        <f t="shared" si="15"/>
        <v>8</v>
      </c>
      <c r="P328" t="str">
        <f t="shared" si="16"/>
        <v>Agosto</v>
      </c>
    </row>
    <row r="329" spans="3:16" hidden="1" x14ac:dyDescent="0.25">
      <c r="C329" t="s">
        <v>17</v>
      </c>
      <c r="D329">
        <v>53052001</v>
      </c>
      <c r="E329" t="s">
        <v>18</v>
      </c>
      <c r="F329" s="11">
        <v>13258.333000000001</v>
      </c>
      <c r="G329" t="s">
        <v>546</v>
      </c>
      <c r="H329" s="3">
        <v>45768</v>
      </c>
      <c r="I329" t="s">
        <v>547</v>
      </c>
      <c r="J329" t="s">
        <v>547</v>
      </c>
      <c r="K329" t="s">
        <v>31</v>
      </c>
      <c r="M329" t="s">
        <v>22</v>
      </c>
      <c r="N329">
        <f t="shared" si="17"/>
        <v>2025</v>
      </c>
      <c r="O329">
        <f t="shared" si="15"/>
        <v>4</v>
      </c>
      <c r="P329" t="str">
        <f t="shared" si="16"/>
        <v>Abril</v>
      </c>
    </row>
    <row r="330" spans="3:16" hidden="1" x14ac:dyDescent="0.25">
      <c r="C330" t="s">
        <v>17</v>
      </c>
      <c r="D330">
        <v>53052001</v>
      </c>
      <c r="E330" t="s">
        <v>18</v>
      </c>
      <c r="F330" s="4">
        <v>6641.4430000000002</v>
      </c>
      <c r="G330" t="s">
        <v>548</v>
      </c>
      <c r="H330" s="3">
        <v>45665</v>
      </c>
      <c r="I330" t="s">
        <v>549</v>
      </c>
      <c r="J330" t="s">
        <v>549</v>
      </c>
      <c r="K330" t="s">
        <v>35</v>
      </c>
      <c r="M330" t="s">
        <v>93</v>
      </c>
      <c r="N330">
        <f t="shared" si="17"/>
        <v>2025</v>
      </c>
      <c r="O330">
        <f t="shared" si="15"/>
        <v>1</v>
      </c>
      <c r="P330" t="str">
        <f t="shared" si="16"/>
        <v>Enero</v>
      </c>
    </row>
    <row r="331" spans="3:16" hidden="1" x14ac:dyDescent="0.25">
      <c r="C331" t="s">
        <v>17</v>
      </c>
      <c r="D331">
        <v>53052001</v>
      </c>
      <c r="E331" t="s">
        <v>18</v>
      </c>
      <c r="F331" s="4">
        <v>37296</v>
      </c>
      <c r="G331" t="s">
        <v>550</v>
      </c>
      <c r="H331" s="3">
        <v>45843</v>
      </c>
      <c r="I331" t="s">
        <v>551</v>
      </c>
      <c r="J331" t="s">
        <v>552</v>
      </c>
      <c r="K331" t="s">
        <v>21</v>
      </c>
      <c r="N331">
        <f t="shared" si="17"/>
        <v>2025</v>
      </c>
      <c r="O331">
        <f t="shared" si="15"/>
        <v>7</v>
      </c>
      <c r="P331" t="str">
        <f t="shared" si="16"/>
        <v>Julio</v>
      </c>
    </row>
    <row r="332" spans="3:16" hidden="1" x14ac:dyDescent="0.25">
      <c r="C332" t="s">
        <v>17</v>
      </c>
      <c r="D332">
        <v>53052001</v>
      </c>
      <c r="E332" t="s">
        <v>18</v>
      </c>
      <c r="F332">
        <v>26155.733</v>
      </c>
      <c r="G332" t="s">
        <v>553</v>
      </c>
      <c r="H332">
        <v>45754</v>
      </c>
      <c r="I332" t="s">
        <v>554</v>
      </c>
      <c r="J332" t="s">
        <v>554</v>
      </c>
      <c r="K332" t="s">
        <v>21</v>
      </c>
      <c r="M332" t="s">
        <v>93</v>
      </c>
      <c r="N332">
        <f t="shared" si="17"/>
        <v>2025</v>
      </c>
      <c r="O332">
        <f t="shared" si="15"/>
        <v>4</v>
      </c>
      <c r="P332" t="str">
        <f t="shared" si="16"/>
        <v>Abril</v>
      </c>
    </row>
    <row r="333" spans="3:16" hidden="1" x14ac:dyDescent="0.25">
      <c r="C333" t="s">
        <v>17</v>
      </c>
      <c r="D333">
        <v>53052001</v>
      </c>
      <c r="E333" t="s">
        <v>18</v>
      </c>
      <c r="F333" s="4">
        <v>35317.332999999999</v>
      </c>
      <c r="G333" t="s">
        <v>555</v>
      </c>
      <c r="H333" s="3">
        <v>45897</v>
      </c>
      <c r="I333" t="s">
        <v>556</v>
      </c>
      <c r="J333" t="s">
        <v>556</v>
      </c>
      <c r="K333" t="s">
        <v>31</v>
      </c>
      <c r="N333">
        <f t="shared" si="17"/>
        <v>2025</v>
      </c>
      <c r="O333">
        <f t="shared" si="15"/>
        <v>8</v>
      </c>
      <c r="P333" t="str">
        <f t="shared" si="16"/>
        <v>Agosto</v>
      </c>
    </row>
    <row r="334" spans="3:16" hidden="1" x14ac:dyDescent="0.25">
      <c r="C334" t="s">
        <v>17</v>
      </c>
      <c r="D334">
        <v>53052001</v>
      </c>
      <c r="E334" t="s">
        <v>18</v>
      </c>
      <c r="F334" s="4">
        <v>20384.75171</v>
      </c>
      <c r="G334" t="s">
        <v>557</v>
      </c>
      <c r="H334" s="3">
        <v>45726</v>
      </c>
      <c r="I334" t="s">
        <v>558</v>
      </c>
      <c r="J334" t="s">
        <v>558</v>
      </c>
      <c r="K334" t="s">
        <v>69</v>
      </c>
      <c r="M334" t="s">
        <v>22</v>
      </c>
      <c r="N334">
        <f t="shared" si="17"/>
        <v>2025</v>
      </c>
      <c r="O334">
        <f t="shared" si="15"/>
        <v>3</v>
      </c>
      <c r="P334" t="str">
        <f t="shared" si="16"/>
        <v>Marzo</v>
      </c>
    </row>
    <row r="335" spans="3:16" hidden="1" x14ac:dyDescent="0.25">
      <c r="C335" t="s">
        <v>17</v>
      </c>
      <c r="D335">
        <v>53052001</v>
      </c>
      <c r="E335" t="s">
        <v>18</v>
      </c>
      <c r="F335" s="4">
        <v>56912.43821</v>
      </c>
      <c r="G335" t="s">
        <v>559</v>
      </c>
      <c r="H335" s="3">
        <v>45684</v>
      </c>
      <c r="I335" t="s">
        <v>560</v>
      </c>
      <c r="J335" t="s">
        <v>560</v>
      </c>
      <c r="K335" t="s">
        <v>69</v>
      </c>
      <c r="M335" t="s">
        <v>93</v>
      </c>
      <c r="N335">
        <f t="shared" si="17"/>
        <v>2025</v>
      </c>
      <c r="O335">
        <f t="shared" si="15"/>
        <v>1</v>
      </c>
      <c r="P335" t="str">
        <f t="shared" si="16"/>
        <v>Enero</v>
      </c>
    </row>
    <row r="336" spans="3:16" hidden="1" x14ac:dyDescent="0.25">
      <c r="C336" t="s">
        <v>17</v>
      </c>
      <c r="D336">
        <v>53052001</v>
      </c>
      <c r="E336" t="s">
        <v>18</v>
      </c>
      <c r="F336" s="4">
        <v>24367.547559999999</v>
      </c>
      <c r="G336" t="s">
        <v>561</v>
      </c>
      <c r="H336" s="3">
        <v>45743</v>
      </c>
      <c r="I336" t="s">
        <v>562</v>
      </c>
      <c r="J336" t="s">
        <v>562</v>
      </c>
      <c r="K336" t="s">
        <v>69</v>
      </c>
      <c r="M336" t="s">
        <v>22</v>
      </c>
      <c r="N336">
        <f t="shared" si="17"/>
        <v>2025</v>
      </c>
      <c r="O336">
        <f t="shared" si="15"/>
        <v>3</v>
      </c>
      <c r="P336" t="str">
        <f t="shared" si="16"/>
        <v>Marzo</v>
      </c>
    </row>
    <row r="337" spans="3:16" hidden="1" x14ac:dyDescent="0.25">
      <c r="C337" t="s">
        <v>17</v>
      </c>
      <c r="D337">
        <v>53052001</v>
      </c>
      <c r="E337" t="s">
        <v>18</v>
      </c>
      <c r="F337" s="4">
        <v>31646.162210000002</v>
      </c>
      <c r="G337" t="s">
        <v>563</v>
      </c>
      <c r="H337" s="3">
        <v>45743</v>
      </c>
      <c r="I337" t="s">
        <v>564</v>
      </c>
      <c r="J337" t="s">
        <v>564</v>
      </c>
      <c r="K337" t="s">
        <v>69</v>
      </c>
      <c r="M337" t="s">
        <v>22</v>
      </c>
      <c r="N337">
        <f t="shared" si="17"/>
        <v>2025</v>
      </c>
      <c r="O337">
        <f t="shared" si="15"/>
        <v>3</v>
      </c>
      <c r="P337" t="str">
        <f t="shared" si="16"/>
        <v>Marzo</v>
      </c>
    </row>
    <row r="338" spans="3:16" hidden="1" x14ac:dyDescent="0.25">
      <c r="C338" t="s">
        <v>17</v>
      </c>
      <c r="D338">
        <v>53052001</v>
      </c>
      <c r="E338" t="s">
        <v>18</v>
      </c>
      <c r="F338" s="4">
        <v>1478.0150000000001</v>
      </c>
      <c r="G338" t="s">
        <v>498</v>
      </c>
      <c r="H338" s="3">
        <v>45707</v>
      </c>
      <c r="I338" t="s">
        <v>500</v>
      </c>
      <c r="J338" t="s">
        <v>500</v>
      </c>
      <c r="K338" t="s">
        <v>27</v>
      </c>
      <c r="M338" t="s">
        <v>22</v>
      </c>
      <c r="N338">
        <f t="shared" si="17"/>
        <v>2025</v>
      </c>
      <c r="O338">
        <f t="shared" si="15"/>
        <v>2</v>
      </c>
      <c r="P338" t="str">
        <f t="shared" si="16"/>
        <v>Febrero</v>
      </c>
    </row>
    <row r="339" spans="3:16" hidden="1" x14ac:dyDescent="0.25">
      <c r="C339" t="s">
        <v>17</v>
      </c>
      <c r="D339">
        <v>53052001</v>
      </c>
      <c r="E339" t="s">
        <v>18</v>
      </c>
      <c r="F339">
        <v>2554.0663100000002</v>
      </c>
      <c r="G339" t="s">
        <v>565</v>
      </c>
      <c r="H339" s="3">
        <v>45776</v>
      </c>
      <c r="I339" t="s">
        <v>566</v>
      </c>
      <c r="J339" t="s">
        <v>566</v>
      </c>
      <c r="K339" t="s">
        <v>41</v>
      </c>
      <c r="M339" t="s">
        <v>22</v>
      </c>
      <c r="N339">
        <f t="shared" si="17"/>
        <v>2025</v>
      </c>
      <c r="O339">
        <f t="shared" si="15"/>
        <v>4</v>
      </c>
      <c r="P339" t="str">
        <f t="shared" si="16"/>
        <v>Abril</v>
      </c>
    </row>
    <row r="340" spans="3:16" hidden="1" x14ac:dyDescent="0.25">
      <c r="C340" t="s">
        <v>17</v>
      </c>
      <c r="D340">
        <v>53052001</v>
      </c>
      <c r="E340" t="s">
        <v>18</v>
      </c>
      <c r="F340">
        <v>1570.5260000000001</v>
      </c>
      <c r="G340" t="s">
        <v>567</v>
      </c>
      <c r="H340">
        <v>45756</v>
      </c>
      <c r="I340" t="s">
        <v>568</v>
      </c>
      <c r="J340" t="s">
        <v>568</v>
      </c>
      <c r="K340" t="s">
        <v>27</v>
      </c>
      <c r="M340" t="s">
        <v>93</v>
      </c>
      <c r="N340">
        <f t="shared" si="17"/>
        <v>2025</v>
      </c>
      <c r="O340">
        <f t="shared" si="15"/>
        <v>4</v>
      </c>
      <c r="P340" t="str">
        <f t="shared" si="16"/>
        <v>Abril</v>
      </c>
    </row>
    <row r="341" spans="3:16" hidden="1" x14ac:dyDescent="0.25">
      <c r="C341" t="s">
        <v>17</v>
      </c>
      <c r="D341">
        <v>53052001</v>
      </c>
      <c r="E341" t="s">
        <v>18</v>
      </c>
      <c r="F341" s="4">
        <v>2555.444</v>
      </c>
      <c r="G341" t="s">
        <v>569</v>
      </c>
      <c r="H341" s="3">
        <v>45720</v>
      </c>
      <c r="I341" t="s">
        <v>570</v>
      </c>
      <c r="J341" t="s">
        <v>570</v>
      </c>
      <c r="K341" t="s">
        <v>27</v>
      </c>
      <c r="M341" t="s">
        <v>22</v>
      </c>
      <c r="N341">
        <f t="shared" si="17"/>
        <v>2025</v>
      </c>
      <c r="O341">
        <f t="shared" si="15"/>
        <v>3</v>
      </c>
      <c r="P341" t="str">
        <f t="shared" si="16"/>
        <v>Marzo</v>
      </c>
    </row>
    <row r="342" spans="3:16" hidden="1" x14ac:dyDescent="0.25">
      <c r="C342" t="s">
        <v>17</v>
      </c>
      <c r="D342">
        <v>53052001</v>
      </c>
      <c r="E342" t="s">
        <v>18</v>
      </c>
      <c r="F342">
        <v>86012.256049999996</v>
      </c>
      <c r="G342" t="s">
        <v>571</v>
      </c>
      <c r="H342" s="3">
        <v>45776</v>
      </c>
      <c r="I342" t="s">
        <v>572</v>
      </c>
      <c r="J342" t="s">
        <v>572</v>
      </c>
      <c r="K342" t="s">
        <v>35</v>
      </c>
      <c r="M342" t="s">
        <v>22</v>
      </c>
      <c r="N342">
        <f t="shared" si="17"/>
        <v>2025</v>
      </c>
      <c r="O342">
        <f t="shared" si="15"/>
        <v>4</v>
      </c>
      <c r="P342" t="str">
        <f t="shared" si="16"/>
        <v>Abril</v>
      </c>
    </row>
    <row r="343" spans="3:16" hidden="1" x14ac:dyDescent="0.25">
      <c r="C343" t="s">
        <v>17</v>
      </c>
      <c r="D343">
        <v>53052001</v>
      </c>
      <c r="E343" t="s">
        <v>18</v>
      </c>
      <c r="F343" s="4">
        <v>38746.667000000001</v>
      </c>
      <c r="G343" t="s">
        <v>573</v>
      </c>
      <c r="H343" s="3">
        <v>45719</v>
      </c>
      <c r="I343" t="s">
        <v>574</v>
      </c>
      <c r="J343" t="s">
        <v>574</v>
      </c>
      <c r="K343" t="s">
        <v>31</v>
      </c>
      <c r="M343" t="s">
        <v>22</v>
      </c>
      <c r="N343">
        <f t="shared" si="17"/>
        <v>2025</v>
      </c>
      <c r="O343">
        <f t="shared" si="15"/>
        <v>3</v>
      </c>
      <c r="P343" t="str">
        <f t="shared" si="16"/>
        <v>Marzo</v>
      </c>
    </row>
    <row r="344" spans="3:16" hidden="1" x14ac:dyDescent="0.25">
      <c r="C344" t="s">
        <v>17</v>
      </c>
      <c r="D344">
        <v>53052001</v>
      </c>
      <c r="E344" t="s">
        <v>18</v>
      </c>
      <c r="F344" s="4">
        <v>57024.913999999997</v>
      </c>
      <c r="G344" t="s">
        <v>575</v>
      </c>
      <c r="H344" s="3">
        <v>45700</v>
      </c>
      <c r="I344" t="s">
        <v>576</v>
      </c>
      <c r="J344" t="s">
        <v>576</v>
      </c>
      <c r="K344" t="s">
        <v>31</v>
      </c>
      <c r="M344" t="s">
        <v>22</v>
      </c>
      <c r="N344">
        <f t="shared" si="17"/>
        <v>2025</v>
      </c>
      <c r="O344">
        <f t="shared" si="15"/>
        <v>2</v>
      </c>
      <c r="P344" t="str">
        <f t="shared" si="16"/>
        <v>Febrero</v>
      </c>
    </row>
    <row r="345" spans="3:16" hidden="1" x14ac:dyDescent="0.25">
      <c r="C345" t="s">
        <v>17</v>
      </c>
      <c r="D345">
        <v>53052001</v>
      </c>
      <c r="E345" t="s">
        <v>18</v>
      </c>
      <c r="F345" s="4">
        <v>33878.824350000003</v>
      </c>
      <c r="G345" t="s">
        <v>577</v>
      </c>
      <c r="H345" s="3">
        <v>45712</v>
      </c>
      <c r="I345" t="s">
        <v>578</v>
      </c>
      <c r="J345" t="s">
        <v>578</v>
      </c>
      <c r="K345" t="s">
        <v>27</v>
      </c>
      <c r="M345" t="s">
        <v>22</v>
      </c>
      <c r="N345">
        <f t="shared" si="17"/>
        <v>2025</v>
      </c>
      <c r="O345">
        <f t="shared" si="15"/>
        <v>2</v>
      </c>
      <c r="P345" t="str">
        <f t="shared" si="16"/>
        <v>Febrero</v>
      </c>
    </row>
    <row r="346" spans="3:16" hidden="1" x14ac:dyDescent="0.25">
      <c r="C346" t="s">
        <v>17</v>
      </c>
      <c r="D346">
        <v>53052001</v>
      </c>
      <c r="E346" t="s">
        <v>18</v>
      </c>
      <c r="F346" s="4">
        <v>29540.352999999999</v>
      </c>
      <c r="G346" t="s">
        <v>579</v>
      </c>
      <c r="H346" s="3">
        <v>45680</v>
      </c>
      <c r="I346" t="s">
        <v>580</v>
      </c>
      <c r="J346" t="s">
        <v>580</v>
      </c>
      <c r="K346" t="s">
        <v>27</v>
      </c>
      <c r="M346" t="s">
        <v>93</v>
      </c>
      <c r="N346">
        <f t="shared" si="17"/>
        <v>2025</v>
      </c>
      <c r="O346">
        <f t="shared" si="15"/>
        <v>1</v>
      </c>
      <c r="P346" t="str">
        <f t="shared" si="16"/>
        <v>Enero</v>
      </c>
    </row>
    <row r="347" spans="3:16" hidden="1" x14ac:dyDescent="0.25">
      <c r="C347" t="s">
        <v>17</v>
      </c>
      <c r="D347">
        <v>53052001</v>
      </c>
      <c r="E347" t="s">
        <v>18</v>
      </c>
      <c r="F347" s="4">
        <v>29851.094290000001</v>
      </c>
      <c r="G347" t="s">
        <v>581</v>
      </c>
      <c r="H347" s="3">
        <v>45712</v>
      </c>
      <c r="I347" t="s">
        <v>582</v>
      </c>
      <c r="J347" t="s">
        <v>582</v>
      </c>
      <c r="K347" t="s">
        <v>27</v>
      </c>
      <c r="M347" t="s">
        <v>22</v>
      </c>
      <c r="N347">
        <f t="shared" si="17"/>
        <v>2025</v>
      </c>
      <c r="O347">
        <f t="shared" si="15"/>
        <v>2</v>
      </c>
      <c r="P347" t="str">
        <f t="shared" si="16"/>
        <v>Febrero</v>
      </c>
    </row>
    <row r="348" spans="3:16" hidden="1" x14ac:dyDescent="0.25">
      <c r="C348" t="s">
        <v>17</v>
      </c>
      <c r="D348">
        <v>53052001</v>
      </c>
      <c r="E348" t="s">
        <v>18</v>
      </c>
      <c r="F348" s="4">
        <v>2551.1579999999999</v>
      </c>
      <c r="G348" t="s">
        <v>583</v>
      </c>
      <c r="H348" s="3">
        <v>45848</v>
      </c>
      <c r="I348" t="s">
        <v>584</v>
      </c>
      <c r="J348" t="s">
        <v>584</v>
      </c>
      <c r="K348" t="s">
        <v>27</v>
      </c>
      <c r="M348" t="s">
        <v>22</v>
      </c>
      <c r="N348">
        <f t="shared" si="17"/>
        <v>2025</v>
      </c>
      <c r="O348">
        <f t="shared" si="15"/>
        <v>7</v>
      </c>
      <c r="P348" t="str">
        <f t="shared" si="16"/>
        <v>Julio</v>
      </c>
    </row>
    <row r="349" spans="3:16" hidden="1" x14ac:dyDescent="0.25">
      <c r="C349" t="s">
        <v>17</v>
      </c>
      <c r="D349">
        <v>53052001</v>
      </c>
      <c r="E349" t="s">
        <v>18</v>
      </c>
      <c r="F349" s="4">
        <v>12442.77</v>
      </c>
      <c r="G349" t="s">
        <v>585</v>
      </c>
      <c r="H349" s="3">
        <v>45820</v>
      </c>
      <c r="I349" t="s">
        <v>586</v>
      </c>
      <c r="J349" t="s">
        <v>586</v>
      </c>
      <c r="K349" t="s">
        <v>69</v>
      </c>
      <c r="N349">
        <f t="shared" si="17"/>
        <v>2025</v>
      </c>
      <c r="O349">
        <f t="shared" si="15"/>
        <v>6</v>
      </c>
      <c r="P349" t="str">
        <f t="shared" si="16"/>
        <v>Junio</v>
      </c>
    </row>
    <row r="350" spans="3:16" hidden="1" x14ac:dyDescent="0.25">
      <c r="C350" t="s">
        <v>17</v>
      </c>
      <c r="D350">
        <v>53052001</v>
      </c>
      <c r="E350" t="s">
        <v>18</v>
      </c>
      <c r="F350" s="11">
        <v>1443.527</v>
      </c>
      <c r="G350" t="s">
        <v>587</v>
      </c>
      <c r="H350" s="3">
        <v>45757</v>
      </c>
      <c r="I350" t="s">
        <v>588</v>
      </c>
      <c r="J350" t="s">
        <v>588</v>
      </c>
      <c r="K350" t="s">
        <v>27</v>
      </c>
      <c r="M350" t="s">
        <v>93</v>
      </c>
      <c r="N350">
        <f t="shared" si="17"/>
        <v>2025</v>
      </c>
      <c r="O350">
        <f t="shared" si="15"/>
        <v>4</v>
      </c>
      <c r="P350" t="str">
        <f t="shared" si="16"/>
        <v>Abril</v>
      </c>
    </row>
    <row r="351" spans="3:16" hidden="1" x14ac:dyDescent="0.25">
      <c r="C351" t="s">
        <v>17</v>
      </c>
      <c r="D351">
        <v>53052001</v>
      </c>
      <c r="E351" t="s">
        <v>18</v>
      </c>
      <c r="F351">
        <v>2253.3958299999999</v>
      </c>
      <c r="G351" t="s">
        <v>589</v>
      </c>
      <c r="H351" s="3">
        <v>45806</v>
      </c>
      <c r="I351" t="s">
        <v>590</v>
      </c>
      <c r="J351" t="s">
        <v>590</v>
      </c>
      <c r="K351" t="s">
        <v>41</v>
      </c>
      <c r="N351">
        <f t="shared" si="17"/>
        <v>2025</v>
      </c>
      <c r="O351">
        <f t="shared" si="15"/>
        <v>5</v>
      </c>
      <c r="P351" t="str">
        <f t="shared" si="16"/>
        <v>Mayo</v>
      </c>
    </row>
    <row r="352" spans="3:16" hidden="1" x14ac:dyDescent="0.25">
      <c r="C352" t="s">
        <v>17</v>
      </c>
      <c r="D352">
        <v>53052001</v>
      </c>
      <c r="E352" t="s">
        <v>18</v>
      </c>
      <c r="F352" s="4">
        <v>2640.0929999999998</v>
      </c>
      <c r="G352" t="s">
        <v>591</v>
      </c>
      <c r="H352" s="3">
        <v>45824</v>
      </c>
      <c r="I352" t="s">
        <v>592</v>
      </c>
      <c r="J352" t="s">
        <v>592</v>
      </c>
      <c r="K352" t="s">
        <v>27</v>
      </c>
      <c r="N352">
        <f t="shared" si="17"/>
        <v>2025</v>
      </c>
      <c r="O352">
        <f t="shared" si="15"/>
        <v>6</v>
      </c>
      <c r="P352" t="str">
        <f t="shared" si="16"/>
        <v>Junio</v>
      </c>
    </row>
    <row r="353" spans="3:16" hidden="1" x14ac:dyDescent="0.25">
      <c r="C353" t="s">
        <v>17</v>
      </c>
      <c r="D353">
        <v>53052001</v>
      </c>
      <c r="E353" t="s">
        <v>18</v>
      </c>
      <c r="F353">
        <v>1379.271</v>
      </c>
      <c r="G353" t="s">
        <v>593</v>
      </c>
      <c r="H353" s="3">
        <v>45789</v>
      </c>
      <c r="I353" t="s">
        <v>594</v>
      </c>
      <c r="J353" t="s">
        <v>594</v>
      </c>
      <c r="K353" t="s">
        <v>27</v>
      </c>
      <c r="N353">
        <f t="shared" si="17"/>
        <v>2025</v>
      </c>
      <c r="O353">
        <f t="shared" si="15"/>
        <v>5</v>
      </c>
      <c r="P353" t="str">
        <f t="shared" si="16"/>
        <v>Mayo</v>
      </c>
    </row>
    <row r="354" spans="3:16" hidden="1" x14ac:dyDescent="0.25">
      <c r="C354" t="s">
        <v>17</v>
      </c>
      <c r="D354">
        <v>53052001</v>
      </c>
      <c r="E354" t="s">
        <v>18</v>
      </c>
      <c r="F354" s="4">
        <v>42295.249429999996</v>
      </c>
      <c r="G354" t="s">
        <v>595</v>
      </c>
      <c r="H354" s="3">
        <v>45835</v>
      </c>
      <c r="I354" t="s">
        <v>596</v>
      </c>
      <c r="J354" t="s">
        <v>596</v>
      </c>
      <c r="K354" t="s">
        <v>37</v>
      </c>
      <c r="N354">
        <f t="shared" si="17"/>
        <v>2025</v>
      </c>
      <c r="O354">
        <f t="shared" si="15"/>
        <v>6</v>
      </c>
      <c r="P354" t="str">
        <f t="shared" si="16"/>
        <v>Junio</v>
      </c>
    </row>
    <row r="355" spans="3:16" hidden="1" x14ac:dyDescent="0.25">
      <c r="C355" t="s">
        <v>17</v>
      </c>
      <c r="D355">
        <v>53052001</v>
      </c>
      <c r="E355" t="s">
        <v>18</v>
      </c>
      <c r="F355">
        <v>38960</v>
      </c>
      <c r="G355" t="s">
        <v>597</v>
      </c>
      <c r="H355" s="3">
        <v>45811</v>
      </c>
      <c r="I355" t="s">
        <v>598</v>
      </c>
      <c r="J355" t="s">
        <v>598</v>
      </c>
      <c r="K355" t="s">
        <v>31</v>
      </c>
      <c r="N355">
        <f t="shared" si="17"/>
        <v>2025</v>
      </c>
      <c r="O355">
        <f t="shared" si="15"/>
        <v>6</v>
      </c>
      <c r="P355" t="str">
        <f t="shared" si="16"/>
        <v>Junio</v>
      </c>
    </row>
    <row r="356" spans="3:16" hidden="1" x14ac:dyDescent="0.25">
      <c r="C356" t="s">
        <v>17</v>
      </c>
      <c r="D356">
        <v>53052001</v>
      </c>
      <c r="E356" t="s">
        <v>18</v>
      </c>
      <c r="F356" s="4">
        <v>42023.606</v>
      </c>
      <c r="G356" t="s">
        <v>599</v>
      </c>
      <c r="H356" s="3">
        <v>45852</v>
      </c>
      <c r="I356" t="s">
        <v>600</v>
      </c>
      <c r="J356" t="s">
        <v>600</v>
      </c>
      <c r="K356" t="s">
        <v>31</v>
      </c>
      <c r="M356" t="s">
        <v>22</v>
      </c>
      <c r="N356">
        <f t="shared" si="17"/>
        <v>2025</v>
      </c>
      <c r="O356">
        <f t="shared" si="15"/>
        <v>7</v>
      </c>
      <c r="P356" t="str">
        <f t="shared" si="16"/>
        <v>Julio</v>
      </c>
    </row>
    <row r="357" spans="3:16" hidden="1" x14ac:dyDescent="0.25">
      <c r="C357" t="s">
        <v>17</v>
      </c>
      <c r="D357">
        <v>53052001</v>
      </c>
      <c r="E357" t="s">
        <v>18</v>
      </c>
      <c r="F357" s="4">
        <v>256579.24900000001</v>
      </c>
      <c r="G357" t="s">
        <v>601</v>
      </c>
      <c r="H357" s="3">
        <v>45741</v>
      </c>
      <c r="I357" t="s">
        <v>602</v>
      </c>
      <c r="J357" t="s">
        <v>602</v>
      </c>
      <c r="K357" t="s">
        <v>31</v>
      </c>
      <c r="M357" t="s">
        <v>22</v>
      </c>
      <c r="N357">
        <f t="shared" si="17"/>
        <v>2025</v>
      </c>
      <c r="O357">
        <f t="shared" si="15"/>
        <v>3</v>
      </c>
      <c r="P357" t="str">
        <f t="shared" si="16"/>
        <v>Marzo</v>
      </c>
    </row>
    <row r="358" spans="3:16" hidden="1" x14ac:dyDescent="0.25">
      <c r="C358" t="s">
        <v>17</v>
      </c>
      <c r="D358">
        <v>53052001</v>
      </c>
      <c r="E358" t="s">
        <v>18</v>
      </c>
      <c r="F358" s="4">
        <v>12866.659</v>
      </c>
      <c r="G358" t="s">
        <v>603</v>
      </c>
      <c r="H358" s="3">
        <v>45825</v>
      </c>
      <c r="I358" t="s">
        <v>604</v>
      </c>
      <c r="J358" t="s">
        <v>604</v>
      </c>
      <c r="K358" t="s">
        <v>31</v>
      </c>
      <c r="N358">
        <f t="shared" si="17"/>
        <v>2025</v>
      </c>
      <c r="O358">
        <f t="shared" si="15"/>
        <v>6</v>
      </c>
      <c r="P358" t="str">
        <f t="shared" si="16"/>
        <v>Junio</v>
      </c>
    </row>
    <row r="359" spans="3:16" hidden="1" x14ac:dyDescent="0.25">
      <c r="C359" t="s">
        <v>17</v>
      </c>
      <c r="D359">
        <v>53052001</v>
      </c>
      <c r="E359" t="s">
        <v>18</v>
      </c>
      <c r="F359">
        <v>38795</v>
      </c>
      <c r="G359" t="s">
        <v>605</v>
      </c>
      <c r="H359" s="3">
        <v>45817</v>
      </c>
      <c r="I359" t="s">
        <v>606</v>
      </c>
      <c r="J359" t="s">
        <v>606</v>
      </c>
      <c r="K359" t="s">
        <v>31</v>
      </c>
      <c r="N359">
        <f t="shared" si="17"/>
        <v>2025</v>
      </c>
      <c r="O359">
        <f t="shared" si="15"/>
        <v>6</v>
      </c>
      <c r="P359" t="str">
        <f t="shared" si="16"/>
        <v>Junio</v>
      </c>
    </row>
    <row r="360" spans="3:16" hidden="1" x14ac:dyDescent="0.25">
      <c r="C360" t="s">
        <v>17</v>
      </c>
      <c r="D360">
        <v>53052001</v>
      </c>
      <c r="E360" t="s">
        <v>18</v>
      </c>
      <c r="F360">
        <v>5013.61114</v>
      </c>
      <c r="G360" t="s">
        <v>607</v>
      </c>
      <c r="H360" s="3">
        <v>45813</v>
      </c>
      <c r="I360" t="s">
        <v>608</v>
      </c>
      <c r="J360" t="s">
        <v>608</v>
      </c>
      <c r="K360" t="s">
        <v>27</v>
      </c>
      <c r="N360">
        <f t="shared" si="17"/>
        <v>2025</v>
      </c>
      <c r="O360">
        <f t="shared" si="15"/>
        <v>6</v>
      </c>
      <c r="P360" t="str">
        <f t="shared" si="16"/>
        <v>Junio</v>
      </c>
    </row>
    <row r="361" spans="3:16" hidden="1" x14ac:dyDescent="0.25">
      <c r="C361" t="s">
        <v>17</v>
      </c>
      <c r="D361">
        <v>53052001</v>
      </c>
      <c r="E361" t="s">
        <v>18</v>
      </c>
      <c r="F361" s="4">
        <v>27191.258000000002</v>
      </c>
      <c r="G361" t="s">
        <v>609</v>
      </c>
      <c r="H361" s="3">
        <v>45741</v>
      </c>
      <c r="I361" t="s">
        <v>610</v>
      </c>
      <c r="J361" t="s">
        <v>610</v>
      </c>
      <c r="K361" t="s">
        <v>27</v>
      </c>
      <c r="M361" t="s">
        <v>22</v>
      </c>
      <c r="N361">
        <f t="shared" si="17"/>
        <v>2025</v>
      </c>
      <c r="O361">
        <f t="shared" si="15"/>
        <v>3</v>
      </c>
      <c r="P361" t="str">
        <f t="shared" si="16"/>
        <v>Marzo</v>
      </c>
    </row>
    <row r="362" spans="3:16" hidden="1" x14ac:dyDescent="0.25">
      <c r="C362" t="s">
        <v>17</v>
      </c>
      <c r="D362">
        <v>53052001</v>
      </c>
      <c r="E362" t="s">
        <v>18</v>
      </c>
      <c r="F362">
        <v>28892.387999999999</v>
      </c>
      <c r="G362" t="s">
        <v>611</v>
      </c>
      <c r="H362" s="3">
        <v>45803</v>
      </c>
      <c r="I362" t="s">
        <v>612</v>
      </c>
      <c r="J362" t="s">
        <v>612</v>
      </c>
      <c r="K362" t="s">
        <v>27</v>
      </c>
      <c r="N362">
        <f t="shared" si="17"/>
        <v>2025</v>
      </c>
      <c r="O362">
        <f t="shared" si="15"/>
        <v>5</v>
      </c>
      <c r="P362" t="str">
        <f t="shared" si="16"/>
        <v>Mayo</v>
      </c>
    </row>
    <row r="363" spans="3:16" hidden="1" x14ac:dyDescent="0.25">
      <c r="C363" t="s">
        <v>17</v>
      </c>
      <c r="D363">
        <v>53052001</v>
      </c>
      <c r="E363" t="s">
        <v>18</v>
      </c>
      <c r="F363" s="4">
        <v>2461.59375</v>
      </c>
      <c r="G363" t="s">
        <v>613</v>
      </c>
      <c r="H363" s="3">
        <v>45715</v>
      </c>
      <c r="I363" t="s">
        <v>614</v>
      </c>
      <c r="J363" t="s">
        <v>615</v>
      </c>
      <c r="K363" t="s">
        <v>41</v>
      </c>
      <c r="M363" t="s">
        <v>22</v>
      </c>
      <c r="N363">
        <f t="shared" si="17"/>
        <v>2025</v>
      </c>
      <c r="O363">
        <f t="shared" si="15"/>
        <v>2</v>
      </c>
      <c r="P363" t="str">
        <f t="shared" si="16"/>
        <v>Febrero</v>
      </c>
    </row>
    <row r="364" spans="3:16" hidden="1" x14ac:dyDescent="0.25">
      <c r="C364" t="s">
        <v>17</v>
      </c>
      <c r="D364">
        <v>53052001</v>
      </c>
      <c r="E364" t="s">
        <v>18</v>
      </c>
      <c r="F364" s="4">
        <v>53881.330999999998</v>
      </c>
      <c r="G364" t="s">
        <v>616</v>
      </c>
      <c r="H364" s="3">
        <v>45722</v>
      </c>
      <c r="I364" t="s">
        <v>617</v>
      </c>
      <c r="J364" t="s">
        <v>617</v>
      </c>
      <c r="K364" t="s">
        <v>35</v>
      </c>
      <c r="M364" t="s">
        <v>22</v>
      </c>
      <c r="N364">
        <f t="shared" si="17"/>
        <v>2025</v>
      </c>
      <c r="O364">
        <f t="shared" si="15"/>
        <v>3</v>
      </c>
      <c r="P364" t="str">
        <f t="shared" si="16"/>
        <v>Marzo</v>
      </c>
    </row>
    <row r="365" spans="3:16" hidden="1" x14ac:dyDescent="0.25">
      <c r="C365" t="s">
        <v>17</v>
      </c>
      <c r="D365">
        <v>53052001</v>
      </c>
      <c r="E365" t="s">
        <v>18</v>
      </c>
      <c r="F365" s="4">
        <v>39136.667000000001</v>
      </c>
      <c r="G365" t="s">
        <v>618</v>
      </c>
      <c r="H365" s="3">
        <v>45691</v>
      </c>
      <c r="I365" t="s">
        <v>619</v>
      </c>
      <c r="J365" t="s">
        <v>619</v>
      </c>
      <c r="K365" t="s">
        <v>31</v>
      </c>
      <c r="M365" t="s">
        <v>22</v>
      </c>
      <c r="N365">
        <f t="shared" si="17"/>
        <v>2025</v>
      </c>
      <c r="O365">
        <f t="shared" si="15"/>
        <v>2</v>
      </c>
      <c r="P365" t="str">
        <f t="shared" si="16"/>
        <v>Febrero</v>
      </c>
    </row>
    <row r="366" spans="3:16" hidden="1" x14ac:dyDescent="0.25">
      <c r="C366" t="s">
        <v>17</v>
      </c>
      <c r="D366">
        <v>53052001</v>
      </c>
      <c r="E366" t="s">
        <v>18</v>
      </c>
      <c r="F366" s="4">
        <v>50810.766219999998</v>
      </c>
      <c r="G366" t="s">
        <v>620</v>
      </c>
      <c r="H366" s="3">
        <v>45714</v>
      </c>
      <c r="I366" t="s">
        <v>621</v>
      </c>
      <c r="J366" t="s">
        <v>621</v>
      </c>
      <c r="K366" t="s">
        <v>69</v>
      </c>
      <c r="M366" t="s">
        <v>22</v>
      </c>
      <c r="N366">
        <f t="shared" si="17"/>
        <v>2025</v>
      </c>
      <c r="O366">
        <f t="shared" si="15"/>
        <v>2</v>
      </c>
      <c r="P366" t="str">
        <f t="shared" si="16"/>
        <v>Febrero</v>
      </c>
    </row>
    <row r="367" spans="3:16" hidden="1" x14ac:dyDescent="0.25">
      <c r="C367" t="s">
        <v>17</v>
      </c>
      <c r="D367">
        <v>53052001</v>
      </c>
      <c r="E367" t="s">
        <v>18</v>
      </c>
      <c r="F367" s="4">
        <v>27097.412550000001</v>
      </c>
      <c r="G367" t="s">
        <v>622</v>
      </c>
      <c r="H367" s="3">
        <v>45684</v>
      </c>
      <c r="I367" t="s">
        <v>623</v>
      </c>
      <c r="J367" t="s">
        <v>623</v>
      </c>
      <c r="K367" t="s">
        <v>69</v>
      </c>
      <c r="M367" t="s">
        <v>93</v>
      </c>
      <c r="N367">
        <f t="shared" si="17"/>
        <v>2025</v>
      </c>
      <c r="O367">
        <f t="shared" si="15"/>
        <v>1</v>
      </c>
      <c r="P367" t="str">
        <f t="shared" si="16"/>
        <v>Enero</v>
      </c>
    </row>
    <row r="368" spans="3:16" hidden="1" x14ac:dyDescent="0.25">
      <c r="C368" t="s">
        <v>17</v>
      </c>
      <c r="D368">
        <v>53052001</v>
      </c>
      <c r="E368" t="s">
        <v>18</v>
      </c>
      <c r="F368">
        <v>13113.796</v>
      </c>
      <c r="G368" t="s">
        <v>624</v>
      </c>
      <c r="H368" s="3">
        <v>45796</v>
      </c>
      <c r="I368" t="s">
        <v>625</v>
      </c>
      <c r="J368" t="s">
        <v>625</v>
      </c>
      <c r="K368" t="s">
        <v>31</v>
      </c>
      <c r="N368">
        <f t="shared" si="17"/>
        <v>2025</v>
      </c>
      <c r="O368">
        <f t="shared" si="15"/>
        <v>5</v>
      </c>
      <c r="P368" t="str">
        <f t="shared" si="16"/>
        <v>Mayo</v>
      </c>
    </row>
    <row r="369" spans="3:16" hidden="1" x14ac:dyDescent="0.25">
      <c r="C369" t="s">
        <v>17</v>
      </c>
      <c r="D369">
        <v>53052001</v>
      </c>
      <c r="E369" t="s">
        <v>18</v>
      </c>
      <c r="F369" s="4">
        <v>29272.162</v>
      </c>
      <c r="G369" t="s">
        <v>626</v>
      </c>
      <c r="H369" s="3">
        <v>45894</v>
      </c>
      <c r="I369" t="s">
        <v>627</v>
      </c>
      <c r="J369" t="s">
        <v>627</v>
      </c>
      <c r="K369" t="s">
        <v>27</v>
      </c>
      <c r="N369">
        <f t="shared" si="17"/>
        <v>2025</v>
      </c>
      <c r="O369">
        <f t="shared" si="15"/>
        <v>8</v>
      </c>
      <c r="P369" t="str">
        <f t="shared" si="16"/>
        <v>Agosto</v>
      </c>
    </row>
    <row r="370" spans="3:16" hidden="1" x14ac:dyDescent="0.25">
      <c r="C370" t="s">
        <v>17</v>
      </c>
      <c r="D370">
        <v>53052001</v>
      </c>
      <c r="E370" t="s">
        <v>18</v>
      </c>
      <c r="F370" s="4">
        <v>2090.8845000000001</v>
      </c>
      <c r="G370" t="s">
        <v>628</v>
      </c>
      <c r="H370" s="3">
        <v>45701</v>
      </c>
      <c r="I370" t="s">
        <v>629</v>
      </c>
      <c r="J370" t="s">
        <v>629</v>
      </c>
      <c r="K370" t="s">
        <v>69</v>
      </c>
      <c r="M370" t="s">
        <v>22</v>
      </c>
      <c r="N370">
        <f t="shared" si="17"/>
        <v>2025</v>
      </c>
      <c r="O370">
        <f t="shared" si="15"/>
        <v>2</v>
      </c>
      <c r="P370" t="str">
        <f t="shared" si="16"/>
        <v>Febrero</v>
      </c>
    </row>
    <row r="371" spans="3:16" hidden="1" x14ac:dyDescent="0.25">
      <c r="C371" t="s">
        <v>17</v>
      </c>
      <c r="D371">
        <v>53052001</v>
      </c>
      <c r="E371" t="s">
        <v>18</v>
      </c>
      <c r="F371" s="4">
        <v>1348.2</v>
      </c>
      <c r="G371" t="s">
        <v>630</v>
      </c>
      <c r="H371" s="3">
        <v>45880</v>
      </c>
      <c r="I371" t="s">
        <v>631</v>
      </c>
      <c r="J371" t="s">
        <v>631</v>
      </c>
      <c r="K371" t="s">
        <v>27</v>
      </c>
      <c r="M371" t="s">
        <v>93</v>
      </c>
      <c r="N371">
        <f t="shared" si="17"/>
        <v>2025</v>
      </c>
      <c r="O371">
        <f t="shared" si="15"/>
        <v>8</v>
      </c>
      <c r="P371" t="str">
        <f t="shared" si="16"/>
        <v>Agosto</v>
      </c>
    </row>
    <row r="372" spans="3:16" hidden="1" x14ac:dyDescent="0.25">
      <c r="C372" t="s">
        <v>17</v>
      </c>
      <c r="D372">
        <v>53052001</v>
      </c>
      <c r="E372" t="s">
        <v>18</v>
      </c>
      <c r="F372">
        <v>21742.255000000001</v>
      </c>
      <c r="G372" t="s">
        <v>632</v>
      </c>
      <c r="H372" s="3">
        <v>45803</v>
      </c>
      <c r="I372" t="s">
        <v>633</v>
      </c>
      <c r="J372" t="s">
        <v>633</v>
      </c>
      <c r="K372" t="s">
        <v>69</v>
      </c>
      <c r="N372">
        <f t="shared" si="17"/>
        <v>2025</v>
      </c>
      <c r="O372">
        <f t="shared" si="15"/>
        <v>5</v>
      </c>
      <c r="P372" t="str">
        <f t="shared" si="16"/>
        <v>Mayo</v>
      </c>
    </row>
    <row r="373" spans="3:16" hidden="1" x14ac:dyDescent="0.25">
      <c r="C373" t="s">
        <v>17</v>
      </c>
      <c r="D373">
        <v>53052001</v>
      </c>
      <c r="E373" t="s">
        <v>18</v>
      </c>
      <c r="F373">
        <v>2671.4</v>
      </c>
      <c r="G373" t="s">
        <v>634</v>
      </c>
      <c r="H373" s="3">
        <v>45812</v>
      </c>
      <c r="I373" t="s">
        <v>635</v>
      </c>
      <c r="J373" t="s">
        <v>635</v>
      </c>
      <c r="K373" t="s">
        <v>27</v>
      </c>
      <c r="N373">
        <f t="shared" si="17"/>
        <v>2025</v>
      </c>
      <c r="O373">
        <f t="shared" si="15"/>
        <v>6</v>
      </c>
      <c r="P373" t="str">
        <f t="shared" si="16"/>
        <v>Junio</v>
      </c>
    </row>
    <row r="374" spans="3:16" hidden="1" x14ac:dyDescent="0.25">
      <c r="C374" t="s">
        <v>17</v>
      </c>
      <c r="D374">
        <v>53052001</v>
      </c>
      <c r="E374" t="s">
        <v>18</v>
      </c>
      <c r="F374" s="4">
        <v>27442.849719999998</v>
      </c>
      <c r="G374" t="s">
        <v>636</v>
      </c>
      <c r="H374" s="3">
        <v>45895</v>
      </c>
      <c r="I374" t="s">
        <v>637</v>
      </c>
      <c r="J374" t="s">
        <v>637</v>
      </c>
      <c r="K374" t="s">
        <v>69</v>
      </c>
      <c r="N374">
        <f t="shared" si="17"/>
        <v>2025</v>
      </c>
      <c r="O374">
        <f t="shared" si="15"/>
        <v>8</v>
      </c>
      <c r="P374" t="str">
        <f t="shared" si="16"/>
        <v>Agosto</v>
      </c>
    </row>
    <row r="375" spans="3:16" hidden="1" x14ac:dyDescent="0.25">
      <c r="C375" t="s">
        <v>17</v>
      </c>
      <c r="D375">
        <v>53052001</v>
      </c>
      <c r="E375" t="s">
        <v>18</v>
      </c>
      <c r="F375" s="4">
        <v>21352.69025</v>
      </c>
      <c r="G375" t="s">
        <v>638</v>
      </c>
      <c r="H375" s="3">
        <v>45895</v>
      </c>
      <c r="I375" t="s">
        <v>639</v>
      </c>
      <c r="J375" t="s">
        <v>639</v>
      </c>
      <c r="K375" t="s">
        <v>69</v>
      </c>
      <c r="N375">
        <f t="shared" si="17"/>
        <v>2025</v>
      </c>
      <c r="O375">
        <f t="shared" si="15"/>
        <v>8</v>
      </c>
      <c r="P375" t="str">
        <f t="shared" si="16"/>
        <v>Agosto</v>
      </c>
    </row>
    <row r="376" spans="3:16" hidden="1" x14ac:dyDescent="0.25">
      <c r="C376" t="s">
        <v>17</v>
      </c>
      <c r="D376">
        <v>53052001</v>
      </c>
      <c r="E376" t="s">
        <v>18</v>
      </c>
      <c r="F376" s="5">
        <v>1323.9</v>
      </c>
      <c r="G376" s="6" t="s">
        <v>640</v>
      </c>
      <c r="H376" s="7">
        <v>45854</v>
      </c>
      <c r="I376" s="6" t="s">
        <v>641</v>
      </c>
      <c r="J376" s="6" t="s">
        <v>641</v>
      </c>
      <c r="K376" s="6" t="s">
        <v>27</v>
      </c>
      <c r="L376" s="6" t="s">
        <v>642</v>
      </c>
      <c r="M376" t="s">
        <v>22</v>
      </c>
      <c r="N376">
        <f t="shared" si="17"/>
        <v>2025</v>
      </c>
      <c r="O376">
        <f t="shared" si="15"/>
        <v>7</v>
      </c>
      <c r="P376" t="str">
        <f t="shared" si="16"/>
        <v>Julio</v>
      </c>
    </row>
    <row r="377" spans="3:16" hidden="1" x14ac:dyDescent="0.25">
      <c r="C377" t="s">
        <v>17</v>
      </c>
      <c r="D377">
        <v>53052001</v>
      </c>
      <c r="E377" t="s">
        <v>18</v>
      </c>
      <c r="F377">
        <v>40298.375350000002</v>
      </c>
      <c r="G377" t="s">
        <v>643</v>
      </c>
      <c r="H377" s="3">
        <v>45803</v>
      </c>
      <c r="I377" t="s">
        <v>644</v>
      </c>
      <c r="J377" t="s">
        <v>644</v>
      </c>
      <c r="K377" t="s">
        <v>69</v>
      </c>
      <c r="N377">
        <f t="shared" si="17"/>
        <v>2025</v>
      </c>
      <c r="O377">
        <f t="shared" si="15"/>
        <v>5</v>
      </c>
      <c r="P377" t="str">
        <f t="shared" si="16"/>
        <v>Mayo</v>
      </c>
    </row>
    <row r="378" spans="3:16" hidden="1" x14ac:dyDescent="0.25">
      <c r="C378" t="s">
        <v>17</v>
      </c>
      <c r="D378">
        <v>53052001</v>
      </c>
      <c r="E378" t="s">
        <v>18</v>
      </c>
      <c r="F378" s="4">
        <v>28690.932000000001</v>
      </c>
      <c r="G378" t="s">
        <v>645</v>
      </c>
      <c r="H378" s="3">
        <v>45835</v>
      </c>
      <c r="I378" t="s">
        <v>646</v>
      </c>
      <c r="J378" t="s">
        <v>646</v>
      </c>
      <c r="K378" t="s">
        <v>69</v>
      </c>
      <c r="N378">
        <f t="shared" si="17"/>
        <v>2025</v>
      </c>
      <c r="O378">
        <f t="shared" si="15"/>
        <v>6</v>
      </c>
      <c r="P378" t="str">
        <f t="shared" si="16"/>
        <v>Junio</v>
      </c>
    </row>
    <row r="379" spans="3:16" hidden="1" x14ac:dyDescent="0.25">
      <c r="C379" t="s">
        <v>17</v>
      </c>
      <c r="D379">
        <v>53052001</v>
      </c>
      <c r="E379" t="s">
        <v>18</v>
      </c>
      <c r="F379" s="4">
        <v>22092.019</v>
      </c>
      <c r="G379" t="s">
        <v>647</v>
      </c>
      <c r="H379" s="3">
        <v>45835</v>
      </c>
      <c r="I379" t="s">
        <v>648</v>
      </c>
      <c r="J379" t="s">
        <v>648</v>
      </c>
      <c r="K379" t="s">
        <v>69</v>
      </c>
      <c r="N379">
        <f t="shared" si="17"/>
        <v>2025</v>
      </c>
      <c r="O379">
        <f t="shared" si="15"/>
        <v>6</v>
      </c>
      <c r="P379" t="str">
        <f t="shared" si="16"/>
        <v>Junio</v>
      </c>
    </row>
    <row r="380" spans="3:16" hidden="1" x14ac:dyDescent="0.25">
      <c r="C380" t="s">
        <v>17</v>
      </c>
      <c r="D380">
        <v>53052001</v>
      </c>
      <c r="E380" t="s">
        <v>18</v>
      </c>
      <c r="F380">
        <v>16988.583329999998</v>
      </c>
      <c r="G380" t="s">
        <v>649</v>
      </c>
      <c r="H380" s="3">
        <v>45761</v>
      </c>
      <c r="I380" t="s">
        <v>650</v>
      </c>
      <c r="J380" t="s">
        <v>650</v>
      </c>
      <c r="K380" t="s">
        <v>69</v>
      </c>
      <c r="M380" t="s">
        <v>93</v>
      </c>
      <c r="N380">
        <f t="shared" si="17"/>
        <v>2025</v>
      </c>
      <c r="O380">
        <f t="shared" si="15"/>
        <v>4</v>
      </c>
      <c r="P380" t="str">
        <f t="shared" si="16"/>
        <v>Abril</v>
      </c>
    </row>
    <row r="381" spans="3:16" hidden="1" x14ac:dyDescent="0.25">
      <c r="C381" t="s">
        <v>17</v>
      </c>
      <c r="D381">
        <v>53052001</v>
      </c>
      <c r="E381" t="s">
        <v>18</v>
      </c>
      <c r="F381" s="4">
        <v>26268.905999999999</v>
      </c>
      <c r="G381" t="s">
        <v>651</v>
      </c>
      <c r="H381" s="3">
        <v>45848</v>
      </c>
      <c r="I381" t="s">
        <v>652</v>
      </c>
      <c r="J381" t="s">
        <v>652</v>
      </c>
      <c r="K381" t="s">
        <v>27</v>
      </c>
      <c r="M381" t="s">
        <v>22</v>
      </c>
      <c r="N381">
        <f t="shared" si="17"/>
        <v>2025</v>
      </c>
      <c r="O381">
        <f t="shared" si="15"/>
        <v>7</v>
      </c>
      <c r="P381" t="str">
        <f t="shared" si="16"/>
        <v>Julio</v>
      </c>
    </row>
    <row r="382" spans="3:16" hidden="1" x14ac:dyDescent="0.25">
      <c r="C382" t="s">
        <v>17</v>
      </c>
      <c r="D382">
        <v>53052001</v>
      </c>
      <c r="E382" t="s">
        <v>18</v>
      </c>
      <c r="F382" s="4">
        <v>2287.7784700000002</v>
      </c>
      <c r="G382" t="s">
        <v>653</v>
      </c>
      <c r="H382" s="3">
        <v>45835</v>
      </c>
      <c r="I382" t="s">
        <v>654</v>
      </c>
      <c r="J382" t="s">
        <v>654</v>
      </c>
      <c r="K382" t="s">
        <v>41</v>
      </c>
      <c r="N382">
        <f t="shared" si="17"/>
        <v>2025</v>
      </c>
      <c r="O382">
        <f t="shared" si="15"/>
        <v>6</v>
      </c>
      <c r="P382" t="str">
        <f t="shared" si="16"/>
        <v>Junio</v>
      </c>
    </row>
    <row r="383" spans="3:16" hidden="1" x14ac:dyDescent="0.25">
      <c r="C383" t="s">
        <v>17</v>
      </c>
      <c r="D383">
        <v>53052001</v>
      </c>
      <c r="E383" t="s">
        <v>18</v>
      </c>
      <c r="F383" s="4">
        <v>2313.375</v>
      </c>
      <c r="G383" t="s">
        <v>655</v>
      </c>
      <c r="H383" s="3">
        <v>45894</v>
      </c>
      <c r="I383" t="s">
        <v>656</v>
      </c>
      <c r="J383" t="s">
        <v>656</v>
      </c>
      <c r="K383" t="s">
        <v>41</v>
      </c>
      <c r="N383">
        <f t="shared" si="17"/>
        <v>2025</v>
      </c>
      <c r="O383">
        <f t="shared" si="15"/>
        <v>8</v>
      </c>
      <c r="P383" t="str">
        <f t="shared" si="16"/>
        <v>Agosto</v>
      </c>
    </row>
    <row r="384" spans="3:16" hidden="1" x14ac:dyDescent="0.25">
      <c r="C384" t="s">
        <v>17</v>
      </c>
      <c r="D384">
        <v>53052001</v>
      </c>
      <c r="E384" t="s">
        <v>18</v>
      </c>
      <c r="F384" s="4">
        <v>2318.0208299999999</v>
      </c>
      <c r="G384" t="s">
        <v>657</v>
      </c>
      <c r="H384" s="3">
        <v>45867</v>
      </c>
      <c r="I384" t="s">
        <v>658</v>
      </c>
      <c r="J384" t="s">
        <v>658</v>
      </c>
      <c r="K384" t="s">
        <v>41</v>
      </c>
      <c r="M384" t="s">
        <v>22</v>
      </c>
      <c r="N384">
        <f t="shared" si="17"/>
        <v>2025</v>
      </c>
      <c r="O384">
        <f t="shared" si="15"/>
        <v>7</v>
      </c>
      <c r="P384" t="str">
        <f t="shared" si="16"/>
        <v>Julio</v>
      </c>
    </row>
    <row r="385" spans="1:16" hidden="1" x14ac:dyDescent="0.25">
      <c r="C385" t="s">
        <v>17</v>
      </c>
      <c r="D385">
        <v>53052001</v>
      </c>
      <c r="E385" t="s">
        <v>18</v>
      </c>
      <c r="F385">
        <v>1473.4290000000001</v>
      </c>
      <c r="G385" t="s">
        <v>659</v>
      </c>
      <c r="H385" s="3">
        <v>45785</v>
      </c>
      <c r="I385" t="s">
        <v>660</v>
      </c>
      <c r="J385" t="s">
        <v>660</v>
      </c>
      <c r="K385" t="s">
        <v>27</v>
      </c>
      <c r="M385" t="s">
        <v>22</v>
      </c>
      <c r="N385">
        <f t="shared" si="17"/>
        <v>2025</v>
      </c>
      <c r="O385">
        <f t="shared" si="15"/>
        <v>5</v>
      </c>
      <c r="P385" t="str">
        <f t="shared" si="16"/>
        <v>Mayo</v>
      </c>
    </row>
    <row r="386" spans="1:16" hidden="1" x14ac:dyDescent="0.25">
      <c r="C386" t="s">
        <v>17</v>
      </c>
      <c r="D386">
        <v>53052001</v>
      </c>
      <c r="E386" t="s">
        <v>18</v>
      </c>
      <c r="F386" s="4">
        <v>39096.667000000001</v>
      </c>
      <c r="G386" t="s">
        <v>661</v>
      </c>
      <c r="H386" s="3">
        <v>45748</v>
      </c>
      <c r="I386" t="s">
        <v>662</v>
      </c>
      <c r="J386" t="s">
        <v>662</v>
      </c>
      <c r="K386" t="s">
        <v>31</v>
      </c>
      <c r="M386" t="s">
        <v>22</v>
      </c>
      <c r="N386">
        <f t="shared" si="17"/>
        <v>2025</v>
      </c>
      <c r="O386">
        <f t="shared" ref="O386:O449" si="18">+MONTH(H386)</f>
        <v>4</v>
      </c>
      <c r="P386" t="str">
        <f t="shared" ref="P386:P449" si="19">+VLOOKUP(O386,X:Y,2,0)</f>
        <v>Abril</v>
      </c>
    </row>
    <row r="387" spans="1:16" hidden="1" x14ac:dyDescent="0.25">
      <c r="C387" t="s">
        <v>17</v>
      </c>
      <c r="D387">
        <v>53052001</v>
      </c>
      <c r="E387" t="s">
        <v>18</v>
      </c>
      <c r="F387" s="4">
        <v>38380</v>
      </c>
      <c r="G387" t="s">
        <v>663</v>
      </c>
      <c r="H387" s="3">
        <v>45840</v>
      </c>
      <c r="I387" t="s">
        <v>664</v>
      </c>
      <c r="J387" t="s">
        <v>664</v>
      </c>
      <c r="K387" t="s">
        <v>31</v>
      </c>
      <c r="N387">
        <f t="shared" ref="N387:N450" si="20">+YEAR(H387)</f>
        <v>2025</v>
      </c>
      <c r="O387">
        <f t="shared" si="18"/>
        <v>7</v>
      </c>
      <c r="P387" t="str">
        <f t="shared" si="19"/>
        <v>Julio</v>
      </c>
    </row>
    <row r="388" spans="1:16" hidden="1" x14ac:dyDescent="0.25">
      <c r="C388" t="s">
        <v>17</v>
      </c>
      <c r="D388">
        <v>53052001</v>
      </c>
      <c r="E388" t="s">
        <v>18</v>
      </c>
      <c r="F388">
        <v>50006.163999999997</v>
      </c>
      <c r="G388" t="s">
        <v>665</v>
      </c>
      <c r="H388" s="3">
        <v>45761</v>
      </c>
      <c r="I388" t="s">
        <v>666</v>
      </c>
      <c r="J388" t="s">
        <v>667</v>
      </c>
      <c r="K388" t="s">
        <v>31</v>
      </c>
      <c r="M388" t="s">
        <v>93</v>
      </c>
      <c r="N388">
        <f t="shared" si="20"/>
        <v>2025</v>
      </c>
      <c r="O388">
        <f t="shared" si="18"/>
        <v>4</v>
      </c>
      <c r="P388" t="str">
        <f t="shared" si="19"/>
        <v>Abril</v>
      </c>
    </row>
    <row r="389" spans="1:16" hidden="1" x14ac:dyDescent="0.25">
      <c r="C389" t="s">
        <v>17</v>
      </c>
      <c r="D389">
        <v>53052001</v>
      </c>
      <c r="E389" t="s">
        <v>18</v>
      </c>
      <c r="F389" s="4">
        <v>42053.586000000003</v>
      </c>
      <c r="G389" t="s">
        <v>668</v>
      </c>
      <c r="H389" s="3">
        <v>45820</v>
      </c>
      <c r="I389" t="s">
        <v>669</v>
      </c>
      <c r="J389" t="s">
        <v>669</v>
      </c>
      <c r="K389" t="s">
        <v>31</v>
      </c>
      <c r="N389">
        <f t="shared" si="20"/>
        <v>2025</v>
      </c>
      <c r="O389">
        <f t="shared" si="18"/>
        <v>6</v>
      </c>
      <c r="P389" t="str">
        <f t="shared" si="19"/>
        <v>Junio</v>
      </c>
    </row>
    <row r="390" spans="1:16" hidden="1" x14ac:dyDescent="0.25">
      <c r="C390" t="s">
        <v>17</v>
      </c>
      <c r="D390">
        <v>53052001</v>
      </c>
      <c r="E390" t="s">
        <v>18</v>
      </c>
      <c r="F390">
        <v>39785.11</v>
      </c>
      <c r="G390" t="s">
        <v>670</v>
      </c>
      <c r="H390" s="3">
        <v>45785</v>
      </c>
      <c r="I390" t="s">
        <v>671</v>
      </c>
      <c r="J390" t="s">
        <v>671</v>
      </c>
      <c r="K390" t="s">
        <v>31</v>
      </c>
      <c r="N390">
        <f t="shared" si="20"/>
        <v>2025</v>
      </c>
      <c r="O390">
        <f t="shared" si="18"/>
        <v>5</v>
      </c>
      <c r="P390" t="str">
        <f t="shared" si="19"/>
        <v>Mayo</v>
      </c>
    </row>
    <row r="391" spans="1:16" hidden="1" x14ac:dyDescent="0.25">
      <c r="C391" t="s">
        <v>17</v>
      </c>
      <c r="D391">
        <v>53052001</v>
      </c>
      <c r="E391" t="s">
        <v>18</v>
      </c>
      <c r="F391" s="4">
        <v>35191.4421</v>
      </c>
      <c r="G391" t="s">
        <v>672</v>
      </c>
      <c r="H391" s="3">
        <v>45684</v>
      </c>
      <c r="I391" t="s">
        <v>673</v>
      </c>
      <c r="J391" t="s">
        <v>673</v>
      </c>
      <c r="K391" t="s">
        <v>69</v>
      </c>
      <c r="M391" t="s">
        <v>93</v>
      </c>
      <c r="N391">
        <f t="shared" si="20"/>
        <v>2025</v>
      </c>
      <c r="O391">
        <f t="shared" si="18"/>
        <v>1</v>
      </c>
      <c r="P391" t="str">
        <f t="shared" si="19"/>
        <v>Enero</v>
      </c>
    </row>
    <row r="392" spans="1:16" hidden="1" x14ac:dyDescent="0.25">
      <c r="A392" s="8"/>
      <c r="B392" s="8"/>
      <c r="C392" s="8" t="s">
        <v>17</v>
      </c>
      <c r="D392" s="8">
        <v>53052001</v>
      </c>
      <c r="E392" s="8" t="s">
        <v>18</v>
      </c>
      <c r="F392" s="9">
        <v>1357.6890000000001</v>
      </c>
      <c r="G392" s="8" t="s">
        <v>674</v>
      </c>
      <c r="H392" s="10">
        <v>45847</v>
      </c>
      <c r="I392" s="8" t="s">
        <v>675</v>
      </c>
      <c r="J392" s="8" t="s">
        <v>675</v>
      </c>
      <c r="K392" s="8" t="s">
        <v>27</v>
      </c>
      <c r="L392" s="8"/>
      <c r="M392" s="8" t="s">
        <v>22</v>
      </c>
      <c r="N392">
        <f t="shared" si="20"/>
        <v>2025</v>
      </c>
      <c r="O392" s="8">
        <f t="shared" si="18"/>
        <v>7</v>
      </c>
      <c r="P392" s="8" t="str">
        <f t="shared" si="19"/>
        <v>Julio</v>
      </c>
    </row>
    <row r="393" spans="1:16" hidden="1" x14ac:dyDescent="0.25">
      <c r="C393" t="s">
        <v>17</v>
      </c>
      <c r="D393">
        <v>53052001</v>
      </c>
      <c r="E393" t="s">
        <v>18</v>
      </c>
      <c r="F393" s="4">
        <v>41639.877</v>
      </c>
      <c r="G393" t="s">
        <v>676</v>
      </c>
      <c r="H393" s="3">
        <v>45894</v>
      </c>
      <c r="I393" t="s">
        <v>677</v>
      </c>
      <c r="J393" t="s">
        <v>677</v>
      </c>
      <c r="K393" t="s">
        <v>69</v>
      </c>
      <c r="N393">
        <f t="shared" si="20"/>
        <v>2025</v>
      </c>
      <c r="O393">
        <f t="shared" si="18"/>
        <v>8</v>
      </c>
      <c r="P393" t="str">
        <f t="shared" si="19"/>
        <v>Agosto</v>
      </c>
    </row>
    <row r="394" spans="1:16" hidden="1" x14ac:dyDescent="0.25">
      <c r="C394" t="s">
        <v>17</v>
      </c>
      <c r="D394">
        <v>53052001</v>
      </c>
      <c r="E394" t="s">
        <v>18</v>
      </c>
      <c r="F394" s="4">
        <v>1665.1179999999999</v>
      </c>
      <c r="G394" t="s">
        <v>678</v>
      </c>
      <c r="H394" s="3">
        <v>45698</v>
      </c>
      <c r="I394" t="s">
        <v>679</v>
      </c>
      <c r="J394" t="s">
        <v>679</v>
      </c>
      <c r="K394" t="s">
        <v>27</v>
      </c>
      <c r="M394" t="s">
        <v>22</v>
      </c>
      <c r="N394">
        <f t="shared" si="20"/>
        <v>2025</v>
      </c>
      <c r="O394">
        <f t="shared" si="18"/>
        <v>2</v>
      </c>
      <c r="P394" t="str">
        <f t="shared" si="19"/>
        <v>Febrero</v>
      </c>
    </row>
    <row r="395" spans="1:16" hidden="1" x14ac:dyDescent="0.25">
      <c r="C395" t="s">
        <v>17</v>
      </c>
      <c r="D395">
        <v>53052001</v>
      </c>
      <c r="E395" t="s">
        <v>18</v>
      </c>
      <c r="F395" s="11">
        <v>2623.2449999999999</v>
      </c>
      <c r="G395" t="s">
        <v>680</v>
      </c>
      <c r="H395" s="3">
        <v>45792</v>
      </c>
      <c r="I395" t="s">
        <v>681</v>
      </c>
      <c r="J395" t="s">
        <v>681</v>
      </c>
      <c r="K395" t="s">
        <v>27</v>
      </c>
      <c r="N395">
        <f t="shared" si="20"/>
        <v>2025</v>
      </c>
      <c r="O395">
        <f t="shared" si="18"/>
        <v>5</v>
      </c>
      <c r="P395" t="str">
        <f t="shared" si="19"/>
        <v>Mayo</v>
      </c>
    </row>
    <row r="396" spans="1:16" hidden="1" x14ac:dyDescent="0.25">
      <c r="C396" t="s">
        <v>17</v>
      </c>
      <c r="D396">
        <v>53052001</v>
      </c>
      <c r="E396" t="s">
        <v>18</v>
      </c>
      <c r="F396" s="12">
        <v>17066.105789999998</v>
      </c>
      <c r="G396" s="13" t="s">
        <v>682</v>
      </c>
      <c r="H396" s="14">
        <v>45846</v>
      </c>
      <c r="I396" s="13" t="s">
        <v>683</v>
      </c>
      <c r="J396" s="13" t="s">
        <v>683</v>
      </c>
      <c r="K396" t="s">
        <v>69</v>
      </c>
      <c r="N396">
        <f t="shared" si="20"/>
        <v>2025</v>
      </c>
      <c r="O396">
        <f t="shared" si="18"/>
        <v>7</v>
      </c>
      <c r="P396" t="str">
        <f t="shared" si="19"/>
        <v>Julio</v>
      </c>
    </row>
    <row r="397" spans="1:16" hidden="1" x14ac:dyDescent="0.25">
      <c r="C397" t="s">
        <v>17</v>
      </c>
      <c r="D397">
        <v>53052001</v>
      </c>
      <c r="E397" t="s">
        <v>18</v>
      </c>
      <c r="F397" s="4">
        <v>2517.4169999999999</v>
      </c>
      <c r="G397" t="s">
        <v>684</v>
      </c>
      <c r="H397" s="3">
        <v>45853</v>
      </c>
      <c r="I397" t="s">
        <v>685</v>
      </c>
      <c r="J397" t="s">
        <v>685</v>
      </c>
      <c r="K397" t="s">
        <v>27</v>
      </c>
      <c r="M397" t="s">
        <v>22</v>
      </c>
      <c r="N397">
        <f t="shared" si="20"/>
        <v>2025</v>
      </c>
      <c r="O397">
        <f t="shared" si="18"/>
        <v>7</v>
      </c>
      <c r="P397" t="str">
        <f t="shared" si="19"/>
        <v>Julio</v>
      </c>
    </row>
    <row r="398" spans="1:16" hidden="1" x14ac:dyDescent="0.25">
      <c r="C398" t="s">
        <v>17</v>
      </c>
      <c r="D398">
        <v>53052001</v>
      </c>
      <c r="E398" t="s">
        <v>18</v>
      </c>
      <c r="F398">
        <v>18256.92571</v>
      </c>
      <c r="G398" t="s">
        <v>686</v>
      </c>
      <c r="H398" s="3">
        <v>45817</v>
      </c>
      <c r="I398" t="s">
        <v>687</v>
      </c>
      <c r="J398" t="s">
        <v>687</v>
      </c>
      <c r="K398" t="s">
        <v>69</v>
      </c>
      <c r="N398">
        <f t="shared" si="20"/>
        <v>2025</v>
      </c>
      <c r="O398">
        <f t="shared" si="18"/>
        <v>6</v>
      </c>
      <c r="P398" t="str">
        <f t="shared" si="19"/>
        <v>Junio</v>
      </c>
    </row>
    <row r="399" spans="1:16" hidden="1" x14ac:dyDescent="0.25">
      <c r="C399" t="s">
        <v>17</v>
      </c>
      <c r="D399">
        <v>53052001</v>
      </c>
      <c r="E399" t="s">
        <v>18</v>
      </c>
      <c r="F399" s="4">
        <v>12750.668</v>
      </c>
      <c r="G399" t="s">
        <v>688</v>
      </c>
      <c r="H399" s="3">
        <v>45889</v>
      </c>
      <c r="I399" t="s">
        <v>689</v>
      </c>
      <c r="J399" t="s">
        <v>689</v>
      </c>
      <c r="K399" t="s">
        <v>31</v>
      </c>
      <c r="N399">
        <f t="shared" si="20"/>
        <v>2025</v>
      </c>
      <c r="O399">
        <f t="shared" si="18"/>
        <v>8</v>
      </c>
      <c r="P399" t="str">
        <f t="shared" si="19"/>
        <v>Agosto</v>
      </c>
    </row>
    <row r="400" spans="1:16" hidden="1" x14ac:dyDescent="0.25">
      <c r="C400" t="s">
        <v>17</v>
      </c>
      <c r="D400">
        <v>53052001</v>
      </c>
      <c r="E400" t="s">
        <v>18</v>
      </c>
      <c r="F400" s="4">
        <v>28536.275000000001</v>
      </c>
      <c r="G400" t="s">
        <v>690</v>
      </c>
      <c r="H400" s="3">
        <v>45860</v>
      </c>
      <c r="I400" t="s">
        <v>691</v>
      </c>
      <c r="J400" t="s">
        <v>691</v>
      </c>
      <c r="K400" t="s">
        <v>27</v>
      </c>
      <c r="M400" t="s">
        <v>22</v>
      </c>
      <c r="N400">
        <f t="shared" si="20"/>
        <v>2025</v>
      </c>
      <c r="O400">
        <f t="shared" si="18"/>
        <v>7</v>
      </c>
      <c r="P400" t="str">
        <f t="shared" si="19"/>
        <v>Julio</v>
      </c>
    </row>
    <row r="401" spans="1:16" hidden="1" x14ac:dyDescent="0.25">
      <c r="C401" t="s">
        <v>17</v>
      </c>
      <c r="D401">
        <v>53052001</v>
      </c>
      <c r="E401" t="s">
        <v>18</v>
      </c>
      <c r="F401" s="4">
        <v>22831.572629999999</v>
      </c>
      <c r="G401" t="s">
        <v>692</v>
      </c>
      <c r="H401" s="3">
        <v>45866</v>
      </c>
      <c r="I401" t="s">
        <v>693</v>
      </c>
      <c r="J401" t="s">
        <v>693</v>
      </c>
      <c r="K401" t="s">
        <v>69</v>
      </c>
      <c r="M401" t="s">
        <v>22</v>
      </c>
      <c r="N401">
        <f t="shared" si="20"/>
        <v>2025</v>
      </c>
      <c r="O401">
        <f t="shared" si="18"/>
        <v>7</v>
      </c>
      <c r="P401" t="str">
        <f t="shared" si="19"/>
        <v>Julio</v>
      </c>
    </row>
    <row r="402" spans="1:16" hidden="1" x14ac:dyDescent="0.25">
      <c r="C402" t="s">
        <v>17</v>
      </c>
      <c r="D402">
        <v>53052001</v>
      </c>
      <c r="E402" t="s">
        <v>18</v>
      </c>
      <c r="F402" s="4">
        <v>12284.493369999998</v>
      </c>
      <c r="G402" t="s">
        <v>694</v>
      </c>
      <c r="H402" s="3">
        <v>45880</v>
      </c>
      <c r="I402" t="s">
        <v>695</v>
      </c>
      <c r="J402" t="s">
        <v>695</v>
      </c>
      <c r="K402" t="s">
        <v>69</v>
      </c>
      <c r="N402">
        <f t="shared" si="20"/>
        <v>2025</v>
      </c>
      <c r="O402">
        <f t="shared" si="18"/>
        <v>8</v>
      </c>
      <c r="P402" t="str">
        <f t="shared" si="19"/>
        <v>Agosto</v>
      </c>
    </row>
    <row r="403" spans="1:16" hidden="1" x14ac:dyDescent="0.25">
      <c r="C403" t="s">
        <v>17</v>
      </c>
      <c r="D403">
        <v>53052001</v>
      </c>
      <c r="E403" t="s">
        <v>18</v>
      </c>
      <c r="F403" s="4">
        <v>34594</v>
      </c>
      <c r="G403" t="s">
        <v>696</v>
      </c>
      <c r="H403" s="3">
        <v>45867</v>
      </c>
      <c r="I403" t="s">
        <v>697</v>
      </c>
      <c r="J403" t="s">
        <v>697</v>
      </c>
      <c r="K403" t="s">
        <v>27</v>
      </c>
      <c r="M403" t="s">
        <v>22</v>
      </c>
      <c r="N403">
        <f t="shared" si="20"/>
        <v>2025</v>
      </c>
      <c r="O403">
        <f t="shared" si="18"/>
        <v>7</v>
      </c>
      <c r="P403" t="str">
        <f t="shared" si="19"/>
        <v>Julio</v>
      </c>
    </row>
    <row r="404" spans="1:16" hidden="1" x14ac:dyDescent="0.25">
      <c r="C404" t="s">
        <v>17</v>
      </c>
      <c r="D404">
        <v>53052001</v>
      </c>
      <c r="E404" t="s">
        <v>18</v>
      </c>
      <c r="F404" s="4">
        <v>24216.26037</v>
      </c>
      <c r="G404" t="s">
        <v>698</v>
      </c>
      <c r="H404" s="3">
        <v>45862</v>
      </c>
      <c r="I404" t="s">
        <v>699</v>
      </c>
      <c r="J404" t="s">
        <v>699</v>
      </c>
      <c r="K404" t="s">
        <v>27</v>
      </c>
      <c r="M404" t="s">
        <v>22</v>
      </c>
      <c r="N404">
        <f t="shared" si="20"/>
        <v>2025</v>
      </c>
      <c r="O404">
        <f t="shared" si="18"/>
        <v>7</v>
      </c>
      <c r="P404" t="str">
        <f t="shared" si="19"/>
        <v>Julio</v>
      </c>
    </row>
    <row r="405" spans="1:16" hidden="1" x14ac:dyDescent="0.25">
      <c r="C405" t="s">
        <v>17</v>
      </c>
      <c r="D405">
        <v>53052001</v>
      </c>
      <c r="E405" t="s">
        <v>18</v>
      </c>
      <c r="F405" s="4">
        <v>1385.92</v>
      </c>
      <c r="G405" t="s">
        <v>700</v>
      </c>
      <c r="H405" s="3">
        <v>45818</v>
      </c>
      <c r="I405" t="s">
        <v>701</v>
      </c>
      <c r="J405" t="s">
        <v>701</v>
      </c>
      <c r="K405" t="s">
        <v>27</v>
      </c>
      <c r="N405">
        <f t="shared" si="20"/>
        <v>2025</v>
      </c>
      <c r="O405">
        <f t="shared" si="18"/>
        <v>6</v>
      </c>
      <c r="P405" t="str">
        <f t="shared" si="19"/>
        <v>Junio</v>
      </c>
    </row>
    <row r="406" spans="1:16" hidden="1" x14ac:dyDescent="0.25">
      <c r="C406" t="s">
        <v>17</v>
      </c>
      <c r="D406">
        <v>53052001</v>
      </c>
      <c r="E406" t="s">
        <v>18</v>
      </c>
      <c r="F406" s="4">
        <v>1352.8320000000001</v>
      </c>
      <c r="G406" t="s">
        <v>702</v>
      </c>
      <c r="H406" s="3">
        <v>45877</v>
      </c>
      <c r="I406" t="s">
        <v>703</v>
      </c>
      <c r="J406" t="s">
        <v>703</v>
      </c>
      <c r="K406" t="s">
        <v>27</v>
      </c>
      <c r="M406" t="s">
        <v>93</v>
      </c>
      <c r="N406">
        <f t="shared" si="20"/>
        <v>2025</v>
      </c>
      <c r="O406">
        <f t="shared" si="18"/>
        <v>8</v>
      </c>
      <c r="P406" t="str">
        <f t="shared" si="19"/>
        <v>Agosto</v>
      </c>
    </row>
    <row r="407" spans="1:16" hidden="1" x14ac:dyDescent="0.25">
      <c r="C407" t="s">
        <v>17</v>
      </c>
      <c r="D407">
        <v>53052001</v>
      </c>
      <c r="E407" t="s">
        <v>18</v>
      </c>
      <c r="F407" s="4">
        <v>2597.6729999999998</v>
      </c>
      <c r="G407" t="s">
        <v>704</v>
      </c>
      <c r="H407" s="3">
        <v>45873</v>
      </c>
      <c r="I407" t="s">
        <v>705</v>
      </c>
      <c r="J407" t="s">
        <v>705</v>
      </c>
      <c r="K407" t="s">
        <v>27</v>
      </c>
      <c r="M407" t="s">
        <v>93</v>
      </c>
      <c r="N407">
        <f t="shared" si="20"/>
        <v>2025</v>
      </c>
      <c r="O407">
        <f t="shared" si="18"/>
        <v>8</v>
      </c>
      <c r="P407" t="str">
        <f t="shared" si="19"/>
        <v>Agosto</v>
      </c>
    </row>
    <row r="408" spans="1:16" hidden="1" x14ac:dyDescent="0.25">
      <c r="A408" s="16"/>
      <c r="B408" s="16"/>
      <c r="C408" s="16" t="s">
        <v>17</v>
      </c>
      <c r="D408" s="16">
        <v>53052001</v>
      </c>
      <c r="E408" s="16" t="s">
        <v>18</v>
      </c>
      <c r="F408" s="17">
        <v>41952.404999999999</v>
      </c>
      <c r="G408" s="16" t="s">
        <v>706</v>
      </c>
      <c r="H408" s="18">
        <v>45880</v>
      </c>
      <c r="I408" s="16" t="s">
        <v>707</v>
      </c>
      <c r="J408" s="16" t="s">
        <v>707</v>
      </c>
      <c r="K408" s="16" t="s">
        <v>31</v>
      </c>
      <c r="L408" s="16"/>
      <c r="M408" s="16"/>
      <c r="N408">
        <f t="shared" si="20"/>
        <v>2025</v>
      </c>
      <c r="O408" s="16">
        <f t="shared" si="18"/>
        <v>8</v>
      </c>
      <c r="P408" s="16" t="str">
        <f t="shared" si="19"/>
        <v>Agosto</v>
      </c>
    </row>
    <row r="409" spans="1:16" hidden="1" x14ac:dyDescent="0.25">
      <c r="C409" t="s">
        <v>17</v>
      </c>
      <c r="D409">
        <v>53052001</v>
      </c>
      <c r="E409" t="s">
        <v>18</v>
      </c>
      <c r="F409" s="4">
        <v>4381.2665800000004</v>
      </c>
      <c r="G409" t="s">
        <v>708</v>
      </c>
      <c r="H409" s="3">
        <v>45874</v>
      </c>
      <c r="I409" t="s">
        <v>709</v>
      </c>
      <c r="J409" t="s">
        <v>709</v>
      </c>
      <c r="K409" t="s">
        <v>27</v>
      </c>
      <c r="M409" t="s">
        <v>93</v>
      </c>
      <c r="N409">
        <f t="shared" si="20"/>
        <v>2025</v>
      </c>
      <c r="O409">
        <f t="shared" si="18"/>
        <v>8</v>
      </c>
      <c r="P409" t="str">
        <f t="shared" si="19"/>
        <v>Agosto</v>
      </c>
    </row>
    <row r="410" spans="1:16" hidden="1" x14ac:dyDescent="0.25">
      <c r="C410" t="s">
        <v>17</v>
      </c>
      <c r="D410">
        <v>53052001</v>
      </c>
      <c r="E410" t="s">
        <v>18</v>
      </c>
      <c r="F410">
        <v>34100.873289999996</v>
      </c>
      <c r="G410" t="s">
        <v>710</v>
      </c>
      <c r="H410" s="3">
        <v>45771</v>
      </c>
      <c r="I410" t="s">
        <v>711</v>
      </c>
      <c r="J410" t="s">
        <v>711</v>
      </c>
      <c r="K410" t="s">
        <v>27</v>
      </c>
      <c r="M410" t="s">
        <v>22</v>
      </c>
      <c r="N410">
        <f t="shared" si="20"/>
        <v>2025</v>
      </c>
      <c r="O410">
        <f t="shared" si="18"/>
        <v>4</v>
      </c>
      <c r="P410" t="str">
        <f t="shared" si="19"/>
        <v>Abril</v>
      </c>
    </row>
    <row r="411" spans="1:16" hidden="1" x14ac:dyDescent="0.25">
      <c r="C411" t="s">
        <v>17</v>
      </c>
      <c r="D411">
        <v>53052001</v>
      </c>
      <c r="E411" t="s">
        <v>18</v>
      </c>
      <c r="F411" s="4">
        <v>16580.769080000002</v>
      </c>
      <c r="G411" t="s">
        <v>712</v>
      </c>
      <c r="H411" s="3">
        <v>45894</v>
      </c>
      <c r="I411" t="s">
        <v>713</v>
      </c>
      <c r="J411" t="s">
        <v>713</v>
      </c>
      <c r="K411" t="s">
        <v>27</v>
      </c>
      <c r="N411">
        <f t="shared" si="20"/>
        <v>2025</v>
      </c>
      <c r="O411">
        <f t="shared" si="18"/>
        <v>8</v>
      </c>
      <c r="P411" t="str">
        <f t="shared" si="19"/>
        <v>Agosto</v>
      </c>
    </row>
    <row r="412" spans="1:16" hidden="1" x14ac:dyDescent="0.25">
      <c r="C412" t="s">
        <v>17</v>
      </c>
      <c r="D412">
        <v>53052001</v>
      </c>
      <c r="E412" t="s">
        <v>18</v>
      </c>
      <c r="F412" s="4">
        <v>38695</v>
      </c>
      <c r="G412" t="s">
        <v>714</v>
      </c>
      <c r="H412" s="3">
        <v>45877</v>
      </c>
      <c r="I412" t="s">
        <v>715</v>
      </c>
      <c r="J412" t="s">
        <v>715</v>
      </c>
      <c r="K412" t="s">
        <v>31</v>
      </c>
      <c r="M412" t="s">
        <v>22</v>
      </c>
      <c r="N412">
        <f t="shared" si="20"/>
        <v>2025</v>
      </c>
      <c r="O412">
        <f t="shared" si="18"/>
        <v>8</v>
      </c>
      <c r="P412" t="str">
        <f t="shared" si="19"/>
        <v>Agosto</v>
      </c>
    </row>
    <row r="413" spans="1:16" hidden="1" x14ac:dyDescent="0.25">
      <c r="C413" t="s">
        <v>17</v>
      </c>
      <c r="D413">
        <v>53052001</v>
      </c>
      <c r="E413" t="s">
        <v>18</v>
      </c>
      <c r="F413" s="4">
        <v>11173.208329999999</v>
      </c>
      <c r="G413" t="s">
        <v>716</v>
      </c>
      <c r="H413" s="3">
        <v>45828</v>
      </c>
      <c r="I413" t="s">
        <v>717</v>
      </c>
      <c r="J413" t="s">
        <v>717</v>
      </c>
      <c r="K413" t="s">
        <v>41</v>
      </c>
      <c r="N413">
        <f t="shared" si="20"/>
        <v>2025</v>
      </c>
      <c r="O413">
        <f t="shared" si="18"/>
        <v>6</v>
      </c>
      <c r="P413" t="str">
        <f t="shared" si="19"/>
        <v>Junio</v>
      </c>
    </row>
    <row r="414" spans="1:16" hidden="1" x14ac:dyDescent="0.25">
      <c r="C414" t="s">
        <v>17</v>
      </c>
      <c r="D414">
        <v>53052001</v>
      </c>
      <c r="E414" t="s">
        <v>18</v>
      </c>
      <c r="F414" s="5">
        <v>14124.46853</v>
      </c>
      <c r="G414" s="6" t="s">
        <v>718</v>
      </c>
      <c r="H414" s="7">
        <v>45852</v>
      </c>
      <c r="I414" s="6" t="s">
        <v>719</v>
      </c>
      <c r="J414" s="6" t="s">
        <v>719</v>
      </c>
      <c r="K414" s="6" t="s">
        <v>69</v>
      </c>
      <c r="L414" s="6" t="s">
        <v>720</v>
      </c>
      <c r="M414" t="s">
        <v>22</v>
      </c>
      <c r="N414">
        <f t="shared" si="20"/>
        <v>2025</v>
      </c>
      <c r="O414">
        <f t="shared" si="18"/>
        <v>7</v>
      </c>
      <c r="P414" t="str">
        <f t="shared" si="19"/>
        <v>Julio</v>
      </c>
    </row>
    <row r="415" spans="1:16" hidden="1" x14ac:dyDescent="0.25">
      <c r="C415" t="s">
        <v>17</v>
      </c>
      <c r="D415">
        <v>53052001</v>
      </c>
      <c r="E415" t="s">
        <v>18</v>
      </c>
      <c r="F415" s="4">
        <v>4547.9114099999997</v>
      </c>
      <c r="G415" t="s">
        <v>721</v>
      </c>
      <c r="H415" s="3">
        <v>45845</v>
      </c>
      <c r="I415" t="s">
        <v>722</v>
      </c>
      <c r="J415" t="s">
        <v>722</v>
      </c>
      <c r="K415" t="s">
        <v>27</v>
      </c>
      <c r="N415">
        <f t="shared" si="20"/>
        <v>2025</v>
      </c>
      <c r="O415">
        <f t="shared" si="18"/>
        <v>7</v>
      </c>
      <c r="P415" t="str">
        <f t="shared" si="19"/>
        <v>Julio</v>
      </c>
    </row>
    <row r="416" spans="1:16" hidden="1" x14ac:dyDescent="0.25">
      <c r="C416" t="s">
        <v>17</v>
      </c>
      <c r="D416">
        <v>53052001</v>
      </c>
      <c r="E416" t="s">
        <v>18</v>
      </c>
      <c r="F416" s="4">
        <v>44617.993999999999</v>
      </c>
      <c r="G416" t="s">
        <v>723</v>
      </c>
      <c r="H416" s="3">
        <v>45835</v>
      </c>
      <c r="I416" t="s">
        <v>724</v>
      </c>
      <c r="J416" t="s">
        <v>724</v>
      </c>
      <c r="K416" t="s">
        <v>69</v>
      </c>
      <c r="N416">
        <f t="shared" si="20"/>
        <v>2025</v>
      </c>
      <c r="O416">
        <f t="shared" si="18"/>
        <v>6</v>
      </c>
      <c r="P416" t="str">
        <f t="shared" si="19"/>
        <v>Junio</v>
      </c>
    </row>
    <row r="417" spans="3:16" hidden="1" x14ac:dyDescent="0.25">
      <c r="C417" t="s">
        <v>17</v>
      </c>
      <c r="D417">
        <v>53052001</v>
      </c>
      <c r="E417" t="s">
        <v>18</v>
      </c>
      <c r="F417" s="4">
        <v>1325.4369999999999</v>
      </c>
      <c r="G417" t="s">
        <v>725</v>
      </c>
      <c r="H417" s="3">
        <v>45726</v>
      </c>
      <c r="I417" t="s">
        <v>726</v>
      </c>
      <c r="J417" t="s">
        <v>726</v>
      </c>
      <c r="K417" t="s">
        <v>27</v>
      </c>
      <c r="M417" t="s">
        <v>22</v>
      </c>
      <c r="N417">
        <f t="shared" si="20"/>
        <v>2025</v>
      </c>
      <c r="O417">
        <f t="shared" si="18"/>
        <v>3</v>
      </c>
      <c r="P417" t="str">
        <f t="shared" si="19"/>
        <v>Marzo</v>
      </c>
    </row>
    <row r="418" spans="3:16" hidden="1" x14ac:dyDescent="0.25">
      <c r="C418" t="s">
        <v>17</v>
      </c>
      <c r="D418">
        <v>53052001</v>
      </c>
      <c r="E418" t="s">
        <v>18</v>
      </c>
      <c r="F418" s="11">
        <v>24629.784940000001</v>
      </c>
      <c r="G418" t="s">
        <v>727</v>
      </c>
      <c r="H418" s="3">
        <v>45803</v>
      </c>
      <c r="I418" t="s">
        <v>728</v>
      </c>
      <c r="J418" t="s">
        <v>728</v>
      </c>
      <c r="K418" t="s">
        <v>27</v>
      </c>
      <c r="N418">
        <f t="shared" si="20"/>
        <v>2025</v>
      </c>
      <c r="O418">
        <f t="shared" si="18"/>
        <v>5</v>
      </c>
      <c r="P418" t="str">
        <f t="shared" si="19"/>
        <v>Mayo</v>
      </c>
    </row>
    <row r="419" spans="3:16" hidden="1" x14ac:dyDescent="0.25">
      <c r="C419" t="s">
        <v>17</v>
      </c>
      <c r="D419">
        <v>53052001</v>
      </c>
      <c r="E419" t="s">
        <v>18</v>
      </c>
      <c r="F419" s="4">
        <v>260749.12899999999</v>
      </c>
      <c r="G419" t="s">
        <v>729</v>
      </c>
      <c r="H419" s="3">
        <v>45835</v>
      </c>
      <c r="I419" t="s">
        <v>730</v>
      </c>
      <c r="J419" t="s">
        <v>730</v>
      </c>
      <c r="K419" t="s">
        <v>31</v>
      </c>
      <c r="N419">
        <f t="shared" si="20"/>
        <v>2025</v>
      </c>
      <c r="O419">
        <f t="shared" si="18"/>
        <v>6</v>
      </c>
      <c r="P419" t="str">
        <f t="shared" si="19"/>
        <v>Junio</v>
      </c>
    </row>
    <row r="420" spans="3:16" hidden="1" x14ac:dyDescent="0.25">
      <c r="C420" t="s">
        <v>17</v>
      </c>
      <c r="D420">
        <v>53052001</v>
      </c>
      <c r="E420" t="s">
        <v>18</v>
      </c>
      <c r="F420" s="5">
        <v>12826.891</v>
      </c>
      <c r="G420" s="6" t="s">
        <v>731</v>
      </c>
      <c r="H420" s="7">
        <v>45855</v>
      </c>
      <c r="I420" s="6" t="s">
        <v>732</v>
      </c>
      <c r="J420" s="6" t="s">
        <v>732</v>
      </c>
      <c r="K420" s="6" t="s">
        <v>31</v>
      </c>
      <c r="L420" s="6" t="s">
        <v>733</v>
      </c>
      <c r="M420" t="s">
        <v>22</v>
      </c>
      <c r="N420">
        <f t="shared" si="20"/>
        <v>2025</v>
      </c>
      <c r="O420">
        <f t="shared" si="18"/>
        <v>7</v>
      </c>
      <c r="P420" t="str">
        <f t="shared" si="19"/>
        <v>Julio</v>
      </c>
    </row>
    <row r="421" spans="3:16" hidden="1" x14ac:dyDescent="0.25">
      <c r="C421" t="s">
        <v>17</v>
      </c>
      <c r="D421">
        <v>53052003</v>
      </c>
      <c r="E421" t="s">
        <v>24</v>
      </c>
      <c r="F421" s="19">
        <v>334270.04300000001</v>
      </c>
      <c r="G421" t="s">
        <v>734</v>
      </c>
      <c r="H421" s="3">
        <v>45698</v>
      </c>
      <c r="I421" t="s">
        <v>735</v>
      </c>
      <c r="J421" t="s">
        <v>735</v>
      </c>
      <c r="K421" t="s">
        <v>27</v>
      </c>
      <c r="N421">
        <f t="shared" si="20"/>
        <v>2025</v>
      </c>
      <c r="O421">
        <f t="shared" si="18"/>
        <v>2</v>
      </c>
      <c r="P421" t="str">
        <f t="shared" si="19"/>
        <v>Febrero</v>
      </c>
    </row>
    <row r="422" spans="3:16" hidden="1" x14ac:dyDescent="0.25">
      <c r="C422" t="s">
        <v>17</v>
      </c>
      <c r="D422">
        <v>53052003</v>
      </c>
      <c r="E422" t="s">
        <v>24</v>
      </c>
      <c r="F422" s="4">
        <v>301815.96600000001</v>
      </c>
      <c r="G422" t="s">
        <v>736</v>
      </c>
      <c r="H422" s="3">
        <v>45726</v>
      </c>
      <c r="I422" t="s">
        <v>737</v>
      </c>
      <c r="J422" t="s">
        <v>737</v>
      </c>
      <c r="K422" t="s">
        <v>27</v>
      </c>
      <c r="N422">
        <f t="shared" si="20"/>
        <v>2025</v>
      </c>
      <c r="O422">
        <f t="shared" si="18"/>
        <v>3</v>
      </c>
      <c r="P422" t="str">
        <f t="shared" si="19"/>
        <v>Marzo</v>
      </c>
    </row>
    <row r="423" spans="3:16" hidden="1" x14ac:dyDescent="0.25">
      <c r="C423" t="s">
        <v>17</v>
      </c>
      <c r="D423">
        <v>53052003</v>
      </c>
      <c r="E423" t="s">
        <v>24</v>
      </c>
      <c r="F423" s="4">
        <v>331111.07500000001</v>
      </c>
      <c r="G423" t="s">
        <v>738</v>
      </c>
      <c r="H423" s="3">
        <v>45757</v>
      </c>
      <c r="I423" t="s">
        <v>739</v>
      </c>
      <c r="J423" t="s">
        <v>739</v>
      </c>
      <c r="K423" t="s">
        <v>27</v>
      </c>
      <c r="N423">
        <f t="shared" si="20"/>
        <v>2025</v>
      </c>
      <c r="O423">
        <f t="shared" si="18"/>
        <v>4</v>
      </c>
      <c r="P423" t="str">
        <f t="shared" si="19"/>
        <v>Abril</v>
      </c>
    </row>
    <row r="424" spans="3:16" hidden="1" x14ac:dyDescent="0.25">
      <c r="C424" t="s">
        <v>17</v>
      </c>
      <c r="D424">
        <v>53052003</v>
      </c>
      <c r="E424" t="s">
        <v>24</v>
      </c>
      <c r="F424" s="19">
        <v>318659.92700000003</v>
      </c>
      <c r="G424" t="s">
        <v>740</v>
      </c>
      <c r="H424" s="3">
        <v>45789</v>
      </c>
      <c r="I424" t="s">
        <v>741</v>
      </c>
      <c r="J424" t="s">
        <v>741</v>
      </c>
      <c r="K424" t="s">
        <v>27</v>
      </c>
      <c r="N424">
        <f t="shared" si="20"/>
        <v>2025</v>
      </c>
      <c r="O424">
        <f t="shared" si="18"/>
        <v>5</v>
      </c>
      <c r="P424" t="str">
        <f t="shared" si="19"/>
        <v>Mayo</v>
      </c>
    </row>
    <row r="425" spans="3:16" hidden="1" x14ac:dyDescent="0.25">
      <c r="C425" t="s">
        <v>17</v>
      </c>
      <c r="D425">
        <v>53052003</v>
      </c>
      <c r="E425" t="s">
        <v>24</v>
      </c>
      <c r="F425" s="4">
        <v>322854.44</v>
      </c>
      <c r="G425" t="s">
        <v>742</v>
      </c>
      <c r="H425" s="3">
        <v>45818</v>
      </c>
      <c r="I425" t="s">
        <v>743</v>
      </c>
      <c r="J425" t="s">
        <v>743</v>
      </c>
      <c r="K425" t="s">
        <v>27</v>
      </c>
      <c r="N425">
        <f t="shared" si="20"/>
        <v>2025</v>
      </c>
      <c r="O425">
        <f t="shared" si="18"/>
        <v>6</v>
      </c>
      <c r="P425" t="str">
        <f t="shared" si="19"/>
        <v>Junio</v>
      </c>
    </row>
    <row r="426" spans="3:16" hidden="1" x14ac:dyDescent="0.25">
      <c r="C426" t="s">
        <v>17</v>
      </c>
      <c r="D426">
        <v>53052003</v>
      </c>
      <c r="E426" t="s">
        <v>24</v>
      </c>
      <c r="F426" s="4">
        <v>310830.01500000001</v>
      </c>
      <c r="G426" t="s">
        <v>744</v>
      </c>
      <c r="H426" s="3">
        <v>45869</v>
      </c>
      <c r="I426" t="s">
        <v>743</v>
      </c>
      <c r="J426" t="s">
        <v>743</v>
      </c>
      <c r="K426" t="s">
        <v>27</v>
      </c>
      <c r="N426">
        <f t="shared" si="20"/>
        <v>2025</v>
      </c>
      <c r="O426">
        <f t="shared" si="18"/>
        <v>7</v>
      </c>
      <c r="P426" t="str">
        <f t="shared" si="19"/>
        <v>Julio</v>
      </c>
    </row>
    <row r="427" spans="3:16" hidden="1" x14ac:dyDescent="0.25">
      <c r="C427" t="s">
        <v>17</v>
      </c>
      <c r="D427">
        <v>53052003</v>
      </c>
      <c r="E427" t="s">
        <v>24</v>
      </c>
      <c r="F427" s="4">
        <v>319020.571</v>
      </c>
      <c r="G427" t="s">
        <v>745</v>
      </c>
      <c r="H427" s="3">
        <v>45879</v>
      </c>
      <c r="I427" t="s">
        <v>746</v>
      </c>
      <c r="J427" t="s">
        <v>746</v>
      </c>
      <c r="K427" t="s">
        <v>27</v>
      </c>
      <c r="N427">
        <f t="shared" si="20"/>
        <v>2025</v>
      </c>
      <c r="O427">
        <f t="shared" si="18"/>
        <v>8</v>
      </c>
      <c r="P427" t="str">
        <f t="shared" si="19"/>
        <v>Agosto</v>
      </c>
    </row>
    <row r="428" spans="3:16" hidden="1" x14ac:dyDescent="0.25">
      <c r="C428" t="s">
        <v>17</v>
      </c>
      <c r="D428">
        <v>53052001</v>
      </c>
      <c r="E428" t="s">
        <v>18</v>
      </c>
      <c r="F428" s="4">
        <v>56909.915000000001</v>
      </c>
      <c r="G428" t="s">
        <v>747</v>
      </c>
      <c r="H428" s="3">
        <v>45670</v>
      </c>
      <c r="I428" t="s">
        <v>748</v>
      </c>
      <c r="J428" t="s">
        <v>748</v>
      </c>
      <c r="K428" t="s">
        <v>31</v>
      </c>
      <c r="M428" t="s">
        <v>93</v>
      </c>
      <c r="N428">
        <f t="shared" si="20"/>
        <v>2025</v>
      </c>
      <c r="O428">
        <f t="shared" si="18"/>
        <v>1</v>
      </c>
      <c r="P428" t="str">
        <f t="shared" si="19"/>
        <v>Enero</v>
      </c>
    </row>
    <row r="429" spans="3:16" hidden="1" x14ac:dyDescent="0.25">
      <c r="C429" t="s">
        <v>17</v>
      </c>
      <c r="D429">
        <v>53052001</v>
      </c>
      <c r="E429" t="s">
        <v>18</v>
      </c>
      <c r="F429" s="4">
        <v>57526.985670000002</v>
      </c>
      <c r="G429" t="s">
        <v>749</v>
      </c>
      <c r="H429" s="3">
        <v>45716</v>
      </c>
      <c r="I429" t="s">
        <v>750</v>
      </c>
      <c r="J429" t="s">
        <v>750</v>
      </c>
      <c r="K429" t="s">
        <v>69</v>
      </c>
      <c r="M429" t="s">
        <v>22</v>
      </c>
      <c r="N429">
        <f t="shared" si="20"/>
        <v>2025</v>
      </c>
      <c r="O429">
        <f t="shared" si="18"/>
        <v>2</v>
      </c>
      <c r="P429" t="str">
        <f t="shared" si="19"/>
        <v>Febrero</v>
      </c>
    </row>
    <row r="430" spans="3:16" hidden="1" x14ac:dyDescent="0.25">
      <c r="C430" t="s">
        <v>17</v>
      </c>
      <c r="D430">
        <v>53052001</v>
      </c>
      <c r="E430" t="s">
        <v>18</v>
      </c>
      <c r="F430" s="4">
        <v>6569.7409800000005</v>
      </c>
      <c r="G430" t="s">
        <v>751</v>
      </c>
      <c r="H430" s="3">
        <v>45898</v>
      </c>
      <c r="I430" t="s">
        <v>752</v>
      </c>
      <c r="J430" t="s">
        <v>753</v>
      </c>
      <c r="K430" t="s">
        <v>27</v>
      </c>
      <c r="N430">
        <f t="shared" si="20"/>
        <v>2025</v>
      </c>
      <c r="O430">
        <f t="shared" si="18"/>
        <v>8</v>
      </c>
      <c r="P430" t="str">
        <f t="shared" si="19"/>
        <v>Agosto</v>
      </c>
    </row>
    <row r="431" spans="3:16" hidden="1" x14ac:dyDescent="0.25">
      <c r="C431" t="s">
        <v>17</v>
      </c>
      <c r="D431">
        <v>53052001</v>
      </c>
      <c r="E431" t="s">
        <v>18</v>
      </c>
      <c r="F431" s="4">
        <v>24.84507</v>
      </c>
      <c r="G431" t="s">
        <v>751</v>
      </c>
      <c r="H431" s="3">
        <v>45898</v>
      </c>
      <c r="I431" t="s">
        <v>753</v>
      </c>
      <c r="J431" t="s">
        <v>753</v>
      </c>
      <c r="K431" t="s">
        <v>27</v>
      </c>
      <c r="N431">
        <f t="shared" si="20"/>
        <v>2025</v>
      </c>
      <c r="O431">
        <f t="shared" si="18"/>
        <v>8</v>
      </c>
      <c r="P431" t="str">
        <f t="shared" si="19"/>
        <v>Agosto</v>
      </c>
    </row>
    <row r="432" spans="3:16" hidden="1" x14ac:dyDescent="0.25">
      <c r="C432" t="s">
        <v>17</v>
      </c>
      <c r="D432">
        <v>53052001</v>
      </c>
      <c r="E432" t="s">
        <v>18</v>
      </c>
      <c r="F432" s="4">
        <v>3149.2377799999999</v>
      </c>
      <c r="G432" t="s">
        <v>751</v>
      </c>
      <c r="H432" s="3">
        <v>45898</v>
      </c>
      <c r="I432" t="s">
        <v>754</v>
      </c>
      <c r="J432" t="s">
        <v>753</v>
      </c>
      <c r="K432" t="s">
        <v>27</v>
      </c>
      <c r="N432">
        <f t="shared" si="20"/>
        <v>2025</v>
      </c>
      <c r="O432">
        <f t="shared" si="18"/>
        <v>8</v>
      </c>
      <c r="P432" t="str">
        <f t="shared" si="19"/>
        <v>Agosto</v>
      </c>
    </row>
    <row r="433" spans="1:16" hidden="1" x14ac:dyDescent="0.25">
      <c r="C433" t="s">
        <v>17</v>
      </c>
      <c r="D433">
        <v>53052001</v>
      </c>
      <c r="E433" t="s">
        <v>18</v>
      </c>
      <c r="F433" s="4">
        <v>5689.6067300000004</v>
      </c>
      <c r="G433" t="s">
        <v>751</v>
      </c>
      <c r="H433" s="3">
        <v>45898</v>
      </c>
      <c r="I433" t="s">
        <v>755</v>
      </c>
      <c r="J433" t="s">
        <v>753</v>
      </c>
      <c r="K433" t="s">
        <v>27</v>
      </c>
      <c r="N433">
        <f t="shared" si="20"/>
        <v>2025</v>
      </c>
      <c r="O433">
        <f t="shared" si="18"/>
        <v>8</v>
      </c>
      <c r="P433" t="str">
        <f t="shared" si="19"/>
        <v>Agosto</v>
      </c>
    </row>
    <row r="434" spans="1:16" hidden="1" x14ac:dyDescent="0.25">
      <c r="C434" t="s">
        <v>17</v>
      </c>
      <c r="D434">
        <v>53052001</v>
      </c>
      <c r="E434" t="s">
        <v>18</v>
      </c>
      <c r="F434" s="4">
        <v>16718.562999999998</v>
      </c>
      <c r="G434" t="s">
        <v>751</v>
      </c>
      <c r="H434" s="3">
        <v>45898</v>
      </c>
      <c r="I434" t="s">
        <v>756</v>
      </c>
      <c r="J434" t="s">
        <v>753</v>
      </c>
      <c r="K434" t="s">
        <v>27</v>
      </c>
      <c r="N434">
        <f t="shared" si="20"/>
        <v>2025</v>
      </c>
      <c r="O434">
        <f t="shared" si="18"/>
        <v>8</v>
      </c>
      <c r="P434" t="str">
        <f t="shared" si="19"/>
        <v>Agosto</v>
      </c>
    </row>
    <row r="435" spans="1:16" hidden="1" x14ac:dyDescent="0.25">
      <c r="C435" t="s">
        <v>17</v>
      </c>
      <c r="D435">
        <v>53052001</v>
      </c>
      <c r="E435" t="s">
        <v>18</v>
      </c>
      <c r="F435" s="4">
        <v>16988.583329999998</v>
      </c>
      <c r="G435" t="s">
        <v>757</v>
      </c>
      <c r="H435" s="3">
        <v>45728</v>
      </c>
      <c r="I435" t="s">
        <v>758</v>
      </c>
      <c r="J435" t="s">
        <v>758</v>
      </c>
      <c r="K435" t="s">
        <v>69</v>
      </c>
      <c r="M435" t="s">
        <v>22</v>
      </c>
      <c r="N435">
        <f t="shared" si="20"/>
        <v>2025</v>
      </c>
      <c r="O435">
        <f t="shared" si="18"/>
        <v>3</v>
      </c>
      <c r="P435" t="str">
        <f t="shared" si="19"/>
        <v>Marzo</v>
      </c>
    </row>
    <row r="436" spans="1:16" hidden="1" x14ac:dyDescent="0.25">
      <c r="C436" t="s">
        <v>17</v>
      </c>
      <c r="D436">
        <v>53052001</v>
      </c>
      <c r="E436" t="s">
        <v>18</v>
      </c>
      <c r="F436">
        <v>18208.911909999999</v>
      </c>
      <c r="G436" t="s">
        <v>759</v>
      </c>
      <c r="H436">
        <v>45755</v>
      </c>
      <c r="I436" t="s">
        <v>760</v>
      </c>
      <c r="J436" t="s">
        <v>760</v>
      </c>
      <c r="K436" t="s">
        <v>69</v>
      </c>
      <c r="M436" t="s">
        <v>93</v>
      </c>
      <c r="N436">
        <f t="shared" si="20"/>
        <v>2025</v>
      </c>
      <c r="O436">
        <f t="shared" si="18"/>
        <v>4</v>
      </c>
      <c r="P436" t="str">
        <f t="shared" si="19"/>
        <v>Abril</v>
      </c>
    </row>
    <row r="437" spans="1:16" s="16" customFormat="1" hidden="1" x14ac:dyDescent="0.25">
      <c r="A437"/>
      <c r="B437"/>
      <c r="C437" t="s">
        <v>17</v>
      </c>
      <c r="D437">
        <v>53052001</v>
      </c>
      <c r="E437" t="s">
        <v>18</v>
      </c>
      <c r="F437" s="4">
        <v>39436.667000000001</v>
      </c>
      <c r="G437" t="s">
        <v>761</v>
      </c>
      <c r="H437" s="3">
        <v>45660</v>
      </c>
      <c r="I437" t="s">
        <v>762</v>
      </c>
      <c r="J437" t="s">
        <v>762</v>
      </c>
      <c r="K437" t="s">
        <v>31</v>
      </c>
      <c r="L437"/>
      <c r="M437" t="s">
        <v>93</v>
      </c>
      <c r="N437">
        <f t="shared" si="20"/>
        <v>2025</v>
      </c>
      <c r="O437">
        <f t="shared" si="18"/>
        <v>1</v>
      </c>
      <c r="P437" t="str">
        <f t="shared" si="19"/>
        <v>Enero</v>
      </c>
    </row>
    <row r="438" spans="1:16" hidden="1" x14ac:dyDescent="0.25">
      <c r="C438" t="s">
        <v>17</v>
      </c>
      <c r="D438">
        <v>53052001</v>
      </c>
      <c r="E438" t="s">
        <v>18</v>
      </c>
      <c r="F438" s="4">
        <v>1923.7233799999999</v>
      </c>
      <c r="G438" t="s">
        <v>763</v>
      </c>
      <c r="H438" s="3">
        <v>45897</v>
      </c>
      <c r="I438" t="s">
        <v>764</v>
      </c>
      <c r="J438" t="s">
        <v>764</v>
      </c>
      <c r="K438" t="s">
        <v>41</v>
      </c>
      <c r="N438">
        <f t="shared" si="20"/>
        <v>2025</v>
      </c>
      <c r="O438">
        <f t="shared" si="18"/>
        <v>8</v>
      </c>
      <c r="P438" t="str">
        <f t="shared" si="19"/>
        <v>Agosto</v>
      </c>
    </row>
    <row r="439" spans="1:16" hidden="1" x14ac:dyDescent="0.25">
      <c r="C439" t="s">
        <v>17</v>
      </c>
      <c r="D439">
        <v>53052001</v>
      </c>
      <c r="E439" t="s">
        <v>18</v>
      </c>
      <c r="F439" s="4">
        <v>2794.12</v>
      </c>
      <c r="G439" t="s">
        <v>765</v>
      </c>
      <c r="H439">
        <v>45750</v>
      </c>
      <c r="I439" t="s">
        <v>766</v>
      </c>
      <c r="J439" t="s">
        <v>766</v>
      </c>
      <c r="K439" t="s">
        <v>27</v>
      </c>
      <c r="M439" t="s">
        <v>22</v>
      </c>
      <c r="N439">
        <f t="shared" si="20"/>
        <v>2025</v>
      </c>
      <c r="O439">
        <f t="shared" si="18"/>
        <v>4</v>
      </c>
      <c r="P439" t="str">
        <f t="shared" si="19"/>
        <v>Abril</v>
      </c>
    </row>
    <row r="440" spans="1:16" hidden="1" x14ac:dyDescent="0.25">
      <c r="C440" t="s">
        <v>17</v>
      </c>
      <c r="D440">
        <v>53052001</v>
      </c>
      <c r="E440" t="s">
        <v>18</v>
      </c>
      <c r="F440" s="4">
        <v>2811.2608300000002</v>
      </c>
      <c r="G440" t="s">
        <v>767</v>
      </c>
      <c r="H440" s="3">
        <v>45686</v>
      </c>
      <c r="I440" t="s">
        <v>768</v>
      </c>
      <c r="J440" t="s">
        <v>768</v>
      </c>
      <c r="K440" t="s">
        <v>41</v>
      </c>
      <c r="M440" t="s">
        <v>22</v>
      </c>
      <c r="N440">
        <f t="shared" si="20"/>
        <v>2025</v>
      </c>
      <c r="O440">
        <f t="shared" si="18"/>
        <v>1</v>
      </c>
      <c r="P440" t="str">
        <f t="shared" si="19"/>
        <v>Enero</v>
      </c>
    </row>
    <row r="441" spans="1:16" hidden="1" x14ac:dyDescent="0.25">
      <c r="C441" t="s">
        <v>17</v>
      </c>
      <c r="D441">
        <v>53052001</v>
      </c>
      <c r="E441" t="s">
        <v>18</v>
      </c>
      <c r="F441" s="4">
        <v>2910.7280000000001</v>
      </c>
      <c r="G441" t="s">
        <v>769</v>
      </c>
      <c r="H441" s="3">
        <v>45664</v>
      </c>
      <c r="I441" t="s">
        <v>770</v>
      </c>
      <c r="J441" t="s">
        <v>770</v>
      </c>
      <c r="K441" t="s">
        <v>27</v>
      </c>
      <c r="M441" t="s">
        <v>93</v>
      </c>
      <c r="N441">
        <f t="shared" si="20"/>
        <v>2025</v>
      </c>
      <c r="O441">
        <f t="shared" si="18"/>
        <v>1</v>
      </c>
      <c r="P441" t="str">
        <f t="shared" si="19"/>
        <v>Enero</v>
      </c>
    </row>
    <row r="442" spans="1:16" hidden="1" x14ac:dyDescent="0.25">
      <c r="C442" t="s">
        <v>17</v>
      </c>
      <c r="D442">
        <v>53052001</v>
      </c>
      <c r="E442" t="s">
        <v>18</v>
      </c>
      <c r="F442" s="4">
        <v>5490.9803899999997</v>
      </c>
      <c r="G442" t="s">
        <v>771</v>
      </c>
      <c r="H442" s="3">
        <v>45722</v>
      </c>
      <c r="I442" t="s">
        <v>772</v>
      </c>
      <c r="J442" t="s">
        <v>772</v>
      </c>
      <c r="K442" t="s">
        <v>27</v>
      </c>
      <c r="M442" t="s">
        <v>22</v>
      </c>
      <c r="N442">
        <f t="shared" si="20"/>
        <v>2025</v>
      </c>
      <c r="O442">
        <f t="shared" si="18"/>
        <v>3</v>
      </c>
      <c r="P442" t="str">
        <f t="shared" si="19"/>
        <v>Marzo</v>
      </c>
    </row>
    <row r="443" spans="1:16" hidden="1" x14ac:dyDescent="0.25">
      <c r="C443" t="s">
        <v>17</v>
      </c>
      <c r="D443">
        <v>53052001</v>
      </c>
      <c r="E443" t="s">
        <v>18</v>
      </c>
      <c r="F443" s="4">
        <v>1468.4690000000001</v>
      </c>
      <c r="G443" t="s">
        <v>773</v>
      </c>
      <c r="H443" s="3">
        <v>45726</v>
      </c>
      <c r="I443" t="s">
        <v>774</v>
      </c>
      <c r="J443" t="s">
        <v>774</v>
      </c>
      <c r="K443" t="s">
        <v>27</v>
      </c>
      <c r="M443" t="s">
        <v>22</v>
      </c>
      <c r="N443">
        <f t="shared" si="20"/>
        <v>2025</v>
      </c>
      <c r="O443">
        <f t="shared" si="18"/>
        <v>3</v>
      </c>
      <c r="P443" t="str">
        <f t="shared" si="19"/>
        <v>Marzo</v>
      </c>
    </row>
    <row r="444" spans="1:16" hidden="1" x14ac:dyDescent="0.25">
      <c r="C444" t="s">
        <v>17</v>
      </c>
      <c r="D444">
        <v>53052001</v>
      </c>
      <c r="E444" t="s">
        <v>18</v>
      </c>
      <c r="F444" s="4">
        <v>55302.913999999997</v>
      </c>
      <c r="G444" t="s">
        <v>775</v>
      </c>
      <c r="H444" s="3">
        <v>45728</v>
      </c>
      <c r="I444" t="s">
        <v>776</v>
      </c>
      <c r="J444" t="s">
        <v>776</v>
      </c>
      <c r="K444" t="s">
        <v>31</v>
      </c>
      <c r="M444" t="s">
        <v>22</v>
      </c>
      <c r="N444">
        <f t="shared" si="20"/>
        <v>2025</v>
      </c>
      <c r="O444">
        <f t="shared" si="18"/>
        <v>3</v>
      </c>
      <c r="P444" t="str">
        <f t="shared" si="19"/>
        <v>Marzo</v>
      </c>
    </row>
    <row r="445" spans="1:16" hidden="1" x14ac:dyDescent="0.25">
      <c r="C445" t="s">
        <v>17</v>
      </c>
      <c r="D445">
        <v>53052001</v>
      </c>
      <c r="E445" t="s">
        <v>18</v>
      </c>
      <c r="F445" s="4">
        <v>2554.52</v>
      </c>
      <c r="G445" t="s">
        <v>777</v>
      </c>
      <c r="H445" s="3">
        <v>45889</v>
      </c>
      <c r="I445" t="s">
        <v>778</v>
      </c>
      <c r="J445" t="s">
        <v>778</v>
      </c>
      <c r="K445" t="s">
        <v>27</v>
      </c>
      <c r="N445">
        <f t="shared" si="20"/>
        <v>2025</v>
      </c>
      <c r="O445">
        <f t="shared" si="18"/>
        <v>8</v>
      </c>
      <c r="P445" t="str">
        <f t="shared" si="19"/>
        <v>Agosto</v>
      </c>
    </row>
    <row r="446" spans="1:16" hidden="1" x14ac:dyDescent="0.25">
      <c r="C446" t="s">
        <v>17</v>
      </c>
      <c r="D446">
        <v>53052001</v>
      </c>
      <c r="E446" t="s">
        <v>18</v>
      </c>
      <c r="F446" s="4">
        <v>21225.210709999999</v>
      </c>
      <c r="G446" t="s">
        <v>779</v>
      </c>
      <c r="H446" s="3">
        <v>45664</v>
      </c>
      <c r="I446" t="s">
        <v>780</v>
      </c>
      <c r="J446" t="s">
        <v>780</v>
      </c>
      <c r="K446" t="s">
        <v>69</v>
      </c>
      <c r="M446" t="s">
        <v>93</v>
      </c>
      <c r="N446">
        <f t="shared" si="20"/>
        <v>2025</v>
      </c>
      <c r="O446">
        <f t="shared" si="18"/>
        <v>1</v>
      </c>
      <c r="P446" t="str">
        <f t="shared" si="19"/>
        <v>Enero</v>
      </c>
    </row>
    <row r="447" spans="1:16" hidden="1" x14ac:dyDescent="0.25">
      <c r="C447" t="s">
        <v>17</v>
      </c>
      <c r="D447">
        <v>53052001</v>
      </c>
      <c r="E447" t="s">
        <v>18</v>
      </c>
      <c r="F447" s="4">
        <v>45048.379219999995</v>
      </c>
      <c r="G447" t="s">
        <v>781</v>
      </c>
      <c r="H447" s="3">
        <v>45742</v>
      </c>
      <c r="I447" t="s">
        <v>782</v>
      </c>
      <c r="J447" t="s">
        <v>782</v>
      </c>
      <c r="K447" t="s">
        <v>69</v>
      </c>
      <c r="M447" t="s">
        <v>22</v>
      </c>
      <c r="N447">
        <f t="shared" si="20"/>
        <v>2025</v>
      </c>
      <c r="O447">
        <f t="shared" si="18"/>
        <v>3</v>
      </c>
      <c r="P447" t="str">
        <f t="shared" si="19"/>
        <v>Marzo</v>
      </c>
    </row>
    <row r="448" spans="1:16" hidden="1" x14ac:dyDescent="0.25">
      <c r="C448" t="s">
        <v>17</v>
      </c>
      <c r="D448">
        <v>53052001</v>
      </c>
      <c r="E448" t="s">
        <v>18</v>
      </c>
      <c r="F448" s="4">
        <v>30939.375</v>
      </c>
      <c r="G448" t="s">
        <v>783</v>
      </c>
      <c r="H448" s="3">
        <v>45664</v>
      </c>
      <c r="I448" t="s">
        <v>784</v>
      </c>
      <c r="J448" t="s">
        <v>784</v>
      </c>
      <c r="K448" t="s">
        <v>27</v>
      </c>
      <c r="M448" t="s">
        <v>93</v>
      </c>
      <c r="N448">
        <f t="shared" si="20"/>
        <v>2025</v>
      </c>
      <c r="O448">
        <f t="shared" si="18"/>
        <v>1</v>
      </c>
      <c r="P448" t="str">
        <f t="shared" si="19"/>
        <v>Enero</v>
      </c>
    </row>
    <row r="449" spans="1:16" hidden="1" x14ac:dyDescent="0.25">
      <c r="C449" t="s">
        <v>17</v>
      </c>
      <c r="D449">
        <v>53052001</v>
      </c>
      <c r="E449" t="s">
        <v>18</v>
      </c>
      <c r="F449" s="4">
        <v>6704.6313899999996</v>
      </c>
      <c r="G449" t="s">
        <v>785</v>
      </c>
      <c r="H449" s="3">
        <v>45664</v>
      </c>
      <c r="I449" t="s">
        <v>786</v>
      </c>
      <c r="J449" t="s">
        <v>786</v>
      </c>
      <c r="K449" t="s">
        <v>27</v>
      </c>
      <c r="M449" t="s">
        <v>93</v>
      </c>
      <c r="N449">
        <f t="shared" si="20"/>
        <v>2025</v>
      </c>
      <c r="O449">
        <f t="shared" si="18"/>
        <v>1</v>
      </c>
      <c r="P449" t="str">
        <f t="shared" si="19"/>
        <v>Enero</v>
      </c>
    </row>
    <row r="450" spans="1:16" hidden="1" x14ac:dyDescent="0.25">
      <c r="C450" t="s">
        <v>17</v>
      </c>
      <c r="D450">
        <v>53052001</v>
      </c>
      <c r="E450" t="s">
        <v>18</v>
      </c>
      <c r="F450" s="4">
        <v>129932.28591999999</v>
      </c>
      <c r="G450" t="s">
        <v>787</v>
      </c>
      <c r="H450" s="3">
        <v>45894</v>
      </c>
      <c r="I450" t="s">
        <v>788</v>
      </c>
      <c r="J450" t="s">
        <v>788</v>
      </c>
      <c r="K450" t="s">
        <v>27</v>
      </c>
      <c r="N450">
        <f t="shared" si="20"/>
        <v>2025</v>
      </c>
      <c r="O450">
        <f t="shared" ref="O450:O513" si="21">+MONTH(H450)</f>
        <v>8</v>
      </c>
      <c r="P450" t="str">
        <f t="shared" ref="P450:P513" si="22">+VLOOKUP(O450,X:Y,2,0)</f>
        <v>Agosto</v>
      </c>
    </row>
    <row r="451" spans="1:16" hidden="1" x14ac:dyDescent="0.25">
      <c r="C451" t="s">
        <v>17</v>
      </c>
      <c r="D451">
        <v>53052001</v>
      </c>
      <c r="E451" t="s">
        <v>18</v>
      </c>
      <c r="F451" s="4">
        <v>46065.524579999998</v>
      </c>
      <c r="G451" t="s">
        <v>789</v>
      </c>
      <c r="H451" s="3">
        <v>45867</v>
      </c>
      <c r="I451" t="s">
        <v>790</v>
      </c>
      <c r="J451" t="s">
        <v>791</v>
      </c>
      <c r="K451" t="s">
        <v>69</v>
      </c>
      <c r="M451" t="s">
        <v>22</v>
      </c>
      <c r="N451">
        <f t="shared" ref="N451:N514" si="23">+YEAR(H451)</f>
        <v>2025</v>
      </c>
      <c r="O451">
        <f t="shared" si="21"/>
        <v>7</v>
      </c>
      <c r="P451" t="str">
        <f t="shared" si="22"/>
        <v>Julio</v>
      </c>
    </row>
    <row r="452" spans="1:16" hidden="1" x14ac:dyDescent="0.25">
      <c r="C452" t="s">
        <v>17</v>
      </c>
      <c r="D452">
        <v>53052001</v>
      </c>
      <c r="E452" t="s">
        <v>18</v>
      </c>
      <c r="F452" s="4">
        <v>29555.685149999998</v>
      </c>
      <c r="G452" t="s">
        <v>789</v>
      </c>
      <c r="H452" s="3">
        <v>45867</v>
      </c>
      <c r="I452" t="s">
        <v>792</v>
      </c>
      <c r="J452" t="s">
        <v>791</v>
      </c>
      <c r="K452" t="s">
        <v>69</v>
      </c>
      <c r="M452" t="s">
        <v>22</v>
      </c>
      <c r="N452">
        <f t="shared" si="23"/>
        <v>2025</v>
      </c>
      <c r="O452">
        <f t="shared" si="21"/>
        <v>7</v>
      </c>
      <c r="P452" t="str">
        <f t="shared" si="22"/>
        <v>Julio</v>
      </c>
    </row>
    <row r="453" spans="1:16" hidden="1" x14ac:dyDescent="0.25">
      <c r="C453" t="s">
        <v>17</v>
      </c>
      <c r="D453">
        <v>53052001</v>
      </c>
      <c r="E453" t="s">
        <v>18</v>
      </c>
      <c r="F453" s="4">
        <v>38800</v>
      </c>
      <c r="G453" t="s">
        <v>793</v>
      </c>
      <c r="H453" s="3">
        <v>45845</v>
      </c>
      <c r="I453" t="s">
        <v>794</v>
      </c>
      <c r="J453" t="s">
        <v>794</v>
      </c>
      <c r="K453" t="s">
        <v>31</v>
      </c>
      <c r="N453">
        <f t="shared" si="23"/>
        <v>2025</v>
      </c>
      <c r="O453">
        <f t="shared" si="21"/>
        <v>7</v>
      </c>
      <c r="P453" t="str">
        <f t="shared" si="22"/>
        <v>Julio</v>
      </c>
    </row>
    <row r="454" spans="1:16" hidden="1" x14ac:dyDescent="0.25">
      <c r="C454" t="s">
        <v>17</v>
      </c>
      <c r="D454">
        <v>53052001</v>
      </c>
      <c r="E454" t="s">
        <v>18</v>
      </c>
      <c r="F454">
        <v>38903.332999999999</v>
      </c>
      <c r="G454" t="s">
        <v>795</v>
      </c>
      <c r="H454" s="3">
        <v>45782</v>
      </c>
      <c r="I454" t="s">
        <v>796</v>
      </c>
      <c r="J454" t="s">
        <v>796</v>
      </c>
      <c r="K454" t="s">
        <v>31</v>
      </c>
      <c r="M454" t="s">
        <v>22</v>
      </c>
      <c r="N454">
        <f t="shared" si="23"/>
        <v>2025</v>
      </c>
      <c r="O454">
        <f t="shared" si="21"/>
        <v>5</v>
      </c>
      <c r="P454" t="str">
        <f t="shared" si="22"/>
        <v>Mayo</v>
      </c>
    </row>
    <row r="455" spans="1:16" hidden="1" x14ac:dyDescent="0.25">
      <c r="A455" s="15"/>
      <c r="B455" s="15"/>
      <c r="C455" s="15" t="s">
        <v>17</v>
      </c>
      <c r="D455" s="15">
        <v>53052001</v>
      </c>
      <c r="E455" s="15" t="s">
        <v>18</v>
      </c>
      <c r="F455" s="20">
        <v>1450.556</v>
      </c>
      <c r="G455" s="15" t="s">
        <v>797</v>
      </c>
      <c r="H455" s="21">
        <v>45817</v>
      </c>
      <c r="I455" s="15" t="s">
        <v>798</v>
      </c>
      <c r="J455" s="15" t="s">
        <v>798</v>
      </c>
      <c r="K455" s="15" t="s">
        <v>27</v>
      </c>
      <c r="L455" s="15"/>
      <c r="M455" s="15"/>
      <c r="N455">
        <f t="shared" si="23"/>
        <v>2025</v>
      </c>
      <c r="O455" s="15">
        <f t="shared" si="21"/>
        <v>6</v>
      </c>
      <c r="P455" s="15" t="str">
        <f t="shared" si="22"/>
        <v>Junio</v>
      </c>
    </row>
    <row r="456" spans="1:16" hidden="1" x14ac:dyDescent="0.25">
      <c r="C456" t="s">
        <v>17</v>
      </c>
      <c r="D456">
        <v>53052001</v>
      </c>
      <c r="E456" t="s">
        <v>18</v>
      </c>
      <c r="F456" s="4">
        <v>29507.857</v>
      </c>
      <c r="G456" t="s">
        <v>799</v>
      </c>
      <c r="H456" s="3">
        <v>45832</v>
      </c>
      <c r="I456" t="s">
        <v>800</v>
      </c>
      <c r="J456" t="s">
        <v>800</v>
      </c>
      <c r="K456" t="s">
        <v>27</v>
      </c>
      <c r="N456">
        <f t="shared" si="23"/>
        <v>2025</v>
      </c>
      <c r="O456">
        <f t="shared" si="21"/>
        <v>6</v>
      </c>
      <c r="P456" t="str">
        <f t="shared" si="22"/>
        <v>Junio</v>
      </c>
    </row>
    <row r="457" spans="1:16" hidden="1" x14ac:dyDescent="0.25">
      <c r="C457" t="s">
        <v>17</v>
      </c>
      <c r="D457">
        <v>53052001</v>
      </c>
      <c r="E457" t="s">
        <v>18</v>
      </c>
      <c r="F457" s="4">
        <v>25080.173999999999</v>
      </c>
      <c r="G457" t="s">
        <v>801</v>
      </c>
      <c r="H457" s="3">
        <v>45832</v>
      </c>
      <c r="I457" t="s">
        <v>802</v>
      </c>
      <c r="J457" t="s">
        <v>802</v>
      </c>
      <c r="K457" t="s">
        <v>27</v>
      </c>
      <c r="N457">
        <f t="shared" si="23"/>
        <v>2025</v>
      </c>
      <c r="O457">
        <f t="shared" si="21"/>
        <v>6</v>
      </c>
      <c r="P457" t="str">
        <f t="shared" si="22"/>
        <v>Junio</v>
      </c>
    </row>
    <row r="458" spans="1:16" hidden="1" x14ac:dyDescent="0.25">
      <c r="C458" t="s">
        <v>17</v>
      </c>
      <c r="D458">
        <v>53052001</v>
      </c>
      <c r="E458" t="s">
        <v>18</v>
      </c>
      <c r="F458" s="4">
        <v>23826.117999999999</v>
      </c>
      <c r="G458" t="s">
        <v>803</v>
      </c>
      <c r="H458" s="3">
        <v>45897</v>
      </c>
      <c r="I458" t="s">
        <v>804</v>
      </c>
      <c r="J458" t="s">
        <v>805</v>
      </c>
      <c r="K458" t="s">
        <v>31</v>
      </c>
      <c r="N458">
        <f t="shared" si="23"/>
        <v>2025</v>
      </c>
      <c r="O458">
        <f t="shared" si="21"/>
        <v>8</v>
      </c>
      <c r="P458" t="str">
        <f t="shared" si="22"/>
        <v>Agosto</v>
      </c>
    </row>
    <row r="459" spans="1:16" hidden="1" x14ac:dyDescent="0.25">
      <c r="C459" t="s">
        <v>17</v>
      </c>
      <c r="D459">
        <v>53052001</v>
      </c>
      <c r="E459" t="s">
        <v>18</v>
      </c>
      <c r="F459" s="22">
        <v>11.6</v>
      </c>
      <c r="G459" s="23" t="s">
        <v>806</v>
      </c>
      <c r="H459" s="24">
        <v>45860</v>
      </c>
      <c r="I459" s="23" t="s">
        <v>807</v>
      </c>
      <c r="J459" s="6" t="s">
        <v>250</v>
      </c>
      <c r="K459" s="6" t="s">
        <v>808</v>
      </c>
      <c r="L459" s="6" t="s">
        <v>809</v>
      </c>
      <c r="M459" t="s">
        <v>22</v>
      </c>
      <c r="N459">
        <f t="shared" si="23"/>
        <v>2025</v>
      </c>
      <c r="O459">
        <f t="shared" si="21"/>
        <v>7</v>
      </c>
      <c r="P459" t="str">
        <f t="shared" si="22"/>
        <v>Julio</v>
      </c>
    </row>
    <row r="460" spans="1:16" hidden="1" x14ac:dyDescent="0.25">
      <c r="C460" t="s">
        <v>17</v>
      </c>
      <c r="D460">
        <v>53052001</v>
      </c>
      <c r="E460" t="s">
        <v>18</v>
      </c>
      <c r="F460" s="22">
        <v>1.4</v>
      </c>
      <c r="G460" s="23" t="s">
        <v>806</v>
      </c>
      <c r="H460" s="24">
        <v>45860</v>
      </c>
      <c r="I460" s="23" t="s">
        <v>807</v>
      </c>
      <c r="J460" s="6" t="s">
        <v>430</v>
      </c>
      <c r="K460" s="6" t="s">
        <v>808</v>
      </c>
      <c r="L460" s="6" t="s">
        <v>810</v>
      </c>
      <c r="M460" t="s">
        <v>22</v>
      </c>
      <c r="N460">
        <f t="shared" si="23"/>
        <v>2025</v>
      </c>
      <c r="O460">
        <f t="shared" si="21"/>
        <v>7</v>
      </c>
      <c r="P460" t="str">
        <f t="shared" si="22"/>
        <v>Julio</v>
      </c>
    </row>
    <row r="461" spans="1:16" hidden="1" x14ac:dyDescent="0.25">
      <c r="C461" t="s">
        <v>17</v>
      </c>
      <c r="D461">
        <v>53052001</v>
      </c>
      <c r="E461" t="s">
        <v>18</v>
      </c>
      <c r="F461" s="22">
        <v>86.4</v>
      </c>
      <c r="G461" s="23" t="s">
        <v>806</v>
      </c>
      <c r="H461" s="24">
        <v>45860</v>
      </c>
      <c r="I461" s="23" t="s">
        <v>807</v>
      </c>
      <c r="J461" s="6" t="s">
        <v>810</v>
      </c>
      <c r="K461" s="6" t="s">
        <v>808</v>
      </c>
      <c r="L461" s="6" t="s">
        <v>811</v>
      </c>
      <c r="M461" t="s">
        <v>22</v>
      </c>
      <c r="N461">
        <f t="shared" si="23"/>
        <v>2025</v>
      </c>
      <c r="O461">
        <f t="shared" si="21"/>
        <v>7</v>
      </c>
      <c r="P461" t="str">
        <f t="shared" si="22"/>
        <v>Julio</v>
      </c>
    </row>
    <row r="462" spans="1:16" hidden="1" x14ac:dyDescent="0.25">
      <c r="C462" t="s">
        <v>17</v>
      </c>
      <c r="D462">
        <v>53052001</v>
      </c>
      <c r="E462" t="s">
        <v>18</v>
      </c>
      <c r="F462" s="22">
        <v>9.3000000000000007</v>
      </c>
      <c r="G462" s="23" t="s">
        <v>806</v>
      </c>
      <c r="H462" s="24">
        <v>45860</v>
      </c>
      <c r="I462" s="23" t="s">
        <v>807</v>
      </c>
      <c r="J462" t="s">
        <v>249</v>
      </c>
      <c r="K462" t="s">
        <v>808</v>
      </c>
      <c r="M462" t="s">
        <v>22</v>
      </c>
      <c r="N462">
        <f t="shared" si="23"/>
        <v>2025</v>
      </c>
      <c r="O462">
        <f t="shared" si="21"/>
        <v>7</v>
      </c>
      <c r="P462" t="str">
        <f t="shared" si="22"/>
        <v>Julio</v>
      </c>
    </row>
    <row r="463" spans="1:16" hidden="1" x14ac:dyDescent="0.25">
      <c r="C463" t="s">
        <v>17</v>
      </c>
      <c r="D463">
        <v>53052001</v>
      </c>
      <c r="E463" t="s">
        <v>18</v>
      </c>
      <c r="F463" s="22">
        <v>23.6</v>
      </c>
      <c r="G463" s="23" t="s">
        <v>806</v>
      </c>
      <c r="H463" s="24">
        <v>45860</v>
      </c>
      <c r="I463" s="23" t="s">
        <v>807</v>
      </c>
      <c r="J463" t="s">
        <v>642</v>
      </c>
      <c r="K463" t="s">
        <v>808</v>
      </c>
      <c r="M463" t="s">
        <v>22</v>
      </c>
      <c r="N463">
        <f t="shared" si="23"/>
        <v>2025</v>
      </c>
      <c r="O463">
        <f t="shared" si="21"/>
        <v>7</v>
      </c>
      <c r="P463" t="str">
        <f t="shared" si="22"/>
        <v>Julio</v>
      </c>
    </row>
    <row r="464" spans="1:16" hidden="1" x14ac:dyDescent="0.25">
      <c r="C464" t="s">
        <v>17</v>
      </c>
      <c r="D464">
        <v>53052001</v>
      </c>
      <c r="E464" t="s">
        <v>18</v>
      </c>
      <c r="F464" s="22">
        <v>15</v>
      </c>
      <c r="G464" s="23" t="s">
        <v>806</v>
      </c>
      <c r="H464" s="24">
        <v>45860</v>
      </c>
      <c r="I464" s="23" t="s">
        <v>807</v>
      </c>
      <c r="J464" t="s">
        <v>251</v>
      </c>
      <c r="K464" t="s">
        <v>808</v>
      </c>
      <c r="M464" t="s">
        <v>93</v>
      </c>
      <c r="N464">
        <f t="shared" si="23"/>
        <v>2025</v>
      </c>
      <c r="O464">
        <f t="shared" si="21"/>
        <v>7</v>
      </c>
      <c r="P464" t="str">
        <f t="shared" si="22"/>
        <v>Julio</v>
      </c>
    </row>
    <row r="465" spans="3:16" hidden="1" x14ac:dyDescent="0.25">
      <c r="C465" t="s">
        <v>17</v>
      </c>
      <c r="D465">
        <v>53052001</v>
      </c>
      <c r="E465" t="s">
        <v>18</v>
      </c>
      <c r="F465" s="22">
        <v>29.1</v>
      </c>
      <c r="G465" s="23" t="s">
        <v>806</v>
      </c>
      <c r="H465" s="24">
        <v>45860</v>
      </c>
      <c r="I465" s="23" t="s">
        <v>807</v>
      </c>
      <c r="J465" t="s">
        <v>268</v>
      </c>
      <c r="K465" t="s">
        <v>808</v>
      </c>
      <c r="M465" t="s">
        <v>93</v>
      </c>
      <c r="N465">
        <f t="shared" si="23"/>
        <v>2025</v>
      </c>
      <c r="O465">
        <f t="shared" si="21"/>
        <v>7</v>
      </c>
      <c r="P465" t="str">
        <f t="shared" si="22"/>
        <v>Julio</v>
      </c>
    </row>
    <row r="466" spans="3:16" hidden="1" x14ac:dyDescent="0.25">
      <c r="C466" t="s">
        <v>17</v>
      </c>
      <c r="D466">
        <v>53052001</v>
      </c>
      <c r="E466" t="s">
        <v>18</v>
      </c>
      <c r="F466" s="22">
        <v>75.099999999999994</v>
      </c>
      <c r="G466" s="23" t="s">
        <v>806</v>
      </c>
      <c r="H466" s="24">
        <v>45860</v>
      </c>
      <c r="I466" s="23" t="s">
        <v>807</v>
      </c>
      <c r="J466" t="s">
        <v>809</v>
      </c>
      <c r="K466" t="s">
        <v>808</v>
      </c>
      <c r="M466" t="s">
        <v>93</v>
      </c>
      <c r="N466">
        <f t="shared" si="23"/>
        <v>2025</v>
      </c>
      <c r="O466">
        <f t="shared" si="21"/>
        <v>7</v>
      </c>
      <c r="P466" t="str">
        <f t="shared" si="22"/>
        <v>Julio</v>
      </c>
    </row>
    <row r="467" spans="3:16" hidden="1" x14ac:dyDescent="0.25">
      <c r="C467" t="s">
        <v>17</v>
      </c>
      <c r="D467">
        <v>53052001</v>
      </c>
      <c r="E467" t="s">
        <v>18</v>
      </c>
      <c r="F467" s="22">
        <v>0.2</v>
      </c>
      <c r="G467" s="23" t="s">
        <v>806</v>
      </c>
      <c r="H467" s="24">
        <v>45860</v>
      </c>
      <c r="I467" s="23" t="s">
        <v>807</v>
      </c>
      <c r="J467" t="s">
        <v>373</v>
      </c>
      <c r="K467" t="s">
        <v>808</v>
      </c>
      <c r="M467" t="s">
        <v>22</v>
      </c>
      <c r="N467">
        <f t="shared" si="23"/>
        <v>2025</v>
      </c>
      <c r="O467">
        <f t="shared" si="21"/>
        <v>7</v>
      </c>
      <c r="P467" t="str">
        <f t="shared" si="22"/>
        <v>Julio</v>
      </c>
    </row>
    <row r="468" spans="3:16" hidden="1" x14ac:dyDescent="0.25">
      <c r="C468" t="s">
        <v>17</v>
      </c>
      <c r="D468">
        <v>53052001</v>
      </c>
      <c r="E468" t="s">
        <v>18</v>
      </c>
      <c r="F468" s="22">
        <v>71.8</v>
      </c>
      <c r="G468" s="23" t="s">
        <v>806</v>
      </c>
      <c r="H468" s="24">
        <v>45860</v>
      </c>
      <c r="I468" s="23" t="s">
        <v>807</v>
      </c>
      <c r="J468" t="s">
        <v>47</v>
      </c>
      <c r="K468" t="s">
        <v>808</v>
      </c>
      <c r="M468" t="s">
        <v>22</v>
      </c>
      <c r="N468">
        <f t="shared" si="23"/>
        <v>2025</v>
      </c>
      <c r="O468">
        <f t="shared" si="21"/>
        <v>7</v>
      </c>
      <c r="P468" t="str">
        <f t="shared" si="22"/>
        <v>Julio</v>
      </c>
    </row>
    <row r="469" spans="3:16" hidden="1" x14ac:dyDescent="0.25">
      <c r="C469" t="s">
        <v>17</v>
      </c>
      <c r="D469">
        <v>53052001</v>
      </c>
      <c r="E469" t="s">
        <v>18</v>
      </c>
      <c r="F469" s="22">
        <v>4</v>
      </c>
      <c r="G469" s="23" t="s">
        <v>806</v>
      </c>
      <c r="H469" s="24">
        <v>45860</v>
      </c>
      <c r="I469" s="23" t="s">
        <v>807</v>
      </c>
      <c r="J469" t="s">
        <v>720</v>
      </c>
      <c r="K469" t="s">
        <v>808</v>
      </c>
      <c r="M469" t="s">
        <v>22</v>
      </c>
      <c r="N469">
        <f t="shared" si="23"/>
        <v>2025</v>
      </c>
      <c r="O469">
        <f t="shared" si="21"/>
        <v>7</v>
      </c>
      <c r="P469" t="str">
        <f t="shared" si="22"/>
        <v>Julio</v>
      </c>
    </row>
    <row r="470" spans="3:16" hidden="1" x14ac:dyDescent="0.25">
      <c r="C470" t="s">
        <v>17</v>
      </c>
      <c r="D470">
        <v>53052001</v>
      </c>
      <c r="E470" t="s">
        <v>18</v>
      </c>
      <c r="F470" s="22">
        <v>5.9</v>
      </c>
      <c r="G470" s="23" t="s">
        <v>806</v>
      </c>
      <c r="H470" s="24">
        <v>45860</v>
      </c>
      <c r="I470" s="23" t="s">
        <v>807</v>
      </c>
      <c r="J470" t="s">
        <v>248</v>
      </c>
      <c r="K470" t="s">
        <v>808</v>
      </c>
      <c r="M470" t="s">
        <v>22</v>
      </c>
      <c r="N470">
        <f t="shared" si="23"/>
        <v>2025</v>
      </c>
      <c r="O470">
        <f t="shared" si="21"/>
        <v>7</v>
      </c>
      <c r="P470" t="str">
        <f t="shared" si="22"/>
        <v>Julio</v>
      </c>
    </row>
    <row r="471" spans="3:16" hidden="1" x14ac:dyDescent="0.25">
      <c r="C471" t="s">
        <v>17</v>
      </c>
      <c r="D471">
        <v>53052001</v>
      </c>
      <c r="E471" t="s">
        <v>18</v>
      </c>
      <c r="F471" s="22">
        <v>30</v>
      </c>
      <c r="G471" s="23" t="s">
        <v>806</v>
      </c>
      <c r="H471" s="24">
        <v>45860</v>
      </c>
      <c r="I471" s="23" t="s">
        <v>807</v>
      </c>
      <c r="J471" t="s">
        <v>733</v>
      </c>
      <c r="K471" t="s">
        <v>808</v>
      </c>
      <c r="M471" t="s">
        <v>22</v>
      </c>
      <c r="N471">
        <f t="shared" si="23"/>
        <v>2025</v>
      </c>
      <c r="O471">
        <f t="shared" si="21"/>
        <v>7</v>
      </c>
      <c r="P471" t="str">
        <f t="shared" si="22"/>
        <v>Julio</v>
      </c>
    </row>
    <row r="472" spans="3:16" hidden="1" x14ac:dyDescent="0.25">
      <c r="C472" t="s">
        <v>17</v>
      </c>
      <c r="D472">
        <v>53052001</v>
      </c>
      <c r="E472" t="s">
        <v>18</v>
      </c>
      <c r="F472" s="22">
        <v>0.3</v>
      </c>
      <c r="G472" s="23" t="s">
        <v>806</v>
      </c>
      <c r="H472" s="24">
        <v>45860</v>
      </c>
      <c r="I472" s="23" t="s">
        <v>807</v>
      </c>
      <c r="J472" t="s">
        <v>383</v>
      </c>
      <c r="K472" t="s">
        <v>808</v>
      </c>
      <c r="M472" t="s">
        <v>22</v>
      </c>
      <c r="N472">
        <f t="shared" si="23"/>
        <v>2025</v>
      </c>
      <c r="O472">
        <f t="shared" si="21"/>
        <v>7</v>
      </c>
      <c r="P472" t="str">
        <f t="shared" si="22"/>
        <v>Julio</v>
      </c>
    </row>
    <row r="473" spans="3:16" hidden="1" x14ac:dyDescent="0.25">
      <c r="C473" t="s">
        <v>17</v>
      </c>
      <c r="D473">
        <v>53052001</v>
      </c>
      <c r="E473" t="s">
        <v>18</v>
      </c>
      <c r="F473" s="22">
        <v>0.2</v>
      </c>
      <c r="G473" s="23" t="s">
        <v>806</v>
      </c>
      <c r="H473" s="24">
        <v>45860</v>
      </c>
      <c r="I473" s="23" t="s">
        <v>807</v>
      </c>
      <c r="J473" t="s">
        <v>375</v>
      </c>
      <c r="K473" t="s">
        <v>808</v>
      </c>
      <c r="M473" t="s">
        <v>22</v>
      </c>
      <c r="N473">
        <f t="shared" si="23"/>
        <v>2025</v>
      </c>
      <c r="O473">
        <f t="shared" si="21"/>
        <v>7</v>
      </c>
      <c r="P473" t="str">
        <f t="shared" si="22"/>
        <v>Julio</v>
      </c>
    </row>
    <row r="474" spans="3:16" hidden="1" x14ac:dyDescent="0.25">
      <c r="C474" t="s">
        <v>17</v>
      </c>
      <c r="D474">
        <v>53052001</v>
      </c>
      <c r="E474" t="s">
        <v>18</v>
      </c>
      <c r="F474" s="22">
        <v>178.3</v>
      </c>
      <c r="G474" s="23" t="s">
        <v>806</v>
      </c>
      <c r="H474" s="24">
        <v>45860</v>
      </c>
      <c r="I474" s="23" t="s">
        <v>807</v>
      </c>
      <c r="J474" t="s">
        <v>811</v>
      </c>
      <c r="K474" t="s">
        <v>808</v>
      </c>
      <c r="M474" t="s">
        <v>22</v>
      </c>
      <c r="N474">
        <f t="shared" si="23"/>
        <v>2025</v>
      </c>
      <c r="O474">
        <f t="shared" si="21"/>
        <v>7</v>
      </c>
      <c r="P474" t="str">
        <f t="shared" si="22"/>
        <v>Julio</v>
      </c>
    </row>
    <row r="475" spans="3:16" hidden="1" x14ac:dyDescent="0.25">
      <c r="C475" t="s">
        <v>17</v>
      </c>
      <c r="D475">
        <v>53052001</v>
      </c>
      <c r="E475" t="s">
        <v>18</v>
      </c>
      <c r="F475" s="22">
        <v>0.3</v>
      </c>
      <c r="G475" s="23" t="s">
        <v>806</v>
      </c>
      <c r="H475" s="24">
        <v>45860</v>
      </c>
      <c r="I475" s="23" t="s">
        <v>807</v>
      </c>
      <c r="J475" t="s">
        <v>377</v>
      </c>
      <c r="K475" t="s">
        <v>808</v>
      </c>
      <c r="M475" t="s">
        <v>93</v>
      </c>
      <c r="N475">
        <f t="shared" si="23"/>
        <v>2025</v>
      </c>
      <c r="O475">
        <f t="shared" si="21"/>
        <v>7</v>
      </c>
      <c r="P475" t="str">
        <f t="shared" si="22"/>
        <v>Julio</v>
      </c>
    </row>
    <row r="476" spans="3:16" hidden="1" x14ac:dyDescent="0.25">
      <c r="C476" t="s">
        <v>17</v>
      </c>
      <c r="D476">
        <v>53052001</v>
      </c>
      <c r="E476" t="s">
        <v>18</v>
      </c>
      <c r="F476" s="22">
        <v>2.7</v>
      </c>
      <c r="G476" s="23" t="s">
        <v>806</v>
      </c>
      <c r="H476" s="24">
        <v>45860</v>
      </c>
      <c r="I476" s="23" t="s">
        <v>807</v>
      </c>
      <c r="J476" t="s">
        <v>432</v>
      </c>
      <c r="K476" t="s">
        <v>808</v>
      </c>
      <c r="M476" t="s">
        <v>22</v>
      </c>
      <c r="N476">
        <f t="shared" si="23"/>
        <v>2025</v>
      </c>
      <c r="O476">
        <f t="shared" si="21"/>
        <v>7</v>
      </c>
      <c r="P476" t="str">
        <f t="shared" si="22"/>
        <v>Julio</v>
      </c>
    </row>
    <row r="477" spans="3:16" hidden="1" x14ac:dyDescent="0.25">
      <c r="C477" t="s">
        <v>17</v>
      </c>
      <c r="D477">
        <v>53052001</v>
      </c>
      <c r="E477" t="s">
        <v>18</v>
      </c>
      <c r="F477" s="22">
        <v>1.1000000000000001</v>
      </c>
      <c r="G477" s="23" t="s">
        <v>806</v>
      </c>
      <c r="H477" s="24">
        <v>45860</v>
      </c>
      <c r="I477" s="23" t="s">
        <v>807</v>
      </c>
      <c r="J477" t="s">
        <v>379</v>
      </c>
      <c r="K477" t="s">
        <v>808</v>
      </c>
      <c r="M477" t="s">
        <v>22</v>
      </c>
      <c r="N477">
        <f t="shared" si="23"/>
        <v>2025</v>
      </c>
      <c r="O477">
        <f t="shared" si="21"/>
        <v>7</v>
      </c>
      <c r="P477" t="str">
        <f t="shared" si="22"/>
        <v>Julio</v>
      </c>
    </row>
    <row r="478" spans="3:16" hidden="1" x14ac:dyDescent="0.25">
      <c r="C478" t="s">
        <v>17</v>
      </c>
      <c r="D478">
        <v>53052001</v>
      </c>
      <c r="E478" t="s">
        <v>18</v>
      </c>
      <c r="F478" s="22">
        <v>0.5</v>
      </c>
      <c r="G478" s="23" t="s">
        <v>812</v>
      </c>
      <c r="H478" s="24">
        <v>45716</v>
      </c>
      <c r="I478" s="23" t="s">
        <v>813</v>
      </c>
      <c r="J478" t="s">
        <v>268</v>
      </c>
      <c r="K478" t="s">
        <v>808</v>
      </c>
      <c r="M478" t="s">
        <v>22</v>
      </c>
      <c r="N478">
        <f t="shared" si="23"/>
        <v>2025</v>
      </c>
      <c r="O478">
        <f t="shared" si="21"/>
        <v>2</v>
      </c>
      <c r="P478" t="str">
        <f t="shared" si="22"/>
        <v>Febrero</v>
      </c>
    </row>
    <row r="479" spans="3:16" hidden="1" x14ac:dyDescent="0.25">
      <c r="C479" t="s">
        <v>17</v>
      </c>
      <c r="D479">
        <v>53052001</v>
      </c>
      <c r="E479" t="s">
        <v>18</v>
      </c>
      <c r="F479" s="4">
        <v>22545.040710000001</v>
      </c>
      <c r="G479" t="s">
        <v>814</v>
      </c>
      <c r="H479" s="3">
        <v>45698</v>
      </c>
      <c r="I479" t="s">
        <v>815</v>
      </c>
      <c r="J479" t="s">
        <v>815</v>
      </c>
      <c r="K479" t="s">
        <v>69</v>
      </c>
      <c r="M479" t="s">
        <v>22</v>
      </c>
      <c r="N479">
        <f t="shared" si="23"/>
        <v>2025</v>
      </c>
      <c r="O479">
        <f t="shared" si="21"/>
        <v>2</v>
      </c>
      <c r="P479" t="str">
        <f t="shared" si="22"/>
        <v>Febrero</v>
      </c>
    </row>
    <row r="480" spans="3:16" hidden="1" x14ac:dyDescent="0.25">
      <c r="C480" t="s">
        <v>17</v>
      </c>
      <c r="D480">
        <v>53052001</v>
      </c>
      <c r="E480" t="s">
        <v>18</v>
      </c>
      <c r="F480" s="4">
        <v>2867.2890000000002</v>
      </c>
      <c r="G480" t="s">
        <v>816</v>
      </c>
      <c r="H480" s="3">
        <v>45691</v>
      </c>
      <c r="I480" t="s">
        <v>817</v>
      </c>
      <c r="J480" t="s">
        <v>817</v>
      </c>
      <c r="K480" t="s">
        <v>27</v>
      </c>
      <c r="M480" t="s">
        <v>22</v>
      </c>
      <c r="N480">
        <f t="shared" si="23"/>
        <v>2025</v>
      </c>
      <c r="O480">
        <f t="shared" si="21"/>
        <v>2</v>
      </c>
      <c r="P480" t="str">
        <f t="shared" si="22"/>
        <v>Febrero</v>
      </c>
    </row>
    <row r="481" spans="3:16" hidden="1" x14ac:dyDescent="0.25">
      <c r="C481" t="s">
        <v>17</v>
      </c>
      <c r="D481">
        <v>53052001</v>
      </c>
      <c r="E481" t="s">
        <v>18</v>
      </c>
      <c r="F481">
        <v>30036.205999999998</v>
      </c>
      <c r="G481" t="s">
        <v>818</v>
      </c>
      <c r="H481" s="3">
        <v>45770</v>
      </c>
      <c r="I481" t="s">
        <v>819</v>
      </c>
      <c r="J481" t="s">
        <v>819</v>
      </c>
      <c r="K481" t="s">
        <v>27</v>
      </c>
      <c r="M481" t="s">
        <v>22</v>
      </c>
      <c r="N481">
        <f t="shared" si="23"/>
        <v>2025</v>
      </c>
      <c r="O481">
        <f t="shared" si="21"/>
        <v>4</v>
      </c>
      <c r="P481" t="str">
        <f t="shared" si="22"/>
        <v>Abril</v>
      </c>
    </row>
    <row r="482" spans="3:16" hidden="1" x14ac:dyDescent="0.25">
      <c r="C482" t="s">
        <v>17</v>
      </c>
      <c r="D482">
        <v>53052001</v>
      </c>
      <c r="E482" t="s">
        <v>18</v>
      </c>
      <c r="F482">
        <v>28236.69195</v>
      </c>
      <c r="G482" t="s">
        <v>820</v>
      </c>
      <c r="H482" s="3">
        <v>45803</v>
      </c>
      <c r="I482" t="s">
        <v>821</v>
      </c>
      <c r="J482" t="s">
        <v>821</v>
      </c>
      <c r="K482" t="s">
        <v>69</v>
      </c>
      <c r="N482">
        <f t="shared" si="23"/>
        <v>2025</v>
      </c>
      <c r="O482">
        <f t="shared" si="21"/>
        <v>5</v>
      </c>
      <c r="P482" t="str">
        <f t="shared" si="22"/>
        <v>Mayo</v>
      </c>
    </row>
    <row r="483" spans="3:16" hidden="1" x14ac:dyDescent="0.25">
      <c r="C483" t="s">
        <v>17</v>
      </c>
      <c r="D483">
        <v>53052001</v>
      </c>
      <c r="E483" t="s">
        <v>18</v>
      </c>
      <c r="F483" s="4">
        <v>6377.4373900000001</v>
      </c>
      <c r="G483" t="s">
        <v>822</v>
      </c>
      <c r="H483" s="3">
        <v>45693</v>
      </c>
      <c r="I483" t="s">
        <v>823</v>
      </c>
      <c r="J483" t="s">
        <v>823</v>
      </c>
      <c r="K483" t="s">
        <v>27</v>
      </c>
      <c r="M483" t="s">
        <v>22</v>
      </c>
      <c r="N483">
        <f t="shared" si="23"/>
        <v>2025</v>
      </c>
      <c r="O483">
        <f t="shared" si="21"/>
        <v>2</v>
      </c>
      <c r="P483" t="str">
        <f t="shared" si="22"/>
        <v>Febrero</v>
      </c>
    </row>
    <row r="484" spans="3:16" hidden="1" x14ac:dyDescent="0.25">
      <c r="C484" t="s">
        <v>17</v>
      </c>
      <c r="D484">
        <v>53052001</v>
      </c>
      <c r="E484" t="s">
        <v>18</v>
      </c>
      <c r="F484" s="4">
        <v>17633.333170000002</v>
      </c>
      <c r="G484" t="s">
        <v>824</v>
      </c>
      <c r="H484" s="3">
        <v>45877</v>
      </c>
      <c r="I484" t="s">
        <v>825</v>
      </c>
      <c r="J484" t="s">
        <v>825</v>
      </c>
      <c r="K484" t="s">
        <v>69</v>
      </c>
      <c r="M484" t="s">
        <v>22</v>
      </c>
      <c r="N484">
        <f t="shared" si="23"/>
        <v>2025</v>
      </c>
      <c r="O484">
        <f t="shared" si="21"/>
        <v>8</v>
      </c>
      <c r="P484" t="str">
        <f t="shared" si="22"/>
        <v>Agosto</v>
      </c>
    </row>
    <row r="485" spans="3:16" hidden="1" x14ac:dyDescent="0.25">
      <c r="C485" t="s">
        <v>17</v>
      </c>
      <c r="D485">
        <v>53052001</v>
      </c>
      <c r="E485" t="s">
        <v>18</v>
      </c>
      <c r="F485" s="4">
        <v>87584.903000000006</v>
      </c>
      <c r="G485" t="s">
        <v>826</v>
      </c>
      <c r="H485" s="3">
        <v>45684</v>
      </c>
      <c r="I485" t="s">
        <v>827</v>
      </c>
      <c r="J485" t="s">
        <v>827</v>
      </c>
      <c r="K485" t="s">
        <v>31</v>
      </c>
      <c r="M485" t="s">
        <v>22</v>
      </c>
      <c r="N485">
        <f t="shared" si="23"/>
        <v>2025</v>
      </c>
      <c r="O485">
        <f t="shared" si="21"/>
        <v>1</v>
      </c>
      <c r="P485" t="str">
        <f t="shared" si="22"/>
        <v>Enero</v>
      </c>
    </row>
    <row r="486" spans="3:16" hidden="1" x14ac:dyDescent="0.25">
      <c r="C486" t="s">
        <v>17</v>
      </c>
      <c r="D486">
        <v>53052001</v>
      </c>
      <c r="E486" t="s">
        <v>18</v>
      </c>
      <c r="F486" s="4">
        <v>8762.3389999999999</v>
      </c>
      <c r="G486" t="s">
        <v>828</v>
      </c>
      <c r="H486" s="3">
        <v>45869</v>
      </c>
      <c r="I486" t="s">
        <v>829</v>
      </c>
      <c r="J486" t="s">
        <v>829</v>
      </c>
      <c r="K486" t="s">
        <v>37</v>
      </c>
      <c r="M486" t="s">
        <v>93</v>
      </c>
      <c r="N486">
        <f t="shared" si="23"/>
        <v>2025</v>
      </c>
      <c r="O486">
        <f t="shared" si="21"/>
        <v>7</v>
      </c>
      <c r="P486" t="str">
        <f t="shared" si="22"/>
        <v>Julio</v>
      </c>
    </row>
    <row r="487" spans="3:16" hidden="1" x14ac:dyDescent="0.25">
      <c r="C487" t="s">
        <v>17</v>
      </c>
      <c r="D487">
        <v>53052001</v>
      </c>
      <c r="E487" t="s">
        <v>18</v>
      </c>
      <c r="F487" s="4">
        <v>84924.301999999996</v>
      </c>
      <c r="G487" t="s">
        <v>828</v>
      </c>
      <c r="H487" s="3">
        <v>45869</v>
      </c>
      <c r="I487" t="s">
        <v>829</v>
      </c>
      <c r="J487" t="s">
        <v>829</v>
      </c>
      <c r="K487" t="s">
        <v>31</v>
      </c>
      <c r="M487" t="s">
        <v>22</v>
      </c>
      <c r="N487">
        <f t="shared" si="23"/>
        <v>2025</v>
      </c>
      <c r="O487">
        <f t="shared" si="21"/>
        <v>7</v>
      </c>
      <c r="P487" t="str">
        <f t="shared" si="22"/>
        <v>Julio</v>
      </c>
    </row>
    <row r="488" spans="3:16" hidden="1" x14ac:dyDescent="0.25">
      <c r="C488" t="s">
        <v>17</v>
      </c>
      <c r="D488">
        <v>53052001</v>
      </c>
      <c r="E488" t="s">
        <v>18</v>
      </c>
      <c r="F488" s="4">
        <v>5996.2960000000003</v>
      </c>
      <c r="G488" t="s">
        <v>828</v>
      </c>
      <c r="H488" s="3">
        <v>45869</v>
      </c>
      <c r="I488" t="s">
        <v>829</v>
      </c>
      <c r="J488" t="s">
        <v>829</v>
      </c>
      <c r="K488" t="s">
        <v>27</v>
      </c>
      <c r="M488" t="s">
        <v>22</v>
      </c>
      <c r="N488">
        <f t="shared" si="23"/>
        <v>2025</v>
      </c>
      <c r="O488">
        <f t="shared" si="21"/>
        <v>7</v>
      </c>
      <c r="P488" t="str">
        <f t="shared" si="22"/>
        <v>Julio</v>
      </c>
    </row>
    <row r="489" spans="3:16" hidden="1" x14ac:dyDescent="0.25">
      <c r="C489" t="s">
        <v>17</v>
      </c>
      <c r="D489">
        <v>53052001</v>
      </c>
      <c r="E489" t="s">
        <v>18</v>
      </c>
      <c r="F489" s="4">
        <v>9965.3970000000008</v>
      </c>
      <c r="G489" t="s">
        <v>828</v>
      </c>
      <c r="H489" s="3">
        <v>45869</v>
      </c>
      <c r="I489" t="s">
        <v>829</v>
      </c>
      <c r="J489" t="s">
        <v>829</v>
      </c>
      <c r="K489" t="s">
        <v>41</v>
      </c>
      <c r="M489" t="s">
        <v>22</v>
      </c>
      <c r="N489">
        <f t="shared" si="23"/>
        <v>2025</v>
      </c>
      <c r="O489">
        <f t="shared" si="21"/>
        <v>7</v>
      </c>
      <c r="P489" t="str">
        <f t="shared" si="22"/>
        <v>Julio</v>
      </c>
    </row>
    <row r="490" spans="3:16" hidden="1" x14ac:dyDescent="0.25">
      <c r="C490" t="s">
        <v>17</v>
      </c>
      <c r="D490">
        <v>53052001</v>
      </c>
      <c r="E490" t="s">
        <v>18</v>
      </c>
      <c r="F490" s="4">
        <v>84660.813999999998</v>
      </c>
      <c r="G490" t="s">
        <v>828</v>
      </c>
      <c r="H490" s="3">
        <v>45869</v>
      </c>
      <c r="I490" t="s">
        <v>829</v>
      </c>
      <c r="J490" t="s">
        <v>829</v>
      </c>
      <c r="K490" t="s">
        <v>21</v>
      </c>
      <c r="M490" t="s">
        <v>22</v>
      </c>
      <c r="N490">
        <f t="shared" si="23"/>
        <v>2025</v>
      </c>
      <c r="O490">
        <f t="shared" si="21"/>
        <v>7</v>
      </c>
      <c r="P490" t="str">
        <f t="shared" si="22"/>
        <v>Julio</v>
      </c>
    </row>
    <row r="491" spans="3:16" hidden="1" x14ac:dyDescent="0.25">
      <c r="C491" t="s">
        <v>17</v>
      </c>
      <c r="D491">
        <v>53052001</v>
      </c>
      <c r="E491" t="s">
        <v>18</v>
      </c>
      <c r="F491">
        <v>35583</v>
      </c>
      <c r="G491" t="s">
        <v>830</v>
      </c>
      <c r="H491" s="3">
        <v>45806</v>
      </c>
      <c r="I491" t="s">
        <v>831</v>
      </c>
      <c r="J491" t="s">
        <v>831</v>
      </c>
      <c r="K491" t="s">
        <v>27</v>
      </c>
      <c r="N491">
        <f t="shared" si="23"/>
        <v>2025</v>
      </c>
      <c r="O491">
        <f t="shared" si="21"/>
        <v>5</v>
      </c>
      <c r="P491" t="str">
        <f t="shared" si="22"/>
        <v>Mayo</v>
      </c>
    </row>
    <row r="492" spans="3:16" hidden="1" x14ac:dyDescent="0.25">
      <c r="C492" t="s">
        <v>17</v>
      </c>
      <c r="D492">
        <v>53052001</v>
      </c>
      <c r="E492" t="s">
        <v>18</v>
      </c>
      <c r="F492" s="4">
        <v>-3949.5858599999997</v>
      </c>
      <c r="G492" t="s">
        <v>832</v>
      </c>
      <c r="H492" s="3">
        <v>45747</v>
      </c>
      <c r="I492" t="s">
        <v>833</v>
      </c>
      <c r="J492" t="s">
        <v>833</v>
      </c>
      <c r="K492" t="s">
        <v>21</v>
      </c>
      <c r="M492" t="s">
        <v>22</v>
      </c>
      <c r="N492">
        <f t="shared" si="23"/>
        <v>2025</v>
      </c>
      <c r="O492">
        <f t="shared" si="21"/>
        <v>3</v>
      </c>
      <c r="P492" t="str">
        <f t="shared" si="22"/>
        <v>Marzo</v>
      </c>
    </row>
    <row r="493" spans="3:16" hidden="1" x14ac:dyDescent="0.25">
      <c r="C493" t="s">
        <v>17</v>
      </c>
      <c r="D493">
        <v>53052001</v>
      </c>
      <c r="E493" t="s">
        <v>18</v>
      </c>
      <c r="F493" s="4">
        <v>10755.41257</v>
      </c>
      <c r="G493" t="s">
        <v>834</v>
      </c>
      <c r="H493" s="3">
        <v>45852</v>
      </c>
      <c r="I493" t="s">
        <v>835</v>
      </c>
      <c r="J493" t="s">
        <v>835</v>
      </c>
      <c r="K493" t="s">
        <v>37</v>
      </c>
      <c r="M493" t="s">
        <v>22</v>
      </c>
      <c r="N493">
        <f t="shared" si="23"/>
        <v>2025</v>
      </c>
      <c r="O493">
        <f t="shared" si="21"/>
        <v>7</v>
      </c>
      <c r="P493" t="str">
        <f t="shared" si="22"/>
        <v>Julio</v>
      </c>
    </row>
    <row r="494" spans="3:16" hidden="1" x14ac:dyDescent="0.25">
      <c r="C494" t="s">
        <v>17</v>
      </c>
      <c r="D494">
        <v>53052001</v>
      </c>
      <c r="E494" t="s">
        <v>18</v>
      </c>
      <c r="F494" s="4">
        <v>-22361.379000000001</v>
      </c>
      <c r="G494" t="s">
        <v>836</v>
      </c>
      <c r="H494" s="3">
        <v>45838</v>
      </c>
      <c r="I494" t="s">
        <v>837</v>
      </c>
      <c r="J494" t="s">
        <v>838</v>
      </c>
      <c r="K494" t="s">
        <v>41</v>
      </c>
      <c r="N494">
        <f t="shared" si="23"/>
        <v>2025</v>
      </c>
      <c r="O494">
        <f t="shared" si="21"/>
        <v>6</v>
      </c>
      <c r="P494" t="str">
        <f t="shared" si="22"/>
        <v>Junio</v>
      </c>
    </row>
    <row r="495" spans="3:16" hidden="1" x14ac:dyDescent="0.25">
      <c r="C495" t="s">
        <v>17</v>
      </c>
      <c r="D495">
        <v>53052001</v>
      </c>
      <c r="E495" t="s">
        <v>18</v>
      </c>
      <c r="F495" s="4">
        <v>-19517.75157</v>
      </c>
      <c r="G495" t="s">
        <v>839</v>
      </c>
      <c r="H495" s="3">
        <v>45900</v>
      </c>
      <c r="I495" t="s">
        <v>840</v>
      </c>
      <c r="J495" t="s">
        <v>841</v>
      </c>
      <c r="K495" t="s">
        <v>37</v>
      </c>
      <c r="N495">
        <f t="shared" si="23"/>
        <v>2025</v>
      </c>
      <c r="O495">
        <f t="shared" si="21"/>
        <v>8</v>
      </c>
      <c r="P495" t="str">
        <f t="shared" si="22"/>
        <v>Agosto</v>
      </c>
    </row>
    <row r="496" spans="3:16" hidden="1" x14ac:dyDescent="0.25">
      <c r="C496" t="s">
        <v>17</v>
      </c>
      <c r="D496">
        <v>53052001</v>
      </c>
      <c r="E496" t="s">
        <v>18</v>
      </c>
      <c r="F496" s="17">
        <v>-46045.760000000002</v>
      </c>
      <c r="G496" s="16" t="s">
        <v>836</v>
      </c>
      <c r="H496" s="18">
        <v>45838</v>
      </c>
      <c r="I496" s="16" t="s">
        <v>842</v>
      </c>
      <c r="J496" s="16" t="s">
        <v>838</v>
      </c>
      <c r="K496" t="s">
        <v>37</v>
      </c>
      <c r="N496">
        <f t="shared" si="23"/>
        <v>2025</v>
      </c>
      <c r="O496">
        <f t="shared" si="21"/>
        <v>6</v>
      </c>
      <c r="P496" t="str">
        <f t="shared" si="22"/>
        <v>Junio</v>
      </c>
    </row>
    <row r="497" spans="1:16" hidden="1" x14ac:dyDescent="0.25">
      <c r="C497" t="s">
        <v>17</v>
      </c>
      <c r="D497">
        <v>53052001</v>
      </c>
      <c r="E497" t="s">
        <v>18</v>
      </c>
      <c r="F497">
        <v>-256016.11300000001</v>
      </c>
      <c r="G497" t="s">
        <v>843</v>
      </c>
      <c r="H497" s="3">
        <v>45808</v>
      </c>
      <c r="I497" t="s">
        <v>844</v>
      </c>
      <c r="J497" t="s">
        <v>844</v>
      </c>
      <c r="K497" t="s">
        <v>35</v>
      </c>
      <c r="N497">
        <f t="shared" si="23"/>
        <v>2025</v>
      </c>
      <c r="O497">
        <f t="shared" si="21"/>
        <v>5</v>
      </c>
      <c r="P497" t="str">
        <f t="shared" si="22"/>
        <v>Mayo</v>
      </c>
    </row>
    <row r="498" spans="1:16" hidden="1" x14ac:dyDescent="0.25">
      <c r="C498" t="s">
        <v>17</v>
      </c>
      <c r="D498">
        <v>53052001</v>
      </c>
      <c r="E498" t="s">
        <v>18</v>
      </c>
      <c r="F498" s="4">
        <v>-260434.527</v>
      </c>
      <c r="G498" t="s">
        <v>836</v>
      </c>
      <c r="H498" s="3">
        <v>45838</v>
      </c>
      <c r="I498" t="s">
        <v>845</v>
      </c>
      <c r="J498" t="s">
        <v>838</v>
      </c>
      <c r="K498" t="s">
        <v>31</v>
      </c>
      <c r="N498">
        <f t="shared" si="23"/>
        <v>2025</v>
      </c>
      <c r="O498">
        <f t="shared" si="21"/>
        <v>6</v>
      </c>
      <c r="P498" t="str">
        <f t="shared" si="22"/>
        <v>Junio</v>
      </c>
    </row>
    <row r="499" spans="1:16" hidden="1" x14ac:dyDescent="0.25">
      <c r="C499" t="s">
        <v>17</v>
      </c>
      <c r="D499">
        <v>53052001</v>
      </c>
      <c r="E499" t="s">
        <v>18</v>
      </c>
      <c r="F499" s="4">
        <v>-5996.2960000000003</v>
      </c>
      <c r="G499" t="s">
        <v>839</v>
      </c>
      <c r="H499" s="3">
        <v>45900</v>
      </c>
      <c r="I499" t="s">
        <v>846</v>
      </c>
      <c r="J499" t="s">
        <v>841</v>
      </c>
      <c r="K499" t="s">
        <v>27</v>
      </c>
      <c r="N499">
        <f t="shared" si="23"/>
        <v>2025</v>
      </c>
      <c r="O499">
        <f t="shared" si="21"/>
        <v>8</v>
      </c>
      <c r="P499" t="str">
        <f t="shared" si="22"/>
        <v>Agosto</v>
      </c>
    </row>
    <row r="500" spans="1:16" hidden="1" x14ac:dyDescent="0.25">
      <c r="C500" t="s">
        <v>17</v>
      </c>
      <c r="D500">
        <v>53052001</v>
      </c>
      <c r="E500" t="s">
        <v>18</v>
      </c>
      <c r="F500" s="4">
        <v>-32893.957999999999</v>
      </c>
      <c r="G500" t="s">
        <v>836</v>
      </c>
      <c r="H500" s="3">
        <v>45838</v>
      </c>
      <c r="I500" t="s">
        <v>847</v>
      </c>
      <c r="J500" t="s">
        <v>838</v>
      </c>
      <c r="K500" t="s">
        <v>27</v>
      </c>
      <c r="N500">
        <f t="shared" si="23"/>
        <v>2025</v>
      </c>
      <c r="O500">
        <f t="shared" si="21"/>
        <v>6</v>
      </c>
      <c r="P500" t="str">
        <f t="shared" si="22"/>
        <v>Junio</v>
      </c>
    </row>
    <row r="501" spans="1:16" hidden="1" x14ac:dyDescent="0.25">
      <c r="C501" t="s">
        <v>17</v>
      </c>
      <c r="D501">
        <v>53052001</v>
      </c>
      <c r="E501" t="s">
        <v>18</v>
      </c>
      <c r="F501">
        <v>-242000.08499999999</v>
      </c>
      <c r="G501" t="s">
        <v>848</v>
      </c>
      <c r="H501" s="3">
        <v>45777</v>
      </c>
      <c r="I501" t="s">
        <v>849</v>
      </c>
      <c r="J501" t="s">
        <v>849</v>
      </c>
      <c r="K501" t="s">
        <v>21</v>
      </c>
      <c r="M501" t="s">
        <v>22</v>
      </c>
      <c r="N501">
        <f t="shared" si="23"/>
        <v>2025</v>
      </c>
      <c r="O501">
        <f t="shared" si="21"/>
        <v>4</v>
      </c>
      <c r="P501" t="str">
        <f t="shared" si="22"/>
        <v>Abril</v>
      </c>
    </row>
    <row r="502" spans="1:16" hidden="1" x14ac:dyDescent="0.25">
      <c r="C502" t="s">
        <v>17</v>
      </c>
      <c r="D502">
        <v>53052001</v>
      </c>
      <c r="E502" t="s">
        <v>18</v>
      </c>
      <c r="F502" s="4">
        <v>-251251.448</v>
      </c>
      <c r="G502" t="s">
        <v>850</v>
      </c>
      <c r="H502" s="3">
        <v>45869</v>
      </c>
      <c r="I502" t="s">
        <v>851</v>
      </c>
      <c r="J502" t="s">
        <v>851</v>
      </c>
      <c r="K502" t="s">
        <v>21</v>
      </c>
      <c r="M502" t="s">
        <v>22</v>
      </c>
      <c r="N502">
        <f t="shared" si="23"/>
        <v>2025</v>
      </c>
      <c r="O502">
        <f t="shared" si="21"/>
        <v>7</v>
      </c>
      <c r="P502" t="str">
        <f t="shared" si="22"/>
        <v>Julio</v>
      </c>
    </row>
    <row r="503" spans="1:16" hidden="1" x14ac:dyDescent="0.25">
      <c r="C503" t="s">
        <v>17</v>
      </c>
      <c r="D503">
        <v>53052001</v>
      </c>
      <c r="E503" t="s">
        <v>18</v>
      </c>
      <c r="F503" s="4">
        <v>13.106</v>
      </c>
      <c r="G503" t="s">
        <v>852</v>
      </c>
      <c r="H503" s="3">
        <v>45869</v>
      </c>
      <c r="I503" t="s">
        <v>853</v>
      </c>
      <c r="J503" t="s">
        <v>854</v>
      </c>
      <c r="K503" t="s">
        <v>27</v>
      </c>
      <c r="M503" t="s">
        <v>93</v>
      </c>
      <c r="N503">
        <f t="shared" si="23"/>
        <v>2025</v>
      </c>
      <c r="O503">
        <f t="shared" si="21"/>
        <v>7</v>
      </c>
      <c r="P503" t="str">
        <f t="shared" si="22"/>
        <v>Julio</v>
      </c>
    </row>
    <row r="504" spans="1:16" hidden="1" x14ac:dyDescent="0.25">
      <c r="C504" t="s">
        <v>17</v>
      </c>
      <c r="D504">
        <v>53052001</v>
      </c>
      <c r="E504" t="s">
        <v>18</v>
      </c>
      <c r="F504" s="4">
        <v>1.1120000000000001</v>
      </c>
      <c r="G504" t="s">
        <v>852</v>
      </c>
      <c r="H504" s="3">
        <v>45869</v>
      </c>
      <c r="I504" t="s">
        <v>855</v>
      </c>
      <c r="J504" t="s">
        <v>854</v>
      </c>
      <c r="K504" t="s">
        <v>27</v>
      </c>
      <c r="M504" t="s">
        <v>93</v>
      </c>
      <c r="N504">
        <f t="shared" si="23"/>
        <v>2025</v>
      </c>
      <c r="O504">
        <f t="shared" si="21"/>
        <v>7</v>
      </c>
      <c r="P504" t="str">
        <f t="shared" si="22"/>
        <v>Julio</v>
      </c>
    </row>
    <row r="505" spans="1:16" hidden="1" x14ac:dyDescent="0.25">
      <c r="C505" t="s">
        <v>17</v>
      </c>
      <c r="D505">
        <v>53052001</v>
      </c>
      <c r="E505" t="s">
        <v>18</v>
      </c>
      <c r="F505">
        <v>3.25</v>
      </c>
      <c r="G505" t="s">
        <v>856</v>
      </c>
      <c r="H505" s="3">
        <v>45808</v>
      </c>
      <c r="I505" t="s">
        <v>857</v>
      </c>
      <c r="J505" t="s">
        <v>857</v>
      </c>
      <c r="K505" t="s">
        <v>27</v>
      </c>
      <c r="N505">
        <f t="shared" si="23"/>
        <v>2025</v>
      </c>
      <c r="O505">
        <f t="shared" si="21"/>
        <v>5</v>
      </c>
      <c r="P505" t="str">
        <f t="shared" si="22"/>
        <v>Mayo</v>
      </c>
    </row>
    <row r="506" spans="1:16" hidden="1" x14ac:dyDescent="0.25">
      <c r="C506" t="s">
        <v>17</v>
      </c>
      <c r="D506">
        <v>53052001</v>
      </c>
      <c r="E506" t="s">
        <v>18</v>
      </c>
      <c r="F506" s="4">
        <v>2.7440000000000002</v>
      </c>
      <c r="G506" t="s">
        <v>858</v>
      </c>
      <c r="H506" s="3">
        <v>45747</v>
      </c>
      <c r="I506" t="s">
        <v>859</v>
      </c>
      <c r="J506" t="s">
        <v>860</v>
      </c>
      <c r="K506" t="s">
        <v>27</v>
      </c>
      <c r="M506" t="s">
        <v>22</v>
      </c>
      <c r="N506">
        <f t="shared" si="23"/>
        <v>2025</v>
      </c>
      <c r="O506">
        <f t="shared" si="21"/>
        <v>3</v>
      </c>
      <c r="P506" t="str">
        <f t="shared" si="22"/>
        <v>Marzo</v>
      </c>
    </row>
    <row r="507" spans="1:16" hidden="1" x14ac:dyDescent="0.25">
      <c r="A507" s="15"/>
      <c r="B507" s="15"/>
      <c r="C507" s="15" t="s">
        <v>17</v>
      </c>
      <c r="D507" s="15">
        <v>53052001</v>
      </c>
      <c r="E507" s="15" t="s">
        <v>18</v>
      </c>
      <c r="F507" s="20">
        <v>35309.794999999998</v>
      </c>
      <c r="G507" s="15" t="s">
        <v>861</v>
      </c>
      <c r="H507" s="21">
        <v>45901</v>
      </c>
      <c r="I507" s="15" t="s">
        <v>862</v>
      </c>
      <c r="J507" s="15" t="s">
        <v>862</v>
      </c>
      <c r="K507" s="15" t="s">
        <v>27</v>
      </c>
      <c r="L507" s="15"/>
      <c r="M507" s="15"/>
      <c r="N507">
        <f t="shared" si="23"/>
        <v>2025</v>
      </c>
      <c r="O507" s="15">
        <f t="shared" si="21"/>
        <v>9</v>
      </c>
      <c r="P507" s="15" t="str">
        <f t="shared" si="22"/>
        <v>Septiembre</v>
      </c>
    </row>
    <row r="508" spans="1:16" hidden="1" x14ac:dyDescent="0.25">
      <c r="C508" t="s">
        <v>17</v>
      </c>
      <c r="D508">
        <v>53052001</v>
      </c>
      <c r="E508" t="s">
        <v>18</v>
      </c>
      <c r="F508" s="4">
        <v>14129.666999999999</v>
      </c>
      <c r="G508" t="s">
        <v>863</v>
      </c>
      <c r="H508" s="3">
        <v>45902</v>
      </c>
      <c r="I508" t="s">
        <v>864</v>
      </c>
      <c r="J508" t="s">
        <v>865</v>
      </c>
      <c r="K508" t="s">
        <v>69</v>
      </c>
      <c r="N508">
        <f t="shared" si="23"/>
        <v>2025</v>
      </c>
      <c r="O508">
        <f t="shared" si="21"/>
        <v>9</v>
      </c>
      <c r="P508" t="str">
        <f t="shared" si="22"/>
        <v>Septiembre</v>
      </c>
    </row>
    <row r="509" spans="1:16" hidden="1" x14ac:dyDescent="0.25">
      <c r="C509" t="s">
        <v>17</v>
      </c>
      <c r="D509">
        <v>53052001</v>
      </c>
      <c r="E509" t="s">
        <v>18</v>
      </c>
      <c r="F509" s="4">
        <v>10835.040999999999</v>
      </c>
      <c r="G509" t="s">
        <v>863</v>
      </c>
      <c r="H509" s="3">
        <v>45902</v>
      </c>
      <c r="I509" t="s">
        <v>866</v>
      </c>
      <c r="J509" t="s">
        <v>865</v>
      </c>
      <c r="K509" t="s">
        <v>69</v>
      </c>
      <c r="N509">
        <f t="shared" si="23"/>
        <v>2025</v>
      </c>
      <c r="O509">
        <f t="shared" si="21"/>
        <v>9</v>
      </c>
      <c r="P509" t="str">
        <f t="shared" si="22"/>
        <v>Septiembre</v>
      </c>
    </row>
    <row r="510" spans="1:16" hidden="1" x14ac:dyDescent="0.25">
      <c r="C510" t="s">
        <v>17</v>
      </c>
      <c r="D510">
        <v>53052001</v>
      </c>
      <c r="E510" t="s">
        <v>18</v>
      </c>
      <c r="F510" s="4">
        <v>4591.8130000000001</v>
      </c>
      <c r="G510" t="s">
        <v>863</v>
      </c>
      <c r="H510" s="3">
        <v>45902</v>
      </c>
      <c r="I510" t="s">
        <v>867</v>
      </c>
      <c r="J510" t="s">
        <v>865</v>
      </c>
      <c r="K510" t="s">
        <v>69</v>
      </c>
      <c r="N510">
        <f t="shared" si="23"/>
        <v>2025</v>
      </c>
      <c r="O510">
        <f t="shared" si="21"/>
        <v>9</v>
      </c>
      <c r="P510" t="str">
        <f t="shared" si="22"/>
        <v>Septiembre</v>
      </c>
    </row>
    <row r="511" spans="1:16" hidden="1" x14ac:dyDescent="0.25">
      <c r="C511" t="s">
        <v>17</v>
      </c>
      <c r="D511">
        <v>53052001</v>
      </c>
      <c r="E511" t="s">
        <v>18</v>
      </c>
      <c r="F511" s="4">
        <v>3535.6959999999999</v>
      </c>
      <c r="G511" t="s">
        <v>863</v>
      </c>
      <c r="H511" s="3">
        <v>45902</v>
      </c>
      <c r="I511" t="s">
        <v>868</v>
      </c>
      <c r="J511" t="s">
        <v>865</v>
      </c>
      <c r="K511" t="s">
        <v>69</v>
      </c>
      <c r="N511">
        <f t="shared" si="23"/>
        <v>2025</v>
      </c>
      <c r="O511">
        <f t="shared" si="21"/>
        <v>9</v>
      </c>
      <c r="P511" t="str">
        <f t="shared" si="22"/>
        <v>Septiembre</v>
      </c>
    </row>
    <row r="512" spans="1:16" hidden="1" x14ac:dyDescent="0.25">
      <c r="C512" t="s">
        <v>17</v>
      </c>
      <c r="D512">
        <v>53052001</v>
      </c>
      <c r="E512" t="s">
        <v>18</v>
      </c>
      <c r="F512" s="4">
        <v>8830.7579999999998</v>
      </c>
      <c r="G512" t="s">
        <v>863</v>
      </c>
      <c r="H512" s="3">
        <v>45902</v>
      </c>
      <c r="I512" t="s">
        <v>869</v>
      </c>
      <c r="J512" t="s">
        <v>865</v>
      </c>
      <c r="K512" t="s">
        <v>69</v>
      </c>
      <c r="N512">
        <f t="shared" si="23"/>
        <v>2025</v>
      </c>
      <c r="O512">
        <f t="shared" si="21"/>
        <v>9</v>
      </c>
      <c r="P512" t="str">
        <f t="shared" si="22"/>
        <v>Septiembre</v>
      </c>
    </row>
    <row r="513" spans="3:16" hidden="1" x14ac:dyDescent="0.25">
      <c r="C513" t="s">
        <v>17</v>
      </c>
      <c r="D513">
        <v>53052001</v>
      </c>
      <c r="E513" t="s">
        <v>18</v>
      </c>
      <c r="F513" s="4">
        <v>2565.9830000000002</v>
      </c>
      <c r="G513" t="s">
        <v>870</v>
      </c>
      <c r="H513" s="3">
        <v>45903</v>
      </c>
      <c r="I513" t="s">
        <v>705</v>
      </c>
      <c r="J513" t="s">
        <v>705</v>
      </c>
      <c r="K513" t="s">
        <v>27</v>
      </c>
      <c r="N513">
        <f t="shared" si="23"/>
        <v>2025</v>
      </c>
      <c r="O513">
        <f t="shared" si="21"/>
        <v>9</v>
      </c>
      <c r="P513" t="str">
        <f t="shared" si="22"/>
        <v>Septiembre</v>
      </c>
    </row>
    <row r="514" spans="3:16" hidden="1" x14ac:dyDescent="0.25">
      <c r="C514" t="s">
        <v>17</v>
      </c>
      <c r="D514">
        <v>53052001</v>
      </c>
      <c r="E514" t="s">
        <v>18</v>
      </c>
      <c r="F514" s="4">
        <v>1307.432</v>
      </c>
      <c r="G514" t="s">
        <v>871</v>
      </c>
      <c r="H514" s="3">
        <v>45908</v>
      </c>
      <c r="I514" t="s">
        <v>703</v>
      </c>
      <c r="J514" t="s">
        <v>703</v>
      </c>
      <c r="K514" t="s">
        <v>27</v>
      </c>
      <c r="N514">
        <f t="shared" si="23"/>
        <v>2025</v>
      </c>
      <c r="O514">
        <f t="shared" ref="O514:O568" si="24">+MONTH(H514)</f>
        <v>9</v>
      </c>
      <c r="P514" t="str">
        <f t="shared" ref="P514:P561" si="25">+VLOOKUP(O514,X:Y,2,0)</f>
        <v>Septiembre</v>
      </c>
    </row>
    <row r="515" spans="3:16" hidden="1" x14ac:dyDescent="0.25">
      <c r="C515" t="s">
        <v>17</v>
      </c>
      <c r="D515">
        <v>53052001</v>
      </c>
      <c r="E515" t="s">
        <v>18</v>
      </c>
      <c r="F515" s="4">
        <v>38780</v>
      </c>
      <c r="G515" t="s">
        <v>872</v>
      </c>
      <c r="H515" s="3">
        <v>45908</v>
      </c>
      <c r="I515" t="s">
        <v>873</v>
      </c>
      <c r="J515" t="s">
        <v>873</v>
      </c>
      <c r="K515" t="s">
        <v>31</v>
      </c>
      <c r="N515">
        <f t="shared" ref="N515:N578" si="26">+YEAR(H515)</f>
        <v>2025</v>
      </c>
      <c r="O515">
        <f t="shared" si="24"/>
        <v>9</v>
      </c>
      <c r="P515" t="str">
        <f t="shared" si="25"/>
        <v>Septiembre</v>
      </c>
    </row>
    <row r="516" spans="3:16" hidden="1" x14ac:dyDescent="0.25">
      <c r="C516" t="s">
        <v>17</v>
      </c>
      <c r="D516">
        <v>53052001</v>
      </c>
      <c r="E516" t="s">
        <v>18</v>
      </c>
      <c r="F516" s="4">
        <v>1333.835</v>
      </c>
      <c r="G516" t="s">
        <v>874</v>
      </c>
      <c r="H516" s="3">
        <v>45910</v>
      </c>
      <c r="I516" t="s">
        <v>875</v>
      </c>
      <c r="J516" t="s">
        <v>875</v>
      </c>
      <c r="K516" t="s">
        <v>27</v>
      </c>
      <c r="N516">
        <f t="shared" si="26"/>
        <v>2025</v>
      </c>
      <c r="O516">
        <f t="shared" si="24"/>
        <v>9</v>
      </c>
      <c r="P516" t="str">
        <f t="shared" si="25"/>
        <v>Septiembre</v>
      </c>
    </row>
    <row r="517" spans="3:16" hidden="1" x14ac:dyDescent="0.25">
      <c r="C517" t="s">
        <v>17</v>
      </c>
      <c r="D517">
        <v>53052001</v>
      </c>
      <c r="E517" t="s">
        <v>18</v>
      </c>
      <c r="F517" s="4">
        <v>1718.08</v>
      </c>
      <c r="G517" t="s">
        <v>876</v>
      </c>
      <c r="H517" s="3">
        <v>45910</v>
      </c>
      <c r="I517" t="s">
        <v>877</v>
      </c>
      <c r="J517" t="s">
        <v>877</v>
      </c>
      <c r="K517" t="s">
        <v>69</v>
      </c>
      <c r="N517">
        <f t="shared" si="26"/>
        <v>2025</v>
      </c>
      <c r="O517">
        <f t="shared" si="24"/>
        <v>9</v>
      </c>
      <c r="P517" t="str">
        <f t="shared" si="25"/>
        <v>Septiembre</v>
      </c>
    </row>
    <row r="518" spans="3:16" hidden="1" x14ac:dyDescent="0.25">
      <c r="C518" t="s">
        <v>17</v>
      </c>
      <c r="D518">
        <v>53052001</v>
      </c>
      <c r="E518" t="s">
        <v>18</v>
      </c>
      <c r="F518" s="4">
        <v>17.224799999999998</v>
      </c>
      <c r="G518" t="s">
        <v>878</v>
      </c>
      <c r="H518" s="3">
        <v>45915</v>
      </c>
      <c r="I518" t="s">
        <v>879</v>
      </c>
      <c r="J518" t="s">
        <v>879</v>
      </c>
      <c r="K518" t="s">
        <v>57</v>
      </c>
      <c r="N518">
        <f t="shared" si="26"/>
        <v>2025</v>
      </c>
      <c r="O518">
        <f t="shared" si="24"/>
        <v>9</v>
      </c>
      <c r="P518" t="str">
        <f t="shared" si="25"/>
        <v>Septiembre</v>
      </c>
    </row>
    <row r="519" spans="3:16" hidden="1" x14ac:dyDescent="0.25">
      <c r="C519" t="s">
        <v>17</v>
      </c>
      <c r="D519">
        <v>53052001</v>
      </c>
      <c r="E519" t="s">
        <v>18</v>
      </c>
      <c r="F519" s="4">
        <v>2533.779</v>
      </c>
      <c r="G519" t="s">
        <v>880</v>
      </c>
      <c r="H519" s="3">
        <v>45916</v>
      </c>
      <c r="I519" t="s">
        <v>881</v>
      </c>
      <c r="J519" t="s">
        <v>881</v>
      </c>
      <c r="K519" t="s">
        <v>27</v>
      </c>
      <c r="N519">
        <f t="shared" si="26"/>
        <v>2025</v>
      </c>
      <c r="O519">
        <f t="shared" si="24"/>
        <v>9</v>
      </c>
      <c r="P519" t="str">
        <f t="shared" si="25"/>
        <v>Septiembre</v>
      </c>
    </row>
    <row r="520" spans="3:16" hidden="1" x14ac:dyDescent="0.25">
      <c r="C520" t="s">
        <v>17</v>
      </c>
      <c r="D520">
        <v>53052001</v>
      </c>
      <c r="E520" t="s">
        <v>18</v>
      </c>
      <c r="F520" s="4">
        <v>12858.374</v>
      </c>
      <c r="G520" t="s">
        <v>882</v>
      </c>
      <c r="H520" s="3">
        <v>45917</v>
      </c>
      <c r="I520" t="s">
        <v>883</v>
      </c>
      <c r="J520" t="s">
        <v>883</v>
      </c>
      <c r="K520" t="s">
        <v>31</v>
      </c>
      <c r="N520">
        <f t="shared" si="26"/>
        <v>2025</v>
      </c>
      <c r="O520">
        <f t="shared" si="24"/>
        <v>9</v>
      </c>
      <c r="P520" t="str">
        <f t="shared" si="25"/>
        <v>Septiembre</v>
      </c>
    </row>
    <row r="521" spans="3:16" hidden="1" x14ac:dyDescent="0.25">
      <c r="C521" t="s">
        <v>17</v>
      </c>
      <c r="D521">
        <v>53052001</v>
      </c>
      <c r="E521" t="s">
        <v>18</v>
      </c>
      <c r="F521" s="4">
        <v>13069.78169</v>
      </c>
      <c r="G521" t="s">
        <v>884</v>
      </c>
      <c r="H521" s="3">
        <v>45922</v>
      </c>
      <c r="I521" t="s">
        <v>885</v>
      </c>
      <c r="J521" t="s">
        <v>885</v>
      </c>
      <c r="K521" t="s">
        <v>46</v>
      </c>
      <c r="N521">
        <f t="shared" si="26"/>
        <v>2025</v>
      </c>
      <c r="O521">
        <f t="shared" si="24"/>
        <v>9</v>
      </c>
      <c r="P521" t="str">
        <f t="shared" si="25"/>
        <v>Septiembre</v>
      </c>
    </row>
    <row r="522" spans="3:16" hidden="1" x14ac:dyDescent="0.25">
      <c r="C522" t="s">
        <v>17</v>
      </c>
      <c r="D522">
        <v>53052001</v>
      </c>
      <c r="E522" t="s">
        <v>18</v>
      </c>
      <c r="F522" s="4">
        <v>256546.315</v>
      </c>
      <c r="G522" t="s">
        <v>886</v>
      </c>
      <c r="H522" s="3">
        <v>45923</v>
      </c>
      <c r="I522" t="s">
        <v>887</v>
      </c>
      <c r="J522" t="s">
        <v>887</v>
      </c>
      <c r="K522" t="s">
        <v>31</v>
      </c>
      <c r="N522">
        <f t="shared" si="26"/>
        <v>2025</v>
      </c>
      <c r="O522">
        <f t="shared" si="24"/>
        <v>9</v>
      </c>
      <c r="P522" t="str">
        <f t="shared" si="25"/>
        <v>Septiembre</v>
      </c>
    </row>
    <row r="523" spans="3:16" hidden="1" x14ac:dyDescent="0.25">
      <c r="C523" t="s">
        <v>17</v>
      </c>
      <c r="D523">
        <v>53052001</v>
      </c>
      <c r="E523" t="s">
        <v>18</v>
      </c>
      <c r="F523" s="4">
        <v>2252.4696800000002</v>
      </c>
      <c r="G523" t="s">
        <v>888</v>
      </c>
      <c r="H523" s="3">
        <v>45923</v>
      </c>
      <c r="I523" t="s">
        <v>889</v>
      </c>
      <c r="J523" t="s">
        <v>889</v>
      </c>
      <c r="K523" t="s">
        <v>41</v>
      </c>
      <c r="N523">
        <f t="shared" si="26"/>
        <v>2025</v>
      </c>
      <c r="O523">
        <f t="shared" si="24"/>
        <v>9</v>
      </c>
      <c r="P523" t="str">
        <f t="shared" si="25"/>
        <v>Septiembre</v>
      </c>
    </row>
    <row r="524" spans="3:16" hidden="1" x14ac:dyDescent="0.25">
      <c r="C524" t="s">
        <v>17</v>
      </c>
      <c r="D524">
        <v>53052001</v>
      </c>
      <c r="E524" t="s">
        <v>18</v>
      </c>
      <c r="F524" s="4">
        <v>5496.76361</v>
      </c>
      <c r="G524" t="s">
        <v>890</v>
      </c>
      <c r="H524" s="3">
        <v>45923</v>
      </c>
      <c r="I524" t="s">
        <v>891</v>
      </c>
      <c r="J524" t="s">
        <v>891</v>
      </c>
      <c r="K524" t="s">
        <v>41</v>
      </c>
      <c r="N524">
        <f t="shared" si="26"/>
        <v>2025</v>
      </c>
      <c r="O524">
        <f t="shared" si="24"/>
        <v>9</v>
      </c>
      <c r="P524" t="str">
        <f t="shared" si="25"/>
        <v>Septiembre</v>
      </c>
    </row>
    <row r="525" spans="3:16" hidden="1" x14ac:dyDescent="0.25">
      <c r="C525" t="s">
        <v>17</v>
      </c>
      <c r="D525">
        <v>53052001</v>
      </c>
      <c r="E525" t="s">
        <v>18</v>
      </c>
      <c r="F525" s="4">
        <v>142209.85999999999</v>
      </c>
      <c r="G525" t="s">
        <v>892</v>
      </c>
      <c r="H525" s="3">
        <v>45923</v>
      </c>
      <c r="I525" t="s">
        <v>885</v>
      </c>
      <c r="J525" t="s">
        <v>885</v>
      </c>
      <c r="K525" t="s">
        <v>60</v>
      </c>
      <c r="N525">
        <f t="shared" si="26"/>
        <v>2025</v>
      </c>
      <c r="O525">
        <f t="shared" si="24"/>
        <v>9</v>
      </c>
      <c r="P525" t="str">
        <f t="shared" si="25"/>
        <v>Septiembre</v>
      </c>
    </row>
    <row r="526" spans="3:16" hidden="1" x14ac:dyDescent="0.25">
      <c r="C526" t="s">
        <v>17</v>
      </c>
      <c r="D526">
        <v>53052001</v>
      </c>
      <c r="E526" t="s">
        <v>18</v>
      </c>
      <c r="F526" s="4">
        <v>1684.1643600000002</v>
      </c>
      <c r="G526" t="s">
        <v>893</v>
      </c>
      <c r="H526" s="3">
        <v>45923</v>
      </c>
      <c r="I526" t="s">
        <v>885</v>
      </c>
      <c r="J526" t="s">
        <v>885</v>
      </c>
      <c r="K526" t="s">
        <v>60</v>
      </c>
      <c r="N526">
        <f t="shared" si="26"/>
        <v>2025</v>
      </c>
      <c r="O526">
        <f t="shared" si="24"/>
        <v>9</v>
      </c>
      <c r="P526" t="str">
        <f t="shared" si="25"/>
        <v>Septiembre</v>
      </c>
    </row>
    <row r="527" spans="3:16" hidden="1" x14ac:dyDescent="0.25">
      <c r="C527" t="s">
        <v>17</v>
      </c>
      <c r="D527">
        <v>53052001</v>
      </c>
      <c r="E527" t="s">
        <v>18</v>
      </c>
      <c r="F527" s="4">
        <v>131226.11799999999</v>
      </c>
      <c r="G527" t="s">
        <v>894</v>
      </c>
      <c r="H527" s="3">
        <v>45925</v>
      </c>
      <c r="I527" t="s">
        <v>895</v>
      </c>
      <c r="J527" t="s">
        <v>895</v>
      </c>
      <c r="K527" t="s">
        <v>27</v>
      </c>
      <c r="N527">
        <f t="shared" si="26"/>
        <v>2025</v>
      </c>
      <c r="O527">
        <f t="shared" si="24"/>
        <v>9</v>
      </c>
      <c r="P527" t="str">
        <f t="shared" si="25"/>
        <v>Septiembre</v>
      </c>
    </row>
    <row r="528" spans="3:16" hidden="1" x14ac:dyDescent="0.25">
      <c r="C528" t="s">
        <v>17</v>
      </c>
      <c r="D528">
        <v>53052001</v>
      </c>
      <c r="E528" t="s">
        <v>18</v>
      </c>
      <c r="F528" s="4">
        <v>144171.24838999999</v>
      </c>
      <c r="G528" t="s">
        <v>896</v>
      </c>
      <c r="H528" s="3">
        <v>45926</v>
      </c>
      <c r="I528" t="s">
        <v>897</v>
      </c>
      <c r="J528" t="s">
        <v>897</v>
      </c>
      <c r="K528" t="s">
        <v>35</v>
      </c>
      <c r="N528">
        <f t="shared" si="26"/>
        <v>2025</v>
      </c>
      <c r="O528">
        <f t="shared" si="24"/>
        <v>9</v>
      </c>
      <c r="P528" t="str">
        <f t="shared" si="25"/>
        <v>Septiembre</v>
      </c>
    </row>
    <row r="529" spans="3:16" hidden="1" x14ac:dyDescent="0.25">
      <c r="C529" t="s">
        <v>17</v>
      </c>
      <c r="D529">
        <v>53052001</v>
      </c>
      <c r="E529" t="s">
        <v>18</v>
      </c>
      <c r="F529" s="4">
        <v>137240.986</v>
      </c>
      <c r="G529" t="s">
        <v>898</v>
      </c>
      <c r="H529" s="3">
        <v>45926</v>
      </c>
      <c r="I529" t="s">
        <v>899</v>
      </c>
      <c r="J529" t="s">
        <v>899</v>
      </c>
      <c r="K529" t="s">
        <v>21</v>
      </c>
      <c r="N529">
        <f t="shared" si="26"/>
        <v>2025</v>
      </c>
      <c r="O529">
        <f t="shared" si="24"/>
        <v>9</v>
      </c>
      <c r="P529" t="str">
        <f t="shared" si="25"/>
        <v>Septiembre</v>
      </c>
    </row>
    <row r="530" spans="3:16" hidden="1" x14ac:dyDescent="0.25">
      <c r="C530" t="s">
        <v>17</v>
      </c>
      <c r="D530">
        <v>53052001</v>
      </c>
      <c r="E530" t="s">
        <v>18</v>
      </c>
      <c r="F530" s="4">
        <v>226912.26913999999</v>
      </c>
      <c r="G530" t="s">
        <v>900</v>
      </c>
      <c r="H530" s="3">
        <v>45926</v>
      </c>
      <c r="I530" t="s">
        <v>899</v>
      </c>
      <c r="J530" t="s">
        <v>899</v>
      </c>
      <c r="K530" t="s">
        <v>27</v>
      </c>
      <c r="N530">
        <f t="shared" si="26"/>
        <v>2025</v>
      </c>
      <c r="O530">
        <f t="shared" si="24"/>
        <v>9</v>
      </c>
      <c r="P530" t="str">
        <f t="shared" si="25"/>
        <v>Septiembre</v>
      </c>
    </row>
    <row r="531" spans="3:16" hidden="1" x14ac:dyDescent="0.25">
      <c r="C531" t="s">
        <v>17</v>
      </c>
      <c r="D531">
        <v>53052001</v>
      </c>
      <c r="E531" t="s">
        <v>18</v>
      </c>
      <c r="F531" s="4">
        <v>319020.571</v>
      </c>
      <c r="G531" t="s">
        <v>901</v>
      </c>
      <c r="H531" s="3">
        <v>45926</v>
      </c>
      <c r="I531" t="s">
        <v>902</v>
      </c>
      <c r="J531" t="s">
        <v>902</v>
      </c>
      <c r="K531" t="s">
        <v>27</v>
      </c>
      <c r="N531">
        <f t="shared" si="26"/>
        <v>2025</v>
      </c>
      <c r="O531">
        <f t="shared" si="24"/>
        <v>9</v>
      </c>
      <c r="P531" t="str">
        <f t="shared" si="25"/>
        <v>Septiembre</v>
      </c>
    </row>
    <row r="532" spans="3:16" hidden="1" x14ac:dyDescent="0.25">
      <c r="C532" t="s">
        <v>17</v>
      </c>
      <c r="D532">
        <v>53052001</v>
      </c>
      <c r="E532" t="s">
        <v>18</v>
      </c>
      <c r="F532" s="4">
        <v>274414.74099999998</v>
      </c>
      <c r="G532" t="s">
        <v>903</v>
      </c>
      <c r="H532" s="3">
        <v>45926</v>
      </c>
      <c r="I532" t="s">
        <v>904</v>
      </c>
      <c r="J532" t="s">
        <v>904</v>
      </c>
      <c r="K532" t="s">
        <v>31</v>
      </c>
      <c r="N532">
        <f t="shared" si="26"/>
        <v>2025</v>
      </c>
      <c r="O532">
        <f t="shared" si="24"/>
        <v>9</v>
      </c>
      <c r="P532" t="str">
        <f t="shared" si="25"/>
        <v>Septiembre</v>
      </c>
    </row>
    <row r="533" spans="3:16" hidden="1" x14ac:dyDescent="0.25">
      <c r="C533" t="s">
        <v>17</v>
      </c>
      <c r="D533">
        <v>53052001</v>
      </c>
      <c r="E533" t="s">
        <v>18</v>
      </c>
      <c r="F533" s="4">
        <v>11528.85238</v>
      </c>
      <c r="G533" t="s">
        <v>905</v>
      </c>
      <c r="H533" s="3">
        <v>45926</v>
      </c>
      <c r="I533" t="s">
        <v>904</v>
      </c>
      <c r="J533" t="s">
        <v>904</v>
      </c>
      <c r="K533" t="s">
        <v>41</v>
      </c>
      <c r="N533">
        <f t="shared" si="26"/>
        <v>2025</v>
      </c>
      <c r="O533">
        <f t="shared" si="24"/>
        <v>9</v>
      </c>
      <c r="P533" t="str">
        <f t="shared" si="25"/>
        <v>Septiembre</v>
      </c>
    </row>
    <row r="534" spans="3:16" hidden="1" x14ac:dyDescent="0.25">
      <c r="C534" t="s">
        <v>17</v>
      </c>
      <c r="D534">
        <v>53052001</v>
      </c>
      <c r="E534" t="s">
        <v>18</v>
      </c>
      <c r="F534" s="4">
        <v>11428.858</v>
      </c>
      <c r="G534" t="s">
        <v>906</v>
      </c>
      <c r="H534" s="3">
        <v>45929</v>
      </c>
      <c r="I534" t="s">
        <v>907</v>
      </c>
      <c r="J534" t="s">
        <v>907</v>
      </c>
      <c r="K534" t="s">
        <v>21</v>
      </c>
      <c r="N534">
        <f t="shared" si="26"/>
        <v>2025</v>
      </c>
      <c r="O534">
        <f t="shared" si="24"/>
        <v>9</v>
      </c>
      <c r="P534" t="str">
        <f t="shared" si="25"/>
        <v>Septiembre</v>
      </c>
    </row>
    <row r="535" spans="3:16" hidden="1" x14ac:dyDescent="0.25">
      <c r="C535" t="s">
        <v>17</v>
      </c>
      <c r="D535">
        <v>53052001</v>
      </c>
      <c r="E535" t="s">
        <v>18</v>
      </c>
      <c r="F535" s="4">
        <v>2058.3612499999999</v>
      </c>
      <c r="G535" t="s">
        <v>908</v>
      </c>
      <c r="H535" s="3">
        <v>45929</v>
      </c>
      <c r="I535" t="s">
        <v>909</v>
      </c>
      <c r="J535" t="s">
        <v>909</v>
      </c>
      <c r="K535" t="s">
        <v>41</v>
      </c>
      <c r="N535">
        <f t="shared" si="26"/>
        <v>2025</v>
      </c>
      <c r="O535">
        <f t="shared" si="24"/>
        <v>9</v>
      </c>
      <c r="P535" t="str">
        <f t="shared" si="25"/>
        <v>Septiembre</v>
      </c>
    </row>
    <row r="536" spans="3:16" hidden="1" x14ac:dyDescent="0.25">
      <c r="C536" t="s">
        <v>17</v>
      </c>
      <c r="D536">
        <v>53052001</v>
      </c>
      <c r="E536" t="s">
        <v>18</v>
      </c>
      <c r="F536" s="4">
        <v>-144171.24838999999</v>
      </c>
      <c r="G536" t="s">
        <v>910</v>
      </c>
      <c r="H536" s="3">
        <v>45929</v>
      </c>
      <c r="I536" t="s">
        <v>911</v>
      </c>
      <c r="J536" t="s">
        <v>911</v>
      </c>
      <c r="K536" t="s">
        <v>35</v>
      </c>
      <c r="N536">
        <f t="shared" si="26"/>
        <v>2025</v>
      </c>
      <c r="O536">
        <f t="shared" si="24"/>
        <v>9</v>
      </c>
      <c r="P536" t="str">
        <f t="shared" si="25"/>
        <v>Septiembre</v>
      </c>
    </row>
    <row r="537" spans="3:16" hidden="1" x14ac:dyDescent="0.25">
      <c r="C537" t="s">
        <v>17</v>
      </c>
      <c r="D537">
        <v>53052001</v>
      </c>
      <c r="E537" t="s">
        <v>18</v>
      </c>
      <c r="F537" s="4">
        <v>-274414.74099999998</v>
      </c>
      <c r="G537" t="s">
        <v>910</v>
      </c>
      <c r="H537" s="3">
        <v>45929</v>
      </c>
      <c r="I537" t="s">
        <v>911</v>
      </c>
      <c r="J537" t="s">
        <v>911</v>
      </c>
      <c r="K537" t="s">
        <v>31</v>
      </c>
      <c r="N537">
        <f t="shared" si="26"/>
        <v>2025</v>
      </c>
      <c r="O537">
        <f t="shared" si="24"/>
        <v>9</v>
      </c>
      <c r="P537" t="str">
        <f t="shared" si="25"/>
        <v>Septiembre</v>
      </c>
    </row>
    <row r="538" spans="3:16" hidden="1" x14ac:dyDescent="0.25">
      <c r="C538" t="s">
        <v>17</v>
      </c>
      <c r="D538">
        <v>53052001</v>
      </c>
      <c r="E538" t="s">
        <v>18</v>
      </c>
      <c r="F538" s="4">
        <v>-545932.84013999999</v>
      </c>
      <c r="G538" t="s">
        <v>910</v>
      </c>
      <c r="H538" s="3">
        <v>45929</v>
      </c>
      <c r="I538" t="s">
        <v>911</v>
      </c>
      <c r="J538" t="s">
        <v>911</v>
      </c>
      <c r="K538" t="s">
        <v>27</v>
      </c>
      <c r="N538">
        <f t="shared" si="26"/>
        <v>2025</v>
      </c>
      <c r="O538">
        <f t="shared" si="24"/>
        <v>9</v>
      </c>
      <c r="P538" t="str">
        <f t="shared" si="25"/>
        <v>Septiembre</v>
      </c>
    </row>
    <row r="539" spans="3:16" hidden="1" x14ac:dyDescent="0.25">
      <c r="C539" t="s">
        <v>17</v>
      </c>
      <c r="D539">
        <v>53052001</v>
      </c>
      <c r="E539" t="s">
        <v>18</v>
      </c>
      <c r="F539" s="4">
        <v>-11528.85238</v>
      </c>
      <c r="G539" t="s">
        <v>910</v>
      </c>
      <c r="H539" s="3">
        <v>45929</v>
      </c>
      <c r="I539" t="s">
        <v>911</v>
      </c>
      <c r="J539" t="s">
        <v>911</v>
      </c>
      <c r="K539" t="s">
        <v>41</v>
      </c>
      <c r="N539">
        <f t="shared" si="26"/>
        <v>2025</v>
      </c>
      <c r="O539">
        <f t="shared" si="24"/>
        <v>9</v>
      </c>
      <c r="P539" t="str">
        <f t="shared" si="25"/>
        <v>Septiembre</v>
      </c>
    </row>
    <row r="540" spans="3:16" hidden="1" x14ac:dyDescent="0.25">
      <c r="C540" t="s">
        <v>17</v>
      </c>
      <c r="D540">
        <v>53052001</v>
      </c>
      <c r="E540" t="s">
        <v>18</v>
      </c>
      <c r="F540" s="4">
        <v>-137240.986</v>
      </c>
      <c r="G540" t="s">
        <v>910</v>
      </c>
      <c r="H540" s="3">
        <v>45929</v>
      </c>
      <c r="I540" t="s">
        <v>911</v>
      </c>
      <c r="J540" t="s">
        <v>911</v>
      </c>
      <c r="K540" t="s">
        <v>21</v>
      </c>
      <c r="N540">
        <f t="shared" si="26"/>
        <v>2025</v>
      </c>
      <c r="O540">
        <f t="shared" si="24"/>
        <v>9</v>
      </c>
      <c r="P540" t="str">
        <f t="shared" si="25"/>
        <v>Septiembre</v>
      </c>
    </row>
    <row r="541" spans="3:16" hidden="1" x14ac:dyDescent="0.25">
      <c r="C541" t="s">
        <v>17</v>
      </c>
      <c r="D541">
        <v>53052001</v>
      </c>
      <c r="E541" t="s">
        <v>18</v>
      </c>
      <c r="F541" s="4">
        <v>12440.962</v>
      </c>
      <c r="G541" t="s">
        <v>912</v>
      </c>
      <c r="H541" s="3">
        <v>45930</v>
      </c>
      <c r="I541" t="s">
        <v>913</v>
      </c>
      <c r="J541" t="s">
        <v>913</v>
      </c>
      <c r="K541" t="s">
        <v>27</v>
      </c>
      <c r="N541">
        <f t="shared" si="26"/>
        <v>2025</v>
      </c>
      <c r="O541">
        <f t="shared" si="24"/>
        <v>9</v>
      </c>
      <c r="P541" t="str">
        <f t="shared" si="25"/>
        <v>Septiembre</v>
      </c>
    </row>
    <row r="542" spans="3:16" hidden="1" x14ac:dyDescent="0.25">
      <c r="C542" t="s">
        <v>17</v>
      </c>
      <c r="D542">
        <v>53052001</v>
      </c>
      <c r="E542" t="s">
        <v>18</v>
      </c>
      <c r="F542" s="4">
        <v>17279.177</v>
      </c>
      <c r="G542" t="s">
        <v>912</v>
      </c>
      <c r="H542" s="3">
        <v>45930</v>
      </c>
      <c r="I542" t="s">
        <v>913</v>
      </c>
      <c r="J542" t="s">
        <v>913</v>
      </c>
      <c r="K542" t="s">
        <v>69</v>
      </c>
      <c r="N542">
        <f t="shared" si="26"/>
        <v>2025</v>
      </c>
      <c r="O542">
        <f t="shared" si="24"/>
        <v>9</v>
      </c>
      <c r="P542" t="str">
        <f t="shared" si="25"/>
        <v>Septiembre</v>
      </c>
    </row>
    <row r="543" spans="3:16" hidden="1" x14ac:dyDescent="0.25">
      <c r="C543" t="s">
        <v>17</v>
      </c>
      <c r="D543">
        <v>53052001</v>
      </c>
      <c r="E543" t="s">
        <v>18</v>
      </c>
      <c r="F543" s="4">
        <v>7459.2</v>
      </c>
      <c r="G543" t="s">
        <v>912</v>
      </c>
      <c r="H543" s="3">
        <v>45930</v>
      </c>
      <c r="I543" t="s">
        <v>913</v>
      </c>
      <c r="J543" t="s">
        <v>913</v>
      </c>
      <c r="K543" t="s">
        <v>21</v>
      </c>
      <c r="N543">
        <f t="shared" si="26"/>
        <v>2025</v>
      </c>
      <c r="O543">
        <f t="shared" si="24"/>
        <v>9</v>
      </c>
      <c r="P543" t="str">
        <f t="shared" si="25"/>
        <v>Septiembre</v>
      </c>
    </row>
    <row r="544" spans="3:16" hidden="1" x14ac:dyDescent="0.25">
      <c r="C544" t="s">
        <v>17</v>
      </c>
      <c r="D544">
        <v>53052001</v>
      </c>
      <c r="E544" t="s">
        <v>18</v>
      </c>
      <c r="F544" s="4">
        <v>33555.32</v>
      </c>
      <c r="G544" t="s">
        <v>914</v>
      </c>
      <c r="H544" s="3">
        <v>45930</v>
      </c>
      <c r="I544" t="s">
        <v>885</v>
      </c>
      <c r="J544" t="s">
        <v>885</v>
      </c>
      <c r="K544" t="s">
        <v>21</v>
      </c>
      <c r="N544">
        <f t="shared" si="26"/>
        <v>2025</v>
      </c>
      <c r="O544">
        <f t="shared" si="24"/>
        <v>9</v>
      </c>
      <c r="P544" t="str">
        <f t="shared" si="25"/>
        <v>Septiembre</v>
      </c>
    </row>
    <row r="545" spans="3:16" hidden="1" x14ac:dyDescent="0.25">
      <c r="C545" t="s">
        <v>17</v>
      </c>
      <c r="D545">
        <v>53052001</v>
      </c>
      <c r="E545" t="s">
        <v>18</v>
      </c>
      <c r="F545" s="4">
        <v>61299.003689999998</v>
      </c>
      <c r="G545" t="s">
        <v>915</v>
      </c>
      <c r="H545" s="3">
        <v>45930</v>
      </c>
      <c r="I545" t="s">
        <v>885</v>
      </c>
      <c r="J545" t="s">
        <v>885</v>
      </c>
      <c r="K545" t="s">
        <v>57</v>
      </c>
      <c r="N545">
        <f t="shared" si="26"/>
        <v>2025</v>
      </c>
      <c r="O545">
        <f t="shared" si="24"/>
        <v>9</v>
      </c>
      <c r="P545" t="str">
        <f t="shared" si="25"/>
        <v>Septiembre</v>
      </c>
    </row>
    <row r="546" spans="3:16" hidden="1" x14ac:dyDescent="0.25">
      <c r="C546" t="s">
        <v>17</v>
      </c>
      <c r="D546">
        <v>53052001</v>
      </c>
      <c r="E546" t="s">
        <v>18</v>
      </c>
      <c r="F546" s="4">
        <v>-260434.52799999999</v>
      </c>
      <c r="G546" t="s">
        <v>916</v>
      </c>
      <c r="H546" s="3">
        <v>45930</v>
      </c>
      <c r="I546" t="s">
        <v>917</v>
      </c>
      <c r="J546" t="s">
        <v>918</v>
      </c>
      <c r="K546" t="s">
        <v>31</v>
      </c>
      <c r="N546">
        <f t="shared" si="26"/>
        <v>2025</v>
      </c>
      <c r="O546">
        <f t="shared" si="24"/>
        <v>9</v>
      </c>
      <c r="P546" t="str">
        <f t="shared" si="25"/>
        <v>Septiembre</v>
      </c>
    </row>
    <row r="547" spans="3:16" hidden="1" x14ac:dyDescent="0.25">
      <c r="C547" t="s">
        <v>17</v>
      </c>
      <c r="D547">
        <v>53052001</v>
      </c>
      <c r="E547" t="s">
        <v>18</v>
      </c>
      <c r="F547" s="4">
        <v>-22361.379000000001</v>
      </c>
      <c r="G547" t="s">
        <v>916</v>
      </c>
      <c r="H547" s="3">
        <v>45930</v>
      </c>
      <c r="I547" t="s">
        <v>919</v>
      </c>
      <c r="J547" t="s">
        <v>918</v>
      </c>
      <c r="K547" t="s">
        <v>41</v>
      </c>
      <c r="N547">
        <f t="shared" si="26"/>
        <v>2025</v>
      </c>
      <c r="O547">
        <f t="shared" si="24"/>
        <v>9</v>
      </c>
      <c r="P547" t="str">
        <f t="shared" si="25"/>
        <v>Septiembre</v>
      </c>
    </row>
    <row r="548" spans="3:16" hidden="1" x14ac:dyDescent="0.25">
      <c r="C548" t="s">
        <v>17</v>
      </c>
      <c r="D548">
        <v>53052001</v>
      </c>
      <c r="E548" t="s">
        <v>18</v>
      </c>
      <c r="F548" s="4">
        <v>8403.8799999999992</v>
      </c>
      <c r="G548" t="s">
        <v>920</v>
      </c>
      <c r="H548" s="3">
        <v>45930</v>
      </c>
      <c r="I548" t="s">
        <v>885</v>
      </c>
      <c r="J548" t="s">
        <v>885</v>
      </c>
      <c r="K548" t="s">
        <v>69</v>
      </c>
      <c r="N548">
        <f t="shared" si="26"/>
        <v>2025</v>
      </c>
      <c r="O548">
        <f t="shared" si="24"/>
        <v>9</v>
      </c>
      <c r="P548" t="str">
        <f t="shared" si="25"/>
        <v>Septiembre</v>
      </c>
    </row>
    <row r="549" spans="3:16" hidden="1" x14ac:dyDescent="0.25">
      <c r="C549" t="s">
        <v>17</v>
      </c>
      <c r="D549">
        <v>53052001</v>
      </c>
      <c r="E549" t="s">
        <v>18</v>
      </c>
      <c r="F549" s="4">
        <v>5104.2280000000001</v>
      </c>
      <c r="G549" t="s">
        <v>921</v>
      </c>
      <c r="H549" s="3">
        <v>45930</v>
      </c>
      <c r="I549" t="s">
        <v>922</v>
      </c>
      <c r="J549" t="s">
        <v>923</v>
      </c>
      <c r="K549" t="s">
        <v>41</v>
      </c>
      <c r="N549">
        <f t="shared" si="26"/>
        <v>2025</v>
      </c>
      <c r="O549">
        <f t="shared" si="24"/>
        <v>9</v>
      </c>
      <c r="P549" t="str">
        <f t="shared" si="25"/>
        <v>Septiembre</v>
      </c>
    </row>
    <row r="550" spans="3:16" hidden="1" x14ac:dyDescent="0.25">
      <c r="C550" t="s">
        <v>17</v>
      </c>
      <c r="D550">
        <v>53052001</v>
      </c>
      <c r="E550" t="s">
        <v>18</v>
      </c>
      <c r="F550" s="4">
        <v>175346.47500000001</v>
      </c>
      <c r="G550" t="s">
        <v>921</v>
      </c>
      <c r="H550" s="3">
        <v>45930</v>
      </c>
      <c r="I550" t="s">
        <v>924</v>
      </c>
      <c r="J550" t="s">
        <v>923</v>
      </c>
      <c r="K550" t="s">
        <v>37</v>
      </c>
      <c r="N550">
        <f t="shared" si="26"/>
        <v>2025</v>
      </c>
      <c r="O550">
        <f t="shared" si="24"/>
        <v>9</v>
      </c>
      <c r="P550" t="str">
        <f t="shared" si="25"/>
        <v>Septiembre</v>
      </c>
    </row>
    <row r="551" spans="3:16" hidden="1" x14ac:dyDescent="0.25">
      <c r="C551" t="s">
        <v>17</v>
      </c>
      <c r="D551">
        <v>53052001</v>
      </c>
      <c r="E551" t="s">
        <v>18</v>
      </c>
      <c r="F551" s="4">
        <v>107315.905</v>
      </c>
      <c r="G551" t="s">
        <v>921</v>
      </c>
      <c r="H551" s="3">
        <v>45930</v>
      </c>
      <c r="I551" t="s">
        <v>925</v>
      </c>
      <c r="J551" t="s">
        <v>923</v>
      </c>
      <c r="K551" t="s">
        <v>69</v>
      </c>
      <c r="N551">
        <f t="shared" si="26"/>
        <v>2025</v>
      </c>
      <c r="O551">
        <f t="shared" si="24"/>
        <v>9</v>
      </c>
      <c r="P551" t="str">
        <f t="shared" si="25"/>
        <v>Septiembre</v>
      </c>
    </row>
    <row r="552" spans="3:16" hidden="1" x14ac:dyDescent="0.25">
      <c r="C552" t="s">
        <v>17</v>
      </c>
      <c r="D552">
        <v>53052001</v>
      </c>
      <c r="E552" t="s">
        <v>18</v>
      </c>
      <c r="F552" s="4">
        <v>87755.112999999998</v>
      </c>
      <c r="G552" t="s">
        <v>921</v>
      </c>
      <c r="H552" s="3">
        <v>45930</v>
      </c>
      <c r="I552" t="s">
        <v>926</v>
      </c>
      <c r="J552" t="s">
        <v>923</v>
      </c>
      <c r="K552" t="s">
        <v>31</v>
      </c>
      <c r="N552">
        <f t="shared" si="26"/>
        <v>2025</v>
      </c>
      <c r="O552">
        <f t="shared" si="24"/>
        <v>9</v>
      </c>
      <c r="P552" t="str">
        <f t="shared" si="25"/>
        <v>Septiembre</v>
      </c>
    </row>
    <row r="553" spans="3:16" hidden="1" x14ac:dyDescent="0.25">
      <c r="C553" t="s">
        <v>17</v>
      </c>
      <c r="D553">
        <v>53052001</v>
      </c>
      <c r="E553" t="s">
        <v>18</v>
      </c>
      <c r="F553" s="4">
        <v>81929.820000000007</v>
      </c>
      <c r="G553" t="s">
        <v>921</v>
      </c>
      <c r="H553" s="3">
        <v>45930</v>
      </c>
      <c r="I553" t="s">
        <v>927</v>
      </c>
      <c r="J553" t="s">
        <v>923</v>
      </c>
      <c r="K553" t="s">
        <v>21</v>
      </c>
      <c r="N553">
        <f t="shared" si="26"/>
        <v>2025</v>
      </c>
      <c r="O553">
        <f t="shared" si="24"/>
        <v>9</v>
      </c>
      <c r="P553" t="str">
        <f t="shared" si="25"/>
        <v>Septiembre</v>
      </c>
    </row>
    <row r="554" spans="3:16" hidden="1" x14ac:dyDescent="0.25">
      <c r="C554" t="s">
        <v>17</v>
      </c>
      <c r="D554">
        <v>53052001</v>
      </c>
      <c r="E554" t="s">
        <v>18</v>
      </c>
      <c r="F554" s="4">
        <v>7514.8324000000002</v>
      </c>
      <c r="G554" t="s">
        <v>928</v>
      </c>
      <c r="H554" s="3">
        <v>45930</v>
      </c>
      <c r="I554" t="s">
        <v>212</v>
      </c>
      <c r="J554" t="s">
        <v>212</v>
      </c>
      <c r="K554" t="s">
        <v>206</v>
      </c>
      <c r="N554">
        <f t="shared" si="26"/>
        <v>2025</v>
      </c>
      <c r="O554">
        <f t="shared" si="24"/>
        <v>9</v>
      </c>
      <c r="P554" t="str">
        <f t="shared" si="25"/>
        <v>Septiembre</v>
      </c>
    </row>
    <row r="555" spans="3:16" hidden="1" x14ac:dyDescent="0.25">
      <c r="C555" t="s">
        <v>17</v>
      </c>
      <c r="D555">
        <v>53052001</v>
      </c>
      <c r="E555" t="s">
        <v>18</v>
      </c>
      <c r="F555" s="4">
        <v>16336.519</v>
      </c>
      <c r="G555" t="s">
        <v>929</v>
      </c>
      <c r="H555" s="3">
        <v>45930</v>
      </c>
      <c r="I555" t="s">
        <v>930</v>
      </c>
      <c r="J555" t="s">
        <v>930</v>
      </c>
      <c r="K555" t="s">
        <v>51</v>
      </c>
      <c r="N555">
        <f t="shared" si="26"/>
        <v>2025</v>
      </c>
      <c r="O555">
        <f t="shared" si="24"/>
        <v>9</v>
      </c>
      <c r="P555" t="str">
        <f t="shared" si="25"/>
        <v>Septiembre</v>
      </c>
    </row>
    <row r="556" spans="3:16" hidden="1" x14ac:dyDescent="0.25">
      <c r="C556" t="s">
        <v>17</v>
      </c>
      <c r="D556">
        <v>53052001</v>
      </c>
      <c r="E556" t="s">
        <v>18</v>
      </c>
      <c r="F556" s="4">
        <v>2459.386</v>
      </c>
      <c r="G556" t="s">
        <v>931</v>
      </c>
      <c r="H556" s="3">
        <v>45930</v>
      </c>
      <c r="I556" t="s">
        <v>932</v>
      </c>
      <c r="J556" t="s">
        <v>932</v>
      </c>
      <c r="K556" t="s">
        <v>194</v>
      </c>
      <c r="N556">
        <f t="shared" si="26"/>
        <v>2025</v>
      </c>
      <c r="O556">
        <f t="shared" si="24"/>
        <v>9</v>
      </c>
      <c r="P556" t="str">
        <f t="shared" si="25"/>
        <v>Septiembre</v>
      </c>
    </row>
    <row r="557" spans="3:16" hidden="1" x14ac:dyDescent="0.25">
      <c r="C557" t="s">
        <v>17</v>
      </c>
      <c r="D557">
        <v>53052001</v>
      </c>
      <c r="E557" t="s">
        <v>18</v>
      </c>
      <c r="F557" s="4">
        <v>3.069</v>
      </c>
      <c r="G557" t="s">
        <v>933</v>
      </c>
      <c r="H557" s="3">
        <v>45930</v>
      </c>
      <c r="I557" t="s">
        <v>934</v>
      </c>
      <c r="J557" t="s">
        <v>935</v>
      </c>
      <c r="K557" t="s">
        <v>27</v>
      </c>
      <c r="N557">
        <f t="shared" si="26"/>
        <v>2025</v>
      </c>
      <c r="O557">
        <f t="shared" si="24"/>
        <v>9</v>
      </c>
      <c r="P557" t="str">
        <f t="shared" si="25"/>
        <v>Septiembre</v>
      </c>
    </row>
    <row r="558" spans="3:16" hidden="1" x14ac:dyDescent="0.25">
      <c r="C558" t="s">
        <v>17</v>
      </c>
      <c r="D558">
        <v>53052003</v>
      </c>
      <c r="E558" t="s">
        <v>24</v>
      </c>
      <c r="F558" s="4">
        <v>318125.89799999999</v>
      </c>
      <c r="G558" t="s">
        <v>936</v>
      </c>
      <c r="H558" s="3">
        <v>45910</v>
      </c>
      <c r="I558" t="s">
        <v>937</v>
      </c>
      <c r="J558" t="s">
        <v>937</v>
      </c>
      <c r="K558" t="s">
        <v>27</v>
      </c>
      <c r="N558">
        <f t="shared" si="26"/>
        <v>2025</v>
      </c>
      <c r="O558">
        <f t="shared" si="24"/>
        <v>9</v>
      </c>
      <c r="P558" t="str">
        <f t="shared" si="25"/>
        <v>Septiembre</v>
      </c>
    </row>
    <row r="559" spans="3:16" x14ac:dyDescent="0.25">
      <c r="C559" t="s">
        <v>17</v>
      </c>
      <c r="D559">
        <v>53052004</v>
      </c>
      <c r="E559" t="s">
        <v>276</v>
      </c>
      <c r="F559" s="11">
        <v>1359.646</v>
      </c>
      <c r="G559" t="s">
        <v>938</v>
      </c>
      <c r="H559" s="3">
        <v>45930</v>
      </c>
      <c r="I559" t="s">
        <v>939</v>
      </c>
      <c r="J559" t="s">
        <v>939</v>
      </c>
      <c r="K559" t="s">
        <v>35</v>
      </c>
      <c r="N559">
        <f t="shared" si="26"/>
        <v>2025</v>
      </c>
      <c r="O559">
        <f t="shared" si="24"/>
        <v>9</v>
      </c>
      <c r="P559" t="str">
        <f t="shared" si="25"/>
        <v>Septiembre</v>
      </c>
    </row>
    <row r="560" spans="3:16" x14ac:dyDescent="0.25">
      <c r="C560" t="s">
        <v>17</v>
      </c>
      <c r="D560">
        <v>53052004</v>
      </c>
      <c r="E560" t="s">
        <v>276</v>
      </c>
      <c r="F560" s="11">
        <v>179.97032999999999</v>
      </c>
      <c r="G560" t="s">
        <v>940</v>
      </c>
      <c r="H560" s="3">
        <v>45930</v>
      </c>
      <c r="I560" t="s">
        <v>941</v>
      </c>
      <c r="J560" t="s">
        <v>941</v>
      </c>
      <c r="K560" t="s">
        <v>69</v>
      </c>
      <c r="N560">
        <f t="shared" si="26"/>
        <v>2025</v>
      </c>
      <c r="O560">
        <f t="shared" si="24"/>
        <v>9</v>
      </c>
      <c r="P560" t="str">
        <f t="shared" si="25"/>
        <v>Septiembre</v>
      </c>
    </row>
    <row r="561" spans="3:16" x14ac:dyDescent="0.25">
      <c r="C561" t="s">
        <v>17</v>
      </c>
      <c r="D561">
        <v>53052004</v>
      </c>
      <c r="E561" t="s">
        <v>276</v>
      </c>
      <c r="F561" s="11">
        <v>3658.7860000000001</v>
      </c>
      <c r="G561" t="s">
        <v>942</v>
      </c>
      <c r="H561" s="3">
        <v>45930</v>
      </c>
      <c r="I561" t="s">
        <v>943</v>
      </c>
      <c r="J561" t="s">
        <v>943</v>
      </c>
      <c r="K561" t="s">
        <v>35</v>
      </c>
      <c r="N561">
        <f t="shared" si="26"/>
        <v>2025</v>
      </c>
      <c r="O561">
        <f t="shared" si="24"/>
        <v>9</v>
      </c>
      <c r="P561" t="str">
        <f t="shared" si="25"/>
        <v>Septiembre</v>
      </c>
    </row>
    <row r="562" spans="3:16" s="25" customFormat="1" ht="3" hidden="1" customHeight="1" x14ac:dyDescent="0.25">
      <c r="F562" s="26"/>
      <c r="H562" s="27"/>
      <c r="N562"/>
    </row>
    <row r="563" spans="3:16" hidden="1" x14ac:dyDescent="0.25">
      <c r="C563" t="s">
        <v>17</v>
      </c>
      <c r="D563">
        <v>53052001</v>
      </c>
      <c r="E563" t="s">
        <v>18</v>
      </c>
      <c r="F563" s="4">
        <v>35316.955170000001</v>
      </c>
      <c r="G563" t="s">
        <v>944</v>
      </c>
      <c r="H563" s="3">
        <v>45931</v>
      </c>
      <c r="I563" t="s">
        <v>945</v>
      </c>
      <c r="J563" t="s">
        <v>945</v>
      </c>
      <c r="K563" t="s">
        <v>27</v>
      </c>
      <c r="N563">
        <f t="shared" si="26"/>
        <v>2025</v>
      </c>
      <c r="O563">
        <f t="shared" ref="O563:O623" si="27">+MONTH(H563)</f>
        <v>10</v>
      </c>
      <c r="P563" t="str">
        <f>+VLOOKUP(O563,X:Y,2,0)</f>
        <v>Octubre</v>
      </c>
    </row>
    <row r="564" spans="3:16" hidden="1" x14ac:dyDescent="0.25">
      <c r="C564" t="s">
        <v>17</v>
      </c>
      <c r="D564">
        <v>53052001</v>
      </c>
      <c r="E564" t="s">
        <v>18</v>
      </c>
      <c r="F564" s="4">
        <v>583.00783000000001</v>
      </c>
      <c r="G564" t="s">
        <v>944</v>
      </c>
      <c r="H564" s="3">
        <v>45931</v>
      </c>
      <c r="I564" t="s">
        <v>946</v>
      </c>
      <c r="J564" t="s">
        <v>945</v>
      </c>
      <c r="K564" t="s">
        <v>27</v>
      </c>
      <c r="N564">
        <f t="shared" si="26"/>
        <v>2025</v>
      </c>
      <c r="O564">
        <f t="shared" si="27"/>
        <v>10</v>
      </c>
      <c r="P564" t="str">
        <f t="shared" ref="P564:P623" si="28">+VLOOKUP(O564,X:Y,2,0)</f>
        <v>Octubre</v>
      </c>
    </row>
    <row r="565" spans="3:16" hidden="1" x14ac:dyDescent="0.25">
      <c r="C565" t="s">
        <v>17</v>
      </c>
      <c r="D565">
        <v>53052001</v>
      </c>
      <c r="E565" t="s">
        <v>18</v>
      </c>
      <c r="F565" s="4">
        <v>2448.1930000000002</v>
      </c>
      <c r="G565" t="s">
        <v>947</v>
      </c>
      <c r="H565" s="3">
        <v>45936</v>
      </c>
      <c r="I565" t="s">
        <v>948</v>
      </c>
      <c r="J565" t="s">
        <v>948</v>
      </c>
      <c r="K565" t="s">
        <v>27</v>
      </c>
      <c r="N565">
        <f t="shared" si="26"/>
        <v>2025</v>
      </c>
      <c r="O565">
        <f t="shared" si="27"/>
        <v>10</v>
      </c>
      <c r="P565" t="str">
        <f t="shared" si="28"/>
        <v>Octubre</v>
      </c>
    </row>
    <row r="566" spans="3:16" hidden="1" x14ac:dyDescent="0.25">
      <c r="C566" t="s">
        <v>17</v>
      </c>
      <c r="D566">
        <v>53052001</v>
      </c>
      <c r="E566" t="s">
        <v>18</v>
      </c>
      <c r="F566" s="4">
        <v>38750</v>
      </c>
      <c r="G566" t="s">
        <v>949</v>
      </c>
      <c r="H566" s="3">
        <v>45939</v>
      </c>
      <c r="I566" t="s">
        <v>950</v>
      </c>
      <c r="J566" t="s">
        <v>950</v>
      </c>
      <c r="K566" t="s">
        <v>31</v>
      </c>
      <c r="N566">
        <f t="shared" si="26"/>
        <v>2025</v>
      </c>
      <c r="O566">
        <f t="shared" si="27"/>
        <v>10</v>
      </c>
      <c r="P566" t="str">
        <f t="shared" si="28"/>
        <v>Octubre</v>
      </c>
    </row>
    <row r="567" spans="3:16" hidden="1" x14ac:dyDescent="0.25">
      <c r="C567" t="s">
        <v>17</v>
      </c>
      <c r="D567">
        <v>53052001</v>
      </c>
      <c r="E567" t="s">
        <v>18</v>
      </c>
      <c r="F567" s="4">
        <v>1215.1289999999999</v>
      </c>
      <c r="G567" t="s">
        <v>951</v>
      </c>
      <c r="H567" s="3">
        <v>45939</v>
      </c>
      <c r="I567" t="s">
        <v>952</v>
      </c>
      <c r="J567" t="s">
        <v>952</v>
      </c>
      <c r="K567" t="s">
        <v>27</v>
      </c>
      <c r="N567">
        <f t="shared" si="26"/>
        <v>2025</v>
      </c>
      <c r="O567">
        <f t="shared" si="27"/>
        <v>10</v>
      </c>
      <c r="P567" t="str">
        <f t="shared" si="28"/>
        <v>Octubre</v>
      </c>
    </row>
    <row r="568" spans="3:16" hidden="1" x14ac:dyDescent="0.25">
      <c r="C568" t="s">
        <v>17</v>
      </c>
      <c r="D568">
        <v>53052001</v>
      </c>
      <c r="E568" t="s">
        <v>18</v>
      </c>
      <c r="F568" s="4">
        <v>1696.644</v>
      </c>
      <c r="G568" t="s">
        <v>953</v>
      </c>
      <c r="H568" s="3">
        <v>45939</v>
      </c>
      <c r="I568" t="s">
        <v>954</v>
      </c>
      <c r="J568" t="s">
        <v>954</v>
      </c>
      <c r="K568" t="s">
        <v>69</v>
      </c>
      <c r="N568">
        <f t="shared" si="26"/>
        <v>2025</v>
      </c>
      <c r="O568">
        <f t="shared" si="27"/>
        <v>10</v>
      </c>
      <c r="P568" t="str">
        <f t="shared" si="28"/>
        <v>Octubre</v>
      </c>
    </row>
    <row r="569" spans="3:16" hidden="1" x14ac:dyDescent="0.25">
      <c r="C569" t="s">
        <v>17</v>
      </c>
      <c r="D569">
        <v>53052001</v>
      </c>
      <c r="E569" t="s">
        <v>18</v>
      </c>
      <c r="F569" s="4">
        <v>258542.38699999999</v>
      </c>
      <c r="G569" t="s">
        <v>955</v>
      </c>
      <c r="H569" s="3">
        <v>45940</v>
      </c>
      <c r="I569" t="s">
        <v>956</v>
      </c>
      <c r="J569" t="s">
        <v>956</v>
      </c>
      <c r="K569" t="s">
        <v>21</v>
      </c>
      <c r="N569">
        <f t="shared" si="26"/>
        <v>2025</v>
      </c>
      <c r="O569">
        <f t="shared" si="27"/>
        <v>10</v>
      </c>
      <c r="P569" t="str">
        <f t="shared" si="28"/>
        <v>Octubre</v>
      </c>
    </row>
    <row r="570" spans="3:16" hidden="1" x14ac:dyDescent="0.25">
      <c r="C570" t="s">
        <v>17</v>
      </c>
      <c r="D570">
        <v>53052001</v>
      </c>
      <c r="E570" t="s">
        <v>18</v>
      </c>
      <c r="F570" s="4">
        <v>1271.393</v>
      </c>
      <c r="G570" t="s">
        <v>957</v>
      </c>
      <c r="H570" s="3">
        <v>45940</v>
      </c>
      <c r="I570" t="s">
        <v>958</v>
      </c>
      <c r="J570" t="s">
        <v>958</v>
      </c>
      <c r="K570" t="s">
        <v>27</v>
      </c>
      <c r="N570">
        <f t="shared" si="26"/>
        <v>2025</v>
      </c>
      <c r="O570">
        <f t="shared" si="27"/>
        <v>10</v>
      </c>
      <c r="P570" t="str">
        <f t="shared" si="28"/>
        <v>Octubre</v>
      </c>
    </row>
    <row r="571" spans="3:16" hidden="1" x14ac:dyDescent="0.25">
      <c r="C571" t="s">
        <v>17</v>
      </c>
      <c r="D571">
        <v>53052001</v>
      </c>
      <c r="E571" t="s">
        <v>18</v>
      </c>
      <c r="F571" s="4">
        <v>2413.4670000000001</v>
      </c>
      <c r="G571" t="s">
        <v>959</v>
      </c>
      <c r="H571" s="3">
        <v>45946</v>
      </c>
      <c r="I571" t="s">
        <v>960</v>
      </c>
      <c r="J571" t="s">
        <v>960</v>
      </c>
      <c r="K571" t="s">
        <v>27</v>
      </c>
      <c r="N571">
        <f t="shared" si="26"/>
        <v>2025</v>
      </c>
      <c r="O571">
        <f t="shared" si="27"/>
        <v>10</v>
      </c>
      <c r="P571" t="str">
        <f t="shared" si="28"/>
        <v>Octubre</v>
      </c>
    </row>
    <row r="572" spans="3:16" hidden="1" x14ac:dyDescent="0.25">
      <c r="C572" t="s">
        <v>17</v>
      </c>
      <c r="D572">
        <v>53052001</v>
      </c>
      <c r="E572" t="s">
        <v>18</v>
      </c>
      <c r="F572" s="4">
        <v>12825.234</v>
      </c>
      <c r="G572" t="s">
        <v>961</v>
      </c>
      <c r="H572" s="3">
        <v>45947</v>
      </c>
      <c r="I572" t="s">
        <v>962</v>
      </c>
      <c r="J572" t="s">
        <v>962</v>
      </c>
      <c r="K572" t="s">
        <v>31</v>
      </c>
      <c r="N572">
        <f t="shared" si="26"/>
        <v>2025</v>
      </c>
      <c r="O572">
        <f t="shared" si="27"/>
        <v>10</v>
      </c>
      <c r="P572" t="str">
        <f t="shared" si="28"/>
        <v>Octubre</v>
      </c>
    </row>
    <row r="573" spans="3:16" hidden="1" x14ac:dyDescent="0.25">
      <c r="C573" t="s">
        <v>17</v>
      </c>
      <c r="D573">
        <v>53052001</v>
      </c>
      <c r="E573" t="s">
        <v>18</v>
      </c>
      <c r="F573" s="4">
        <v>1605.1856399999999</v>
      </c>
      <c r="G573" t="s">
        <v>963</v>
      </c>
      <c r="H573" s="3">
        <v>45951</v>
      </c>
      <c r="I573" t="s">
        <v>964</v>
      </c>
      <c r="J573" t="s">
        <v>964</v>
      </c>
      <c r="K573" t="s">
        <v>60</v>
      </c>
      <c r="N573">
        <f t="shared" si="26"/>
        <v>2025</v>
      </c>
      <c r="O573">
        <f t="shared" si="27"/>
        <v>10</v>
      </c>
      <c r="P573" t="str">
        <f t="shared" si="28"/>
        <v>Octubre</v>
      </c>
    </row>
    <row r="574" spans="3:16" hidden="1" x14ac:dyDescent="0.25">
      <c r="C574" t="s">
        <v>17</v>
      </c>
      <c r="D574">
        <v>53052001</v>
      </c>
      <c r="E574" t="s">
        <v>18</v>
      </c>
      <c r="F574" s="4">
        <v>-6.319</v>
      </c>
      <c r="G574" t="s">
        <v>965</v>
      </c>
      <c r="H574" s="3">
        <v>45951</v>
      </c>
      <c r="I574" t="s">
        <v>966</v>
      </c>
      <c r="J574" t="s">
        <v>966</v>
      </c>
      <c r="K574" t="s">
        <v>60</v>
      </c>
      <c r="N574">
        <f t="shared" si="26"/>
        <v>2025</v>
      </c>
      <c r="O574">
        <f t="shared" si="27"/>
        <v>10</v>
      </c>
      <c r="P574" t="str">
        <f t="shared" si="28"/>
        <v>Octubre</v>
      </c>
    </row>
    <row r="575" spans="3:16" hidden="1" x14ac:dyDescent="0.25">
      <c r="C575" t="s">
        <v>17</v>
      </c>
      <c r="D575">
        <v>53052001</v>
      </c>
      <c r="E575" t="s">
        <v>18</v>
      </c>
      <c r="F575" s="4">
        <v>18.38306</v>
      </c>
      <c r="G575" t="s">
        <v>967</v>
      </c>
      <c r="H575" s="3">
        <v>45951</v>
      </c>
      <c r="I575" t="s">
        <v>968</v>
      </c>
      <c r="J575" t="s">
        <v>968</v>
      </c>
      <c r="K575" t="s">
        <v>57</v>
      </c>
      <c r="N575">
        <f t="shared" si="26"/>
        <v>2025</v>
      </c>
      <c r="O575">
        <f t="shared" si="27"/>
        <v>10</v>
      </c>
      <c r="P575" t="str">
        <f t="shared" si="28"/>
        <v>Octubre</v>
      </c>
    </row>
    <row r="576" spans="3:16" hidden="1" x14ac:dyDescent="0.25">
      <c r="C576" t="s">
        <v>17</v>
      </c>
      <c r="D576">
        <v>53052001</v>
      </c>
      <c r="E576" t="s">
        <v>18</v>
      </c>
      <c r="F576" s="4">
        <v>2080.45174</v>
      </c>
      <c r="G576" t="s">
        <v>969</v>
      </c>
      <c r="H576" s="3">
        <v>45953</v>
      </c>
      <c r="I576" t="s">
        <v>970</v>
      </c>
      <c r="J576" t="s">
        <v>970</v>
      </c>
      <c r="K576" t="s">
        <v>41</v>
      </c>
      <c r="N576">
        <f t="shared" si="26"/>
        <v>2025</v>
      </c>
      <c r="O576">
        <f t="shared" si="27"/>
        <v>10</v>
      </c>
      <c r="P576" t="str">
        <f t="shared" si="28"/>
        <v>Octubre</v>
      </c>
    </row>
    <row r="577" spans="3:16" hidden="1" x14ac:dyDescent="0.25">
      <c r="C577" t="s">
        <v>17</v>
      </c>
      <c r="D577">
        <v>53052001</v>
      </c>
      <c r="E577" t="s">
        <v>18</v>
      </c>
      <c r="F577" s="4">
        <v>96834.716</v>
      </c>
      <c r="G577" t="s">
        <v>971</v>
      </c>
      <c r="H577" s="3">
        <v>45957</v>
      </c>
      <c r="I577" t="s">
        <v>972</v>
      </c>
      <c r="J577" t="s">
        <v>972</v>
      </c>
      <c r="K577" t="s">
        <v>31</v>
      </c>
      <c r="N577">
        <f t="shared" si="26"/>
        <v>2025</v>
      </c>
      <c r="O577">
        <f t="shared" si="27"/>
        <v>10</v>
      </c>
      <c r="P577" t="str">
        <f t="shared" si="28"/>
        <v>Octubre</v>
      </c>
    </row>
    <row r="578" spans="3:16" hidden="1" x14ac:dyDescent="0.25">
      <c r="C578" t="s">
        <v>17</v>
      </c>
      <c r="D578">
        <v>53052001</v>
      </c>
      <c r="E578" t="s">
        <v>18</v>
      </c>
      <c r="F578" s="4">
        <v>8022.12</v>
      </c>
      <c r="G578" t="s">
        <v>973</v>
      </c>
      <c r="H578" s="3">
        <v>45957</v>
      </c>
      <c r="I578" t="s">
        <v>974</v>
      </c>
      <c r="J578" t="s">
        <v>974</v>
      </c>
      <c r="K578" t="s">
        <v>27</v>
      </c>
      <c r="N578">
        <f t="shared" si="26"/>
        <v>2025</v>
      </c>
      <c r="O578">
        <f t="shared" si="27"/>
        <v>10</v>
      </c>
      <c r="P578" t="str">
        <f t="shared" si="28"/>
        <v>Octubre</v>
      </c>
    </row>
    <row r="579" spans="3:16" hidden="1" x14ac:dyDescent="0.25">
      <c r="C579" t="s">
        <v>17</v>
      </c>
      <c r="D579">
        <v>53052001</v>
      </c>
      <c r="E579" t="s">
        <v>18</v>
      </c>
      <c r="F579" s="4">
        <v>126876.401</v>
      </c>
      <c r="G579" t="s">
        <v>975</v>
      </c>
      <c r="H579" s="3">
        <v>45957</v>
      </c>
      <c r="I579" t="s">
        <v>976</v>
      </c>
      <c r="J579" t="s">
        <v>976</v>
      </c>
      <c r="K579" t="s">
        <v>27</v>
      </c>
      <c r="N579">
        <f t="shared" ref="N579:N642" si="29">+YEAR(H579)</f>
        <v>2025</v>
      </c>
      <c r="O579">
        <f t="shared" si="27"/>
        <v>10</v>
      </c>
      <c r="P579" t="str">
        <f t="shared" si="28"/>
        <v>Octubre</v>
      </c>
    </row>
    <row r="580" spans="3:16" hidden="1" x14ac:dyDescent="0.25">
      <c r="C580" t="s">
        <v>17</v>
      </c>
      <c r="D580">
        <v>53052001</v>
      </c>
      <c r="E580" t="s">
        <v>18</v>
      </c>
      <c r="F580" s="4">
        <v>10821.857</v>
      </c>
      <c r="G580" t="s">
        <v>977</v>
      </c>
      <c r="H580" s="3">
        <v>45957</v>
      </c>
      <c r="I580" t="s">
        <v>978</v>
      </c>
      <c r="J580" t="s">
        <v>978</v>
      </c>
      <c r="K580" t="s">
        <v>21</v>
      </c>
      <c r="N580">
        <f t="shared" si="29"/>
        <v>2025</v>
      </c>
      <c r="O580">
        <f t="shared" si="27"/>
        <v>10</v>
      </c>
      <c r="P580" t="str">
        <f t="shared" si="28"/>
        <v>Octubre</v>
      </c>
    </row>
    <row r="581" spans="3:16" hidden="1" x14ac:dyDescent="0.25">
      <c r="C581" t="s">
        <v>17</v>
      </c>
      <c r="D581">
        <v>53052001</v>
      </c>
      <c r="E581" t="s">
        <v>18</v>
      </c>
      <c r="F581" s="4">
        <v>33555.32</v>
      </c>
      <c r="G581" t="s">
        <v>979</v>
      </c>
      <c r="H581" s="3">
        <v>45958</v>
      </c>
      <c r="I581" t="s">
        <v>980</v>
      </c>
      <c r="J581" t="s">
        <v>980</v>
      </c>
      <c r="K581" t="s">
        <v>21</v>
      </c>
      <c r="N581">
        <f t="shared" si="29"/>
        <v>2025</v>
      </c>
      <c r="O581">
        <f t="shared" si="27"/>
        <v>10</v>
      </c>
      <c r="P581" t="str">
        <f t="shared" si="28"/>
        <v>Octubre</v>
      </c>
    </row>
    <row r="582" spans="3:16" hidden="1" x14ac:dyDescent="0.25">
      <c r="C582" t="s">
        <v>17</v>
      </c>
      <c r="D582">
        <v>53052001</v>
      </c>
      <c r="E582" t="s">
        <v>18</v>
      </c>
      <c r="F582" s="4">
        <v>9805.8549999999996</v>
      </c>
      <c r="G582" t="s">
        <v>981</v>
      </c>
      <c r="H582" s="3">
        <v>45958</v>
      </c>
      <c r="I582" t="s">
        <v>982</v>
      </c>
      <c r="J582" t="s">
        <v>982</v>
      </c>
      <c r="K582" t="s">
        <v>46</v>
      </c>
      <c r="N582">
        <f t="shared" si="29"/>
        <v>2025</v>
      </c>
      <c r="O582">
        <f t="shared" si="27"/>
        <v>10</v>
      </c>
      <c r="P582" t="str">
        <f t="shared" si="28"/>
        <v>Octubre</v>
      </c>
    </row>
    <row r="583" spans="3:16" hidden="1" x14ac:dyDescent="0.25">
      <c r="C583" t="s">
        <v>17</v>
      </c>
      <c r="D583">
        <v>53052001</v>
      </c>
      <c r="E583" t="s">
        <v>18</v>
      </c>
      <c r="F583" s="4">
        <v>5018.4319999999998</v>
      </c>
      <c r="G583" t="s">
        <v>983</v>
      </c>
      <c r="H583" s="3">
        <v>45959</v>
      </c>
      <c r="I583" t="s">
        <v>984</v>
      </c>
      <c r="J583" t="s">
        <v>984</v>
      </c>
      <c r="K583" t="s">
        <v>35</v>
      </c>
      <c r="N583">
        <f t="shared" si="29"/>
        <v>2025</v>
      </c>
      <c r="O583">
        <f t="shared" si="27"/>
        <v>10</v>
      </c>
      <c r="P583" t="str">
        <f t="shared" si="28"/>
        <v>Octubre</v>
      </c>
    </row>
    <row r="584" spans="3:16" hidden="1" x14ac:dyDescent="0.25">
      <c r="C584" t="s">
        <v>17</v>
      </c>
      <c r="D584">
        <v>53052001</v>
      </c>
      <c r="E584" t="s">
        <v>18</v>
      </c>
      <c r="F584" s="4">
        <v>176819.98733</v>
      </c>
      <c r="G584" t="s">
        <v>985</v>
      </c>
      <c r="H584" s="3">
        <v>45959</v>
      </c>
      <c r="I584" t="s">
        <v>984</v>
      </c>
      <c r="J584" t="s">
        <v>984</v>
      </c>
      <c r="K584" t="s">
        <v>69</v>
      </c>
      <c r="N584">
        <f t="shared" si="29"/>
        <v>2025</v>
      </c>
      <c r="O584">
        <f t="shared" si="27"/>
        <v>10</v>
      </c>
      <c r="P584" t="str">
        <f t="shared" si="28"/>
        <v>Octubre</v>
      </c>
    </row>
    <row r="585" spans="3:16" hidden="1" x14ac:dyDescent="0.25">
      <c r="C585" t="s">
        <v>17</v>
      </c>
      <c r="D585">
        <v>53052001</v>
      </c>
      <c r="E585" t="s">
        <v>18</v>
      </c>
      <c r="F585" s="4">
        <v>134373.198</v>
      </c>
      <c r="G585" t="s">
        <v>986</v>
      </c>
      <c r="H585" s="3">
        <v>45959</v>
      </c>
      <c r="I585" t="s">
        <v>984</v>
      </c>
      <c r="J585" t="s">
        <v>984</v>
      </c>
      <c r="K585" t="s">
        <v>21</v>
      </c>
      <c r="N585">
        <f t="shared" si="29"/>
        <v>2025</v>
      </c>
      <c r="O585">
        <f t="shared" si="27"/>
        <v>10</v>
      </c>
      <c r="P585" t="str">
        <f t="shared" si="28"/>
        <v>Octubre</v>
      </c>
    </row>
    <row r="586" spans="3:16" hidden="1" x14ac:dyDescent="0.25">
      <c r="C586" t="s">
        <v>17</v>
      </c>
      <c r="D586">
        <v>53052001</v>
      </c>
      <c r="E586" t="s">
        <v>18</v>
      </c>
      <c r="F586" s="4">
        <v>186720.973</v>
      </c>
      <c r="G586" t="s">
        <v>987</v>
      </c>
      <c r="H586" s="3">
        <v>45959</v>
      </c>
      <c r="I586" t="s">
        <v>984</v>
      </c>
      <c r="J586" t="s">
        <v>984</v>
      </c>
      <c r="K586" t="s">
        <v>27</v>
      </c>
      <c r="N586">
        <f t="shared" si="29"/>
        <v>2025</v>
      </c>
      <c r="O586">
        <f t="shared" si="27"/>
        <v>10</v>
      </c>
      <c r="P586" t="str">
        <f t="shared" si="28"/>
        <v>Octubre</v>
      </c>
    </row>
    <row r="587" spans="3:16" hidden="1" x14ac:dyDescent="0.25">
      <c r="C587" t="s">
        <v>17</v>
      </c>
      <c r="D587">
        <v>53052001</v>
      </c>
      <c r="E587" t="s">
        <v>18</v>
      </c>
      <c r="F587" s="4">
        <v>318125.89799999999</v>
      </c>
      <c r="G587" t="s">
        <v>988</v>
      </c>
      <c r="H587" s="3">
        <v>45959</v>
      </c>
      <c r="I587" t="s">
        <v>989</v>
      </c>
      <c r="J587" t="s">
        <v>989</v>
      </c>
      <c r="K587" t="s">
        <v>27</v>
      </c>
      <c r="N587">
        <f t="shared" si="29"/>
        <v>2025</v>
      </c>
      <c r="O587">
        <f t="shared" si="27"/>
        <v>10</v>
      </c>
      <c r="P587" t="str">
        <f t="shared" si="28"/>
        <v>Octubre</v>
      </c>
    </row>
    <row r="588" spans="3:16" hidden="1" x14ac:dyDescent="0.25">
      <c r="C588" t="s">
        <v>17</v>
      </c>
      <c r="D588">
        <v>53052001</v>
      </c>
      <c r="E588" t="s">
        <v>18</v>
      </c>
      <c r="F588" s="4">
        <v>135505.274</v>
      </c>
      <c r="G588" t="s">
        <v>990</v>
      </c>
      <c r="H588" s="3">
        <v>45959</v>
      </c>
      <c r="I588" t="s">
        <v>984</v>
      </c>
      <c r="J588" t="s">
        <v>984</v>
      </c>
      <c r="K588" t="s">
        <v>31</v>
      </c>
      <c r="N588">
        <f t="shared" si="29"/>
        <v>2025</v>
      </c>
      <c r="O588">
        <f t="shared" si="27"/>
        <v>10</v>
      </c>
      <c r="P588" t="str">
        <f t="shared" si="28"/>
        <v>Octubre</v>
      </c>
    </row>
    <row r="589" spans="3:16" hidden="1" x14ac:dyDescent="0.25">
      <c r="C589" t="s">
        <v>17</v>
      </c>
      <c r="D589">
        <v>53052001</v>
      </c>
      <c r="E589" t="s">
        <v>18</v>
      </c>
      <c r="F589" s="4">
        <v>175346.47500000001</v>
      </c>
      <c r="G589" t="s">
        <v>991</v>
      </c>
      <c r="H589" s="3">
        <v>45959</v>
      </c>
      <c r="I589" t="s">
        <v>992</v>
      </c>
      <c r="J589" t="s">
        <v>992</v>
      </c>
      <c r="K589" t="s">
        <v>37</v>
      </c>
      <c r="N589">
        <f t="shared" si="29"/>
        <v>2025</v>
      </c>
      <c r="O589">
        <f t="shared" si="27"/>
        <v>10</v>
      </c>
      <c r="P589" t="str">
        <f t="shared" si="28"/>
        <v>Octubre</v>
      </c>
    </row>
    <row r="590" spans="3:16" hidden="1" x14ac:dyDescent="0.25">
      <c r="C590" t="s">
        <v>17</v>
      </c>
      <c r="D590">
        <v>53052001</v>
      </c>
      <c r="E590" t="s">
        <v>18</v>
      </c>
      <c r="F590" s="4">
        <v>1991.7562499999999</v>
      </c>
      <c r="G590" t="s">
        <v>993</v>
      </c>
      <c r="H590" s="3">
        <v>45959</v>
      </c>
      <c r="I590" t="s">
        <v>994</v>
      </c>
      <c r="J590" t="s">
        <v>994</v>
      </c>
      <c r="K590" t="s">
        <v>41</v>
      </c>
      <c r="N590">
        <f t="shared" si="29"/>
        <v>2025</v>
      </c>
      <c r="O590">
        <f t="shared" si="27"/>
        <v>10</v>
      </c>
      <c r="P590" t="str">
        <f t="shared" si="28"/>
        <v>Octubre</v>
      </c>
    </row>
    <row r="591" spans="3:16" hidden="1" x14ac:dyDescent="0.25">
      <c r="C591" t="s">
        <v>17</v>
      </c>
      <c r="D591">
        <v>53052001</v>
      </c>
      <c r="E591" t="s">
        <v>18</v>
      </c>
      <c r="F591" s="4">
        <v>8402.7990000000009</v>
      </c>
      <c r="G591" t="s">
        <v>995</v>
      </c>
      <c r="H591" s="3">
        <v>45959</v>
      </c>
      <c r="I591" t="s">
        <v>964</v>
      </c>
      <c r="J591" t="s">
        <v>964</v>
      </c>
      <c r="K591" t="s">
        <v>69</v>
      </c>
      <c r="N591">
        <f t="shared" si="29"/>
        <v>2025</v>
      </c>
      <c r="O591">
        <f t="shared" si="27"/>
        <v>10</v>
      </c>
      <c r="P591" t="str">
        <f t="shared" si="28"/>
        <v>Octubre</v>
      </c>
    </row>
    <row r="592" spans="3:16" hidden="1" x14ac:dyDescent="0.25">
      <c r="C592" t="s">
        <v>17</v>
      </c>
      <c r="D592">
        <v>53052001</v>
      </c>
      <c r="E592" t="s">
        <v>18</v>
      </c>
      <c r="F592" s="4">
        <v>61299.003689999998</v>
      </c>
      <c r="G592" t="s">
        <v>996</v>
      </c>
      <c r="H592" s="3">
        <v>45959</v>
      </c>
      <c r="I592" t="s">
        <v>997</v>
      </c>
      <c r="J592" t="s">
        <v>997</v>
      </c>
      <c r="K592" t="s">
        <v>57</v>
      </c>
      <c r="N592">
        <f t="shared" si="29"/>
        <v>2025</v>
      </c>
      <c r="O592">
        <f t="shared" si="27"/>
        <v>10</v>
      </c>
      <c r="P592" t="str">
        <f t="shared" si="28"/>
        <v>Octubre</v>
      </c>
    </row>
    <row r="593" spans="3:16" hidden="1" x14ac:dyDescent="0.25">
      <c r="C593" t="s">
        <v>17</v>
      </c>
      <c r="D593">
        <v>53052001</v>
      </c>
      <c r="E593" t="s">
        <v>18</v>
      </c>
      <c r="F593" s="4">
        <v>-5018.4319999999998</v>
      </c>
      <c r="G593" t="s">
        <v>998</v>
      </c>
      <c r="H593" s="3">
        <v>45959</v>
      </c>
      <c r="I593" t="s">
        <v>999</v>
      </c>
      <c r="J593" t="s">
        <v>999</v>
      </c>
      <c r="K593" t="s">
        <v>35</v>
      </c>
      <c r="N593">
        <f t="shared" si="29"/>
        <v>2025</v>
      </c>
      <c r="O593">
        <f t="shared" si="27"/>
        <v>10</v>
      </c>
      <c r="P593" t="str">
        <f t="shared" si="28"/>
        <v>Octubre</v>
      </c>
    </row>
    <row r="594" spans="3:16" hidden="1" x14ac:dyDescent="0.25">
      <c r="C594" t="s">
        <v>17</v>
      </c>
      <c r="D594">
        <v>53052001</v>
      </c>
      <c r="E594" t="s">
        <v>18</v>
      </c>
      <c r="F594" s="4">
        <v>-175346.47500000001</v>
      </c>
      <c r="G594" t="s">
        <v>998</v>
      </c>
      <c r="H594" s="3">
        <v>45959</v>
      </c>
      <c r="I594" t="s">
        <v>999</v>
      </c>
      <c r="J594" t="s">
        <v>999</v>
      </c>
      <c r="K594" t="s">
        <v>37</v>
      </c>
      <c r="N594">
        <f t="shared" si="29"/>
        <v>2025</v>
      </c>
      <c r="O594">
        <f t="shared" si="27"/>
        <v>10</v>
      </c>
      <c r="P594" t="str">
        <f t="shared" si="28"/>
        <v>Octubre</v>
      </c>
    </row>
    <row r="595" spans="3:16" hidden="1" x14ac:dyDescent="0.25">
      <c r="C595" t="s">
        <v>17</v>
      </c>
      <c r="D595">
        <v>53052001</v>
      </c>
      <c r="E595" t="s">
        <v>18</v>
      </c>
      <c r="F595" s="4">
        <v>-135505.274</v>
      </c>
      <c r="G595" t="s">
        <v>998</v>
      </c>
      <c r="H595" s="3">
        <v>45959</v>
      </c>
      <c r="I595" t="s">
        <v>999</v>
      </c>
      <c r="J595" t="s">
        <v>999</v>
      </c>
      <c r="K595" t="s">
        <v>31</v>
      </c>
      <c r="N595">
        <f t="shared" si="29"/>
        <v>2025</v>
      </c>
      <c r="O595">
        <f t="shared" si="27"/>
        <v>10</v>
      </c>
      <c r="P595" t="str">
        <f t="shared" si="28"/>
        <v>Octubre</v>
      </c>
    </row>
    <row r="596" spans="3:16" hidden="1" x14ac:dyDescent="0.25">
      <c r="C596" t="s">
        <v>17</v>
      </c>
      <c r="D596">
        <v>53052001</v>
      </c>
      <c r="E596" t="s">
        <v>18</v>
      </c>
      <c r="F596" s="4">
        <v>-504846.87099999998</v>
      </c>
      <c r="G596" t="s">
        <v>998</v>
      </c>
      <c r="H596" s="3">
        <v>45959</v>
      </c>
      <c r="I596" t="s">
        <v>999</v>
      </c>
      <c r="J596" t="s">
        <v>999</v>
      </c>
      <c r="K596" t="s">
        <v>27</v>
      </c>
      <c r="N596">
        <f t="shared" si="29"/>
        <v>2025</v>
      </c>
      <c r="O596">
        <f t="shared" si="27"/>
        <v>10</v>
      </c>
      <c r="P596" t="str">
        <f t="shared" si="28"/>
        <v>Octubre</v>
      </c>
    </row>
    <row r="597" spans="3:16" hidden="1" x14ac:dyDescent="0.25">
      <c r="C597" t="s">
        <v>17</v>
      </c>
      <c r="D597">
        <v>53052001</v>
      </c>
      <c r="E597" t="s">
        <v>18</v>
      </c>
      <c r="F597" s="4">
        <v>-176819.98733</v>
      </c>
      <c r="G597" t="s">
        <v>998</v>
      </c>
      <c r="H597" s="3">
        <v>45959</v>
      </c>
      <c r="I597" t="s">
        <v>999</v>
      </c>
      <c r="J597" t="s">
        <v>999</v>
      </c>
      <c r="K597" t="s">
        <v>69</v>
      </c>
      <c r="N597">
        <f t="shared" si="29"/>
        <v>2025</v>
      </c>
      <c r="O597">
        <f t="shared" si="27"/>
        <v>10</v>
      </c>
      <c r="P597" t="str">
        <f t="shared" si="28"/>
        <v>Octubre</v>
      </c>
    </row>
    <row r="598" spans="3:16" hidden="1" x14ac:dyDescent="0.25">
      <c r="C598" t="s">
        <v>17</v>
      </c>
      <c r="D598">
        <v>53052001</v>
      </c>
      <c r="E598" t="s">
        <v>18</v>
      </c>
      <c r="F598" s="4">
        <v>-134373.198</v>
      </c>
      <c r="G598" t="s">
        <v>998</v>
      </c>
      <c r="H598" s="3">
        <v>45959</v>
      </c>
      <c r="I598" t="s">
        <v>999</v>
      </c>
      <c r="J598" t="s">
        <v>999</v>
      </c>
      <c r="K598" t="s">
        <v>21</v>
      </c>
      <c r="N598">
        <f t="shared" si="29"/>
        <v>2025</v>
      </c>
      <c r="O598">
        <f t="shared" si="27"/>
        <v>10</v>
      </c>
      <c r="P598" t="str">
        <f t="shared" si="28"/>
        <v>Octubre</v>
      </c>
    </row>
    <row r="599" spans="3:16" hidden="1" x14ac:dyDescent="0.25">
      <c r="C599" t="s">
        <v>17</v>
      </c>
      <c r="D599">
        <v>53052001</v>
      </c>
      <c r="E599" t="s">
        <v>18</v>
      </c>
      <c r="F599" s="4">
        <v>44024.053</v>
      </c>
      <c r="G599" t="s">
        <v>1000</v>
      </c>
      <c r="H599" s="3">
        <v>45959</v>
      </c>
      <c r="I599" t="s">
        <v>964</v>
      </c>
      <c r="J599" t="s">
        <v>964</v>
      </c>
      <c r="K599" t="s">
        <v>60</v>
      </c>
      <c r="N599">
        <f t="shared" si="29"/>
        <v>2025</v>
      </c>
      <c r="O599">
        <f t="shared" si="27"/>
        <v>10</v>
      </c>
      <c r="P599" t="str">
        <f t="shared" si="28"/>
        <v>Octubre</v>
      </c>
    </row>
    <row r="600" spans="3:16" hidden="1" x14ac:dyDescent="0.25">
      <c r="C600" t="s">
        <v>17</v>
      </c>
      <c r="D600">
        <v>53052001</v>
      </c>
      <c r="E600" t="s">
        <v>18</v>
      </c>
      <c r="F600" s="4">
        <v>98137.505999999994</v>
      </c>
      <c r="G600" t="s">
        <v>1000</v>
      </c>
      <c r="H600" s="3">
        <v>45959</v>
      </c>
      <c r="I600" t="s">
        <v>1001</v>
      </c>
      <c r="J600" t="s">
        <v>964</v>
      </c>
      <c r="K600" t="s">
        <v>60</v>
      </c>
      <c r="N600">
        <f t="shared" si="29"/>
        <v>2025</v>
      </c>
      <c r="O600">
        <f t="shared" si="27"/>
        <v>10</v>
      </c>
      <c r="P600" t="str">
        <f t="shared" si="28"/>
        <v>Octubre</v>
      </c>
    </row>
    <row r="601" spans="3:16" hidden="1" x14ac:dyDescent="0.25">
      <c r="C601" t="s">
        <v>17</v>
      </c>
      <c r="D601">
        <v>53052001</v>
      </c>
      <c r="E601" t="s">
        <v>18</v>
      </c>
      <c r="F601" s="4">
        <v>1675.0129999999999</v>
      </c>
      <c r="G601" t="s">
        <v>1002</v>
      </c>
      <c r="H601" s="3">
        <v>45960</v>
      </c>
      <c r="I601" t="s">
        <v>1003</v>
      </c>
      <c r="J601" t="s">
        <v>1003</v>
      </c>
      <c r="K601" t="s">
        <v>69</v>
      </c>
      <c r="N601">
        <f t="shared" si="29"/>
        <v>2025</v>
      </c>
      <c r="O601">
        <f t="shared" si="27"/>
        <v>10</v>
      </c>
      <c r="P601" t="str">
        <f t="shared" si="28"/>
        <v>Octubre</v>
      </c>
    </row>
    <row r="602" spans="3:16" hidden="1" x14ac:dyDescent="0.25">
      <c r="C602" t="s">
        <v>17</v>
      </c>
      <c r="D602">
        <v>53052001</v>
      </c>
      <c r="E602" t="s">
        <v>18</v>
      </c>
      <c r="F602" s="4">
        <v>34741.265899999999</v>
      </c>
      <c r="G602" t="s">
        <v>1004</v>
      </c>
      <c r="H602" s="3">
        <v>45960</v>
      </c>
      <c r="I602" t="s">
        <v>1005</v>
      </c>
      <c r="J602" t="s">
        <v>1005</v>
      </c>
      <c r="K602" t="s">
        <v>27</v>
      </c>
      <c r="N602">
        <f t="shared" si="29"/>
        <v>2025</v>
      </c>
      <c r="O602">
        <f t="shared" si="27"/>
        <v>10</v>
      </c>
      <c r="P602" t="str">
        <f t="shared" si="28"/>
        <v>Octubre</v>
      </c>
    </row>
    <row r="603" spans="3:16" hidden="1" x14ac:dyDescent="0.25">
      <c r="C603" t="s">
        <v>17</v>
      </c>
      <c r="D603">
        <v>53052001</v>
      </c>
      <c r="E603" t="s">
        <v>18</v>
      </c>
      <c r="F603" s="4">
        <v>12440.960999999999</v>
      </c>
      <c r="G603" t="s">
        <v>1006</v>
      </c>
      <c r="H603" s="3">
        <v>45961</v>
      </c>
      <c r="I603" t="s">
        <v>1007</v>
      </c>
      <c r="J603" t="s">
        <v>1007</v>
      </c>
      <c r="K603" t="s">
        <v>27</v>
      </c>
      <c r="N603">
        <f t="shared" si="29"/>
        <v>2025</v>
      </c>
      <c r="O603">
        <f t="shared" si="27"/>
        <v>10</v>
      </c>
      <c r="P603" t="str">
        <f t="shared" si="28"/>
        <v>Octubre</v>
      </c>
    </row>
    <row r="604" spans="3:16" hidden="1" x14ac:dyDescent="0.25">
      <c r="C604" t="s">
        <v>17</v>
      </c>
      <c r="D604">
        <v>53052001</v>
      </c>
      <c r="E604" t="s">
        <v>18</v>
      </c>
      <c r="F604" s="4">
        <v>17279.175999999999</v>
      </c>
      <c r="G604" t="s">
        <v>1006</v>
      </c>
      <c r="H604" s="3">
        <v>45961</v>
      </c>
      <c r="I604" t="s">
        <v>1007</v>
      </c>
      <c r="J604" t="s">
        <v>1007</v>
      </c>
      <c r="K604" t="s">
        <v>69</v>
      </c>
      <c r="N604">
        <f t="shared" si="29"/>
        <v>2025</v>
      </c>
      <c r="O604">
        <f t="shared" si="27"/>
        <v>10</v>
      </c>
      <c r="P604" t="str">
        <f t="shared" si="28"/>
        <v>Octubre</v>
      </c>
    </row>
    <row r="605" spans="3:16" hidden="1" x14ac:dyDescent="0.25">
      <c r="C605" t="s">
        <v>17</v>
      </c>
      <c r="D605">
        <v>53052001</v>
      </c>
      <c r="E605" t="s">
        <v>18</v>
      </c>
      <c r="F605" s="4">
        <v>7459.2</v>
      </c>
      <c r="G605" t="s">
        <v>1006</v>
      </c>
      <c r="H605" s="3">
        <v>45961</v>
      </c>
      <c r="I605" t="s">
        <v>1007</v>
      </c>
      <c r="J605" t="s">
        <v>1007</v>
      </c>
      <c r="K605" t="s">
        <v>21</v>
      </c>
      <c r="N605">
        <f t="shared" si="29"/>
        <v>2025</v>
      </c>
      <c r="O605">
        <f t="shared" si="27"/>
        <v>10</v>
      </c>
      <c r="P605" t="str">
        <f t="shared" si="28"/>
        <v>Octubre</v>
      </c>
    </row>
    <row r="606" spans="3:16" hidden="1" x14ac:dyDescent="0.25">
      <c r="C606" t="s">
        <v>17</v>
      </c>
      <c r="D606">
        <v>53052001</v>
      </c>
      <c r="E606" t="s">
        <v>18</v>
      </c>
      <c r="F606" s="4">
        <v>7514.8324000000002</v>
      </c>
      <c r="G606" t="s">
        <v>1008</v>
      </c>
      <c r="H606" s="3">
        <v>45961</v>
      </c>
      <c r="I606" t="s">
        <v>1009</v>
      </c>
      <c r="J606" t="s">
        <v>1009</v>
      </c>
      <c r="K606" t="s">
        <v>206</v>
      </c>
      <c r="N606">
        <f t="shared" si="29"/>
        <v>2025</v>
      </c>
      <c r="O606">
        <f t="shared" si="27"/>
        <v>10</v>
      </c>
      <c r="P606" t="str">
        <f t="shared" si="28"/>
        <v>Octubre</v>
      </c>
    </row>
    <row r="607" spans="3:16" hidden="1" x14ac:dyDescent="0.25">
      <c r="C607" t="s">
        <v>17</v>
      </c>
      <c r="D607">
        <v>53052001</v>
      </c>
      <c r="E607" t="s">
        <v>18</v>
      </c>
      <c r="F607" s="4">
        <v>16336.519</v>
      </c>
      <c r="G607" t="s">
        <v>1010</v>
      </c>
      <c r="H607" s="3">
        <v>45961</v>
      </c>
      <c r="I607" t="s">
        <v>964</v>
      </c>
      <c r="J607" t="s">
        <v>964</v>
      </c>
      <c r="K607" t="s">
        <v>51</v>
      </c>
      <c r="N607">
        <f t="shared" si="29"/>
        <v>2025</v>
      </c>
      <c r="O607">
        <f t="shared" si="27"/>
        <v>10</v>
      </c>
      <c r="P607" t="str">
        <f t="shared" si="28"/>
        <v>Octubre</v>
      </c>
    </row>
    <row r="608" spans="3:16" hidden="1" x14ac:dyDescent="0.25">
      <c r="C608" t="s">
        <v>17</v>
      </c>
      <c r="D608">
        <v>53052001</v>
      </c>
      <c r="E608" t="s">
        <v>18</v>
      </c>
      <c r="F608" s="4">
        <v>9965.3970000000008</v>
      </c>
      <c r="G608" t="s">
        <v>1011</v>
      </c>
      <c r="H608" s="3">
        <v>45961</v>
      </c>
      <c r="I608" t="s">
        <v>1012</v>
      </c>
      <c r="J608" t="s">
        <v>1013</v>
      </c>
      <c r="K608" t="s">
        <v>41</v>
      </c>
      <c r="N608">
        <f t="shared" si="29"/>
        <v>2025</v>
      </c>
      <c r="O608">
        <f t="shared" si="27"/>
        <v>10</v>
      </c>
      <c r="P608" t="str">
        <f t="shared" si="28"/>
        <v>Octubre</v>
      </c>
    </row>
    <row r="609" spans="3:16" hidden="1" x14ac:dyDescent="0.25">
      <c r="C609" t="s">
        <v>17</v>
      </c>
      <c r="D609">
        <v>53052001</v>
      </c>
      <c r="E609" t="s">
        <v>18</v>
      </c>
      <c r="F609" s="4">
        <v>175346.47500000001</v>
      </c>
      <c r="G609" t="s">
        <v>1011</v>
      </c>
      <c r="H609" s="3">
        <v>45961</v>
      </c>
      <c r="I609" t="s">
        <v>1014</v>
      </c>
      <c r="J609" t="s">
        <v>1013</v>
      </c>
      <c r="K609" t="s">
        <v>37</v>
      </c>
      <c r="N609">
        <f t="shared" si="29"/>
        <v>2025</v>
      </c>
      <c r="O609">
        <f t="shared" si="27"/>
        <v>10</v>
      </c>
      <c r="P609" t="str">
        <f t="shared" si="28"/>
        <v>Octubre</v>
      </c>
    </row>
    <row r="610" spans="3:16" hidden="1" x14ac:dyDescent="0.25">
      <c r="C610" t="s">
        <v>17</v>
      </c>
      <c r="D610">
        <v>53052001</v>
      </c>
      <c r="E610" t="s">
        <v>18</v>
      </c>
      <c r="F610" s="4">
        <v>115778.97</v>
      </c>
      <c r="G610" t="s">
        <v>1011</v>
      </c>
      <c r="H610" s="3">
        <v>45961</v>
      </c>
      <c r="I610" t="s">
        <v>1015</v>
      </c>
      <c r="J610" t="s">
        <v>1013</v>
      </c>
      <c r="K610" t="s">
        <v>69</v>
      </c>
      <c r="N610">
        <f t="shared" si="29"/>
        <v>2025</v>
      </c>
      <c r="O610">
        <f t="shared" si="27"/>
        <v>10</v>
      </c>
      <c r="P610" t="str">
        <f t="shared" si="28"/>
        <v>Octubre</v>
      </c>
    </row>
    <row r="611" spans="3:16" hidden="1" x14ac:dyDescent="0.25">
      <c r="C611" t="s">
        <v>17</v>
      </c>
      <c r="D611">
        <v>53052001</v>
      </c>
      <c r="E611" t="s">
        <v>18</v>
      </c>
      <c r="F611" s="4">
        <v>29708.332999999999</v>
      </c>
      <c r="G611" t="s">
        <v>1011</v>
      </c>
      <c r="H611" s="3">
        <v>45961</v>
      </c>
      <c r="I611" t="s">
        <v>1016</v>
      </c>
      <c r="J611" t="s">
        <v>1013</v>
      </c>
      <c r="K611" t="s">
        <v>31</v>
      </c>
      <c r="N611">
        <f t="shared" si="29"/>
        <v>2025</v>
      </c>
      <c r="O611">
        <f t="shared" si="27"/>
        <v>10</v>
      </c>
      <c r="P611" t="str">
        <f t="shared" si="28"/>
        <v>Octubre</v>
      </c>
    </row>
    <row r="612" spans="3:16" hidden="1" x14ac:dyDescent="0.25">
      <c r="C612" t="s">
        <v>17</v>
      </c>
      <c r="D612">
        <v>53052001</v>
      </c>
      <c r="E612" t="s">
        <v>18</v>
      </c>
      <c r="F612" s="4">
        <v>84660.813999999998</v>
      </c>
      <c r="G612" t="s">
        <v>1011</v>
      </c>
      <c r="H612" s="3">
        <v>45961</v>
      </c>
      <c r="I612" t="s">
        <v>1017</v>
      </c>
      <c r="J612" t="s">
        <v>1013</v>
      </c>
      <c r="K612" t="s">
        <v>21</v>
      </c>
      <c r="N612">
        <f t="shared" si="29"/>
        <v>2025</v>
      </c>
      <c r="O612">
        <f t="shared" si="27"/>
        <v>10</v>
      </c>
      <c r="P612" t="str">
        <f t="shared" si="28"/>
        <v>Octubre</v>
      </c>
    </row>
    <row r="613" spans="3:16" hidden="1" x14ac:dyDescent="0.25">
      <c r="C613" t="s">
        <v>17</v>
      </c>
      <c r="D613">
        <v>53052001</v>
      </c>
      <c r="E613" t="s">
        <v>18</v>
      </c>
      <c r="F613" s="4">
        <v>-251251.448</v>
      </c>
      <c r="G613" t="s">
        <v>1018</v>
      </c>
      <c r="H613" s="3">
        <v>45961</v>
      </c>
      <c r="I613" t="s">
        <v>1019</v>
      </c>
      <c r="J613" t="s">
        <v>1019</v>
      </c>
      <c r="K613" t="s">
        <v>21</v>
      </c>
      <c r="N613">
        <f t="shared" si="29"/>
        <v>2025</v>
      </c>
      <c r="O613">
        <f t="shared" si="27"/>
        <v>10</v>
      </c>
      <c r="P613" t="str">
        <f t="shared" si="28"/>
        <v>Octubre</v>
      </c>
    </row>
    <row r="614" spans="3:16" hidden="1" x14ac:dyDescent="0.25">
      <c r="C614" t="s">
        <v>17</v>
      </c>
      <c r="D614">
        <v>53052001</v>
      </c>
      <c r="E614" t="s">
        <v>18</v>
      </c>
      <c r="F614" s="4">
        <v>12982.358</v>
      </c>
      <c r="G614" t="s">
        <v>1020</v>
      </c>
      <c r="H614" s="3">
        <v>45961</v>
      </c>
      <c r="I614" t="s">
        <v>1021</v>
      </c>
      <c r="J614" t="s">
        <v>1021</v>
      </c>
      <c r="K614" t="s">
        <v>194</v>
      </c>
      <c r="N614">
        <f t="shared" si="29"/>
        <v>2025</v>
      </c>
      <c r="O614">
        <f t="shared" si="27"/>
        <v>10</v>
      </c>
      <c r="P614" t="str">
        <f t="shared" si="28"/>
        <v>Octubre</v>
      </c>
    </row>
    <row r="615" spans="3:16" hidden="1" x14ac:dyDescent="0.25">
      <c r="C615" t="s">
        <v>17</v>
      </c>
      <c r="D615">
        <v>53052003</v>
      </c>
      <c r="E615" t="s">
        <v>24</v>
      </c>
      <c r="F615" s="4">
        <v>305760.62300000002</v>
      </c>
      <c r="G615" t="s">
        <v>1022</v>
      </c>
      <c r="H615" s="3">
        <v>45940</v>
      </c>
      <c r="I615" t="s">
        <v>1023</v>
      </c>
      <c r="J615" t="s">
        <v>1023</v>
      </c>
      <c r="K615" t="s">
        <v>27</v>
      </c>
      <c r="N615">
        <f t="shared" si="29"/>
        <v>2025</v>
      </c>
      <c r="O615">
        <f t="shared" si="27"/>
        <v>10</v>
      </c>
      <c r="P615" t="str">
        <f t="shared" si="28"/>
        <v>Octubre</v>
      </c>
    </row>
    <row r="616" spans="3:16" x14ac:dyDescent="0.25">
      <c r="C616" t="s">
        <v>17</v>
      </c>
      <c r="D616">
        <v>53052004</v>
      </c>
      <c r="E616" t="s">
        <v>276</v>
      </c>
      <c r="F616" s="4">
        <v>190.05742999999998</v>
      </c>
      <c r="G616" t="s">
        <v>1024</v>
      </c>
      <c r="H616" s="3">
        <v>45945</v>
      </c>
      <c r="I616" t="s">
        <v>1025</v>
      </c>
      <c r="J616" t="s">
        <v>1026</v>
      </c>
      <c r="K616" t="s">
        <v>69</v>
      </c>
      <c r="N616">
        <f t="shared" si="29"/>
        <v>2025</v>
      </c>
      <c r="O616">
        <f t="shared" si="27"/>
        <v>10</v>
      </c>
      <c r="P616" t="str">
        <f t="shared" si="28"/>
        <v>Octubre</v>
      </c>
    </row>
    <row r="617" spans="3:16" x14ac:dyDescent="0.25">
      <c r="C617" t="s">
        <v>17</v>
      </c>
      <c r="D617">
        <v>53052004</v>
      </c>
      <c r="E617" t="s">
        <v>276</v>
      </c>
      <c r="F617" s="4">
        <v>259.24900000000002</v>
      </c>
      <c r="G617" t="s">
        <v>1027</v>
      </c>
      <c r="H617" s="3">
        <v>45946</v>
      </c>
      <c r="I617" t="s">
        <v>1028</v>
      </c>
      <c r="J617" t="s">
        <v>1029</v>
      </c>
      <c r="K617" t="s">
        <v>69</v>
      </c>
      <c r="N617">
        <f t="shared" si="29"/>
        <v>2025</v>
      </c>
      <c r="O617">
        <f t="shared" si="27"/>
        <v>10</v>
      </c>
      <c r="P617" t="str">
        <f t="shared" si="28"/>
        <v>Octubre</v>
      </c>
    </row>
    <row r="618" spans="3:16" x14ac:dyDescent="0.25">
      <c r="C618" t="s">
        <v>17</v>
      </c>
      <c r="D618">
        <v>53052004</v>
      </c>
      <c r="E618" t="s">
        <v>276</v>
      </c>
      <c r="F618" s="4">
        <v>0.878</v>
      </c>
      <c r="G618" t="s">
        <v>1030</v>
      </c>
      <c r="H618" s="3">
        <v>45953</v>
      </c>
      <c r="I618" t="s">
        <v>1031</v>
      </c>
      <c r="J618" t="s">
        <v>1032</v>
      </c>
      <c r="K618" t="s">
        <v>69</v>
      </c>
      <c r="N618">
        <f t="shared" si="29"/>
        <v>2025</v>
      </c>
      <c r="O618">
        <f t="shared" si="27"/>
        <v>10</v>
      </c>
      <c r="P618" t="str">
        <f t="shared" si="28"/>
        <v>Octubre</v>
      </c>
    </row>
    <row r="619" spans="3:16" x14ac:dyDescent="0.25">
      <c r="C619" t="s">
        <v>17</v>
      </c>
      <c r="D619">
        <v>53052004</v>
      </c>
      <c r="E619" t="s">
        <v>276</v>
      </c>
      <c r="F619" s="4">
        <v>3886.94</v>
      </c>
      <c r="G619" t="s">
        <v>1033</v>
      </c>
      <c r="H619" s="3">
        <v>45961</v>
      </c>
      <c r="I619" t="s">
        <v>1034</v>
      </c>
      <c r="J619" t="s">
        <v>1034</v>
      </c>
      <c r="K619" t="s">
        <v>35</v>
      </c>
      <c r="N619">
        <f t="shared" si="29"/>
        <v>2025</v>
      </c>
      <c r="O619">
        <f t="shared" si="27"/>
        <v>10</v>
      </c>
      <c r="P619" t="str">
        <f t="shared" si="28"/>
        <v>Octubre</v>
      </c>
    </row>
    <row r="620" spans="3:16" x14ac:dyDescent="0.25">
      <c r="C620" t="s">
        <v>17</v>
      </c>
      <c r="D620">
        <v>53052004</v>
      </c>
      <c r="E620" t="s">
        <v>276</v>
      </c>
      <c r="F620" s="4">
        <v>1145.202</v>
      </c>
      <c r="G620" t="s">
        <v>1035</v>
      </c>
      <c r="H620" s="3">
        <v>45961</v>
      </c>
      <c r="I620" t="s">
        <v>1036</v>
      </c>
      <c r="J620" t="s">
        <v>1036</v>
      </c>
      <c r="K620" t="s">
        <v>35</v>
      </c>
      <c r="N620">
        <f t="shared" si="29"/>
        <v>2025</v>
      </c>
      <c r="O620">
        <f t="shared" si="27"/>
        <v>10</v>
      </c>
      <c r="P620" t="str">
        <f t="shared" si="28"/>
        <v>Octubre</v>
      </c>
    </row>
    <row r="621" spans="3:16" x14ac:dyDescent="0.25">
      <c r="C621" t="s">
        <v>17</v>
      </c>
      <c r="D621">
        <v>53052004</v>
      </c>
      <c r="E621" t="s">
        <v>276</v>
      </c>
      <c r="F621" s="4">
        <v>234.73745000000002</v>
      </c>
      <c r="G621" t="s">
        <v>1037</v>
      </c>
      <c r="H621" s="3">
        <v>45961</v>
      </c>
      <c r="I621" t="s">
        <v>1038</v>
      </c>
      <c r="J621" t="s">
        <v>1038</v>
      </c>
      <c r="K621" t="s">
        <v>21</v>
      </c>
      <c r="N621">
        <f t="shared" si="29"/>
        <v>2025</v>
      </c>
      <c r="O621">
        <f t="shared" si="27"/>
        <v>10</v>
      </c>
      <c r="P621" t="str">
        <f t="shared" si="28"/>
        <v>Octubre</v>
      </c>
    </row>
    <row r="622" spans="3:16" x14ac:dyDescent="0.25">
      <c r="C622" t="s">
        <v>17</v>
      </c>
      <c r="D622">
        <v>53052004</v>
      </c>
      <c r="E622" t="s">
        <v>276</v>
      </c>
      <c r="F622" s="11">
        <v>1274.30801</v>
      </c>
      <c r="G622" t="s">
        <v>1039</v>
      </c>
      <c r="H622" s="3">
        <v>45961</v>
      </c>
      <c r="I622" t="s">
        <v>1040</v>
      </c>
      <c r="J622" t="s">
        <v>1040</v>
      </c>
      <c r="K622" t="s">
        <v>21</v>
      </c>
      <c r="N622">
        <f t="shared" si="29"/>
        <v>2025</v>
      </c>
      <c r="O622">
        <f t="shared" si="27"/>
        <v>10</v>
      </c>
      <c r="P622" t="str">
        <f t="shared" si="28"/>
        <v>Octubre</v>
      </c>
    </row>
    <row r="623" spans="3:16" x14ac:dyDescent="0.25">
      <c r="C623" t="s">
        <v>17</v>
      </c>
      <c r="D623">
        <v>53052004</v>
      </c>
      <c r="E623" t="s">
        <v>276</v>
      </c>
      <c r="F623" s="11">
        <v>541.46057999999994</v>
      </c>
      <c r="G623" t="s">
        <v>1041</v>
      </c>
      <c r="H623" s="3">
        <v>45961</v>
      </c>
      <c r="I623" t="s">
        <v>1042</v>
      </c>
      <c r="J623" t="s">
        <v>1042</v>
      </c>
      <c r="K623" t="s">
        <v>27</v>
      </c>
      <c r="N623">
        <f t="shared" si="29"/>
        <v>2025</v>
      </c>
      <c r="O623">
        <f t="shared" si="27"/>
        <v>10</v>
      </c>
      <c r="P623" t="str">
        <f t="shared" si="28"/>
        <v>Octubre</v>
      </c>
    </row>
    <row r="624" spans="3:16" s="28" customFormat="1" ht="5.25" hidden="1" customHeight="1" x14ac:dyDescent="0.25">
      <c r="F624" s="29"/>
      <c r="N624"/>
    </row>
    <row r="625" spans="3:16" hidden="1" x14ac:dyDescent="0.25">
      <c r="C625" t="s">
        <v>17</v>
      </c>
      <c r="D625">
        <v>53052001</v>
      </c>
      <c r="E625" t="s">
        <v>18</v>
      </c>
      <c r="F625" s="11">
        <v>2494.877</v>
      </c>
      <c r="G625" t="s">
        <v>1043</v>
      </c>
      <c r="H625" s="3">
        <v>45965</v>
      </c>
      <c r="I625" t="s">
        <v>1044</v>
      </c>
      <c r="J625" t="s">
        <v>1044</v>
      </c>
      <c r="K625" t="s">
        <v>27</v>
      </c>
      <c r="N625">
        <f t="shared" si="29"/>
        <v>2025</v>
      </c>
      <c r="O625">
        <f t="shared" ref="O625:O664" si="30">+MONTH(H625)</f>
        <v>11</v>
      </c>
      <c r="P625" t="str">
        <f t="shared" ref="P625:P664" si="31">+VLOOKUP(O625,X:Y,2,0)</f>
        <v>Noviembre</v>
      </c>
    </row>
    <row r="626" spans="3:16" hidden="1" x14ac:dyDescent="0.25">
      <c r="C626" t="s">
        <v>17</v>
      </c>
      <c r="D626">
        <v>53052001</v>
      </c>
      <c r="E626" t="s">
        <v>18</v>
      </c>
      <c r="F626" s="11">
        <v>38795</v>
      </c>
      <c r="G626" t="s">
        <v>1045</v>
      </c>
      <c r="H626" s="3">
        <v>45968</v>
      </c>
      <c r="I626" t="s">
        <v>1046</v>
      </c>
      <c r="J626" t="s">
        <v>1046</v>
      </c>
      <c r="K626" t="s">
        <v>31</v>
      </c>
      <c r="N626">
        <f t="shared" si="29"/>
        <v>2025</v>
      </c>
      <c r="O626">
        <f t="shared" si="30"/>
        <v>11</v>
      </c>
      <c r="P626" t="str">
        <f t="shared" si="31"/>
        <v>Noviembre</v>
      </c>
    </row>
    <row r="627" spans="3:16" hidden="1" x14ac:dyDescent="0.25">
      <c r="C627" t="s">
        <v>17</v>
      </c>
      <c r="D627">
        <v>53052001</v>
      </c>
      <c r="E627" t="s">
        <v>18</v>
      </c>
      <c r="F627" s="11">
        <v>1209.799</v>
      </c>
      <c r="G627" t="s">
        <v>1047</v>
      </c>
      <c r="H627" s="3">
        <v>45971</v>
      </c>
      <c r="I627" t="s">
        <v>1048</v>
      </c>
      <c r="J627" t="s">
        <v>1048</v>
      </c>
      <c r="K627" t="s">
        <v>27</v>
      </c>
      <c r="N627">
        <f t="shared" si="29"/>
        <v>2025</v>
      </c>
      <c r="O627">
        <f t="shared" si="30"/>
        <v>11</v>
      </c>
      <c r="P627" t="str">
        <f t="shared" si="31"/>
        <v>Noviembre</v>
      </c>
    </row>
    <row r="628" spans="3:16" hidden="1" x14ac:dyDescent="0.25">
      <c r="C628" t="s">
        <v>17</v>
      </c>
      <c r="D628">
        <v>53052001</v>
      </c>
      <c r="E628" t="s">
        <v>18</v>
      </c>
      <c r="F628" s="11">
        <v>1298.4939999999999</v>
      </c>
      <c r="G628" t="s">
        <v>1049</v>
      </c>
      <c r="H628" s="3">
        <v>45971</v>
      </c>
      <c r="I628" t="s">
        <v>1050</v>
      </c>
      <c r="J628" t="s">
        <v>1050</v>
      </c>
      <c r="K628" t="s">
        <v>27</v>
      </c>
      <c r="N628">
        <f t="shared" si="29"/>
        <v>2025</v>
      </c>
      <c r="O628">
        <f t="shared" si="30"/>
        <v>11</v>
      </c>
      <c r="P628" t="str">
        <f t="shared" si="31"/>
        <v>Noviembre</v>
      </c>
    </row>
    <row r="629" spans="3:16" hidden="1" x14ac:dyDescent="0.25">
      <c r="C629" t="s">
        <v>17</v>
      </c>
      <c r="D629">
        <v>53052001</v>
      </c>
      <c r="E629" t="s">
        <v>18</v>
      </c>
      <c r="F629" s="11">
        <v>18.590979999999998</v>
      </c>
      <c r="G629" t="s">
        <v>1051</v>
      </c>
      <c r="H629" s="3">
        <v>45974</v>
      </c>
      <c r="I629" t="s">
        <v>1052</v>
      </c>
      <c r="J629" t="s">
        <v>1052</v>
      </c>
      <c r="K629" t="s">
        <v>57</v>
      </c>
      <c r="N629">
        <f t="shared" si="29"/>
        <v>2025</v>
      </c>
      <c r="O629">
        <f t="shared" si="30"/>
        <v>11</v>
      </c>
      <c r="P629" t="str">
        <f t="shared" si="31"/>
        <v>Noviembre</v>
      </c>
    </row>
    <row r="630" spans="3:16" hidden="1" x14ac:dyDescent="0.25">
      <c r="C630" t="s">
        <v>17</v>
      </c>
      <c r="D630">
        <v>53052001</v>
      </c>
      <c r="E630" t="s">
        <v>18</v>
      </c>
      <c r="F630" s="11">
        <v>2461.875</v>
      </c>
      <c r="G630" t="s">
        <v>1053</v>
      </c>
      <c r="H630" s="3">
        <v>45975</v>
      </c>
      <c r="I630" t="s">
        <v>1054</v>
      </c>
      <c r="J630" t="s">
        <v>1054</v>
      </c>
      <c r="K630" t="s">
        <v>27</v>
      </c>
      <c r="N630">
        <f t="shared" si="29"/>
        <v>2025</v>
      </c>
      <c r="O630">
        <f t="shared" si="30"/>
        <v>11</v>
      </c>
      <c r="P630" t="str">
        <f t="shared" si="31"/>
        <v>Noviembre</v>
      </c>
    </row>
    <row r="631" spans="3:16" hidden="1" x14ac:dyDescent="0.25">
      <c r="C631" t="s">
        <v>17</v>
      </c>
      <c r="D631">
        <v>53052001</v>
      </c>
      <c r="E631" t="s">
        <v>18</v>
      </c>
      <c r="F631" s="11">
        <v>12855.06</v>
      </c>
      <c r="G631" t="s">
        <v>1055</v>
      </c>
      <c r="H631" s="3">
        <v>45975</v>
      </c>
      <c r="I631" t="s">
        <v>962</v>
      </c>
      <c r="J631" t="s">
        <v>962</v>
      </c>
      <c r="K631" s="11" t="s">
        <v>31</v>
      </c>
      <c r="N631">
        <f t="shared" si="29"/>
        <v>2025</v>
      </c>
      <c r="O631">
        <f t="shared" si="30"/>
        <v>11</v>
      </c>
      <c r="P631" t="str">
        <f t="shared" si="31"/>
        <v>Noviembre</v>
      </c>
    </row>
    <row r="632" spans="3:16" hidden="1" x14ac:dyDescent="0.25">
      <c r="C632" t="s">
        <v>17</v>
      </c>
      <c r="D632">
        <v>53052001</v>
      </c>
      <c r="E632" t="s">
        <v>18</v>
      </c>
      <c r="F632" s="11">
        <v>1302.59934</v>
      </c>
      <c r="G632" t="s">
        <v>1056</v>
      </c>
      <c r="H632" s="3">
        <v>45985</v>
      </c>
      <c r="I632" t="s">
        <v>1057</v>
      </c>
      <c r="J632" t="s">
        <v>1057</v>
      </c>
      <c r="K632" t="s">
        <v>60</v>
      </c>
      <c r="N632">
        <f t="shared" si="29"/>
        <v>2025</v>
      </c>
      <c r="O632">
        <f t="shared" si="30"/>
        <v>11</v>
      </c>
      <c r="P632" t="str">
        <f t="shared" si="31"/>
        <v>Noviembre</v>
      </c>
    </row>
    <row r="633" spans="3:16" hidden="1" x14ac:dyDescent="0.25">
      <c r="C633" t="s">
        <v>17</v>
      </c>
      <c r="D633">
        <v>53052001</v>
      </c>
      <c r="E633" t="s">
        <v>18</v>
      </c>
      <c r="F633" s="11">
        <v>131213.359</v>
      </c>
      <c r="G633" t="s">
        <v>1058</v>
      </c>
      <c r="H633" s="3">
        <v>45986</v>
      </c>
      <c r="I633" t="s">
        <v>1059</v>
      </c>
      <c r="J633" t="s">
        <v>1059</v>
      </c>
      <c r="K633" t="s">
        <v>27</v>
      </c>
      <c r="N633">
        <f t="shared" si="29"/>
        <v>2025</v>
      </c>
      <c r="O633">
        <f t="shared" si="30"/>
        <v>11</v>
      </c>
      <c r="P633" t="str">
        <f t="shared" si="31"/>
        <v>Noviembre</v>
      </c>
    </row>
    <row r="634" spans="3:16" hidden="1" x14ac:dyDescent="0.25">
      <c r="C634" t="s">
        <v>17</v>
      </c>
      <c r="D634">
        <v>53052001</v>
      </c>
      <c r="E634" t="s">
        <v>18</v>
      </c>
      <c r="F634" s="11">
        <v>2056.6024299999999</v>
      </c>
      <c r="G634" t="s">
        <v>1060</v>
      </c>
      <c r="H634" s="3">
        <v>45987</v>
      </c>
      <c r="I634" t="s">
        <v>1061</v>
      </c>
      <c r="J634" t="s">
        <v>1061</v>
      </c>
      <c r="K634" t="s">
        <v>41</v>
      </c>
      <c r="N634">
        <f t="shared" si="29"/>
        <v>2025</v>
      </c>
      <c r="O634">
        <f t="shared" si="30"/>
        <v>11</v>
      </c>
      <c r="P634" t="str">
        <f t="shared" si="31"/>
        <v>Noviembre</v>
      </c>
    </row>
    <row r="635" spans="3:16" hidden="1" x14ac:dyDescent="0.25">
      <c r="C635" t="s">
        <v>17</v>
      </c>
      <c r="D635">
        <v>53052001</v>
      </c>
      <c r="E635" t="s">
        <v>18</v>
      </c>
      <c r="F635" s="11">
        <v>10938.413</v>
      </c>
      <c r="G635" t="s">
        <v>1062</v>
      </c>
      <c r="H635" s="3">
        <v>45988</v>
      </c>
      <c r="I635" t="s">
        <v>1063</v>
      </c>
      <c r="J635" t="s">
        <v>1063</v>
      </c>
      <c r="K635" t="s">
        <v>21</v>
      </c>
      <c r="N635">
        <f t="shared" si="29"/>
        <v>2025</v>
      </c>
      <c r="O635">
        <f t="shared" si="30"/>
        <v>11</v>
      </c>
      <c r="P635" t="str">
        <f t="shared" si="31"/>
        <v>Noviembre</v>
      </c>
    </row>
    <row r="636" spans="3:16" hidden="1" x14ac:dyDescent="0.25">
      <c r="C636" t="s">
        <v>17</v>
      </c>
      <c r="D636">
        <v>53052001</v>
      </c>
      <c r="E636" t="s">
        <v>18</v>
      </c>
      <c r="F636" s="11">
        <v>1829.8438899999999</v>
      </c>
      <c r="G636" t="s">
        <v>1064</v>
      </c>
      <c r="H636" s="3">
        <v>45989</v>
      </c>
      <c r="I636" t="s">
        <v>1065</v>
      </c>
      <c r="J636" t="s">
        <v>1065</v>
      </c>
      <c r="K636" t="s">
        <v>41</v>
      </c>
      <c r="N636">
        <f t="shared" si="29"/>
        <v>2025</v>
      </c>
      <c r="O636">
        <f t="shared" si="30"/>
        <v>11</v>
      </c>
      <c r="P636" t="str">
        <f t="shared" si="31"/>
        <v>Noviembre</v>
      </c>
    </row>
    <row r="637" spans="3:16" hidden="1" x14ac:dyDescent="0.25">
      <c r="C637" t="s">
        <v>17</v>
      </c>
      <c r="D637">
        <v>53052001</v>
      </c>
      <c r="E637" t="s">
        <v>18</v>
      </c>
      <c r="F637" s="11">
        <v>12440.963</v>
      </c>
      <c r="G637" t="s">
        <v>1066</v>
      </c>
      <c r="H637" s="3">
        <v>45991</v>
      </c>
      <c r="I637" t="s">
        <v>1067</v>
      </c>
      <c r="J637" t="s">
        <v>1067</v>
      </c>
      <c r="K637" t="s">
        <v>27</v>
      </c>
      <c r="N637">
        <f t="shared" si="29"/>
        <v>2025</v>
      </c>
      <c r="O637">
        <f t="shared" si="30"/>
        <v>11</v>
      </c>
      <c r="P637" t="str">
        <f t="shared" si="31"/>
        <v>Noviembre</v>
      </c>
    </row>
    <row r="638" spans="3:16" hidden="1" x14ac:dyDescent="0.25">
      <c r="C638" t="s">
        <v>17</v>
      </c>
      <c r="D638">
        <v>53052001</v>
      </c>
      <c r="E638" t="s">
        <v>18</v>
      </c>
      <c r="F638" s="11">
        <v>17279.177</v>
      </c>
      <c r="G638" t="s">
        <v>1066</v>
      </c>
      <c r="H638" s="3">
        <v>45991</v>
      </c>
      <c r="I638" t="s">
        <v>1067</v>
      </c>
      <c r="J638" t="s">
        <v>1067</v>
      </c>
      <c r="K638" t="s">
        <v>69</v>
      </c>
      <c r="N638">
        <f t="shared" si="29"/>
        <v>2025</v>
      </c>
      <c r="O638">
        <f t="shared" si="30"/>
        <v>11</v>
      </c>
      <c r="P638" t="str">
        <f t="shared" si="31"/>
        <v>Noviembre</v>
      </c>
    </row>
    <row r="639" spans="3:16" hidden="1" x14ac:dyDescent="0.25">
      <c r="C639" t="s">
        <v>17</v>
      </c>
      <c r="D639">
        <v>53052001</v>
      </c>
      <c r="E639" t="s">
        <v>18</v>
      </c>
      <c r="F639" s="11">
        <v>7459.2</v>
      </c>
      <c r="G639" t="s">
        <v>1066</v>
      </c>
      <c r="H639" s="3">
        <v>45991</v>
      </c>
      <c r="I639" t="s">
        <v>1067</v>
      </c>
      <c r="J639" t="s">
        <v>1067</v>
      </c>
      <c r="K639" t="s">
        <v>21</v>
      </c>
      <c r="N639">
        <f t="shared" si="29"/>
        <v>2025</v>
      </c>
      <c r="O639">
        <f t="shared" si="30"/>
        <v>11</v>
      </c>
      <c r="P639" t="str">
        <f t="shared" si="31"/>
        <v>Noviembre</v>
      </c>
    </row>
    <row r="640" spans="3:16" hidden="1" x14ac:dyDescent="0.25">
      <c r="C640" t="s">
        <v>17</v>
      </c>
      <c r="D640">
        <v>53052001</v>
      </c>
      <c r="E640" t="s">
        <v>18</v>
      </c>
      <c r="F640" s="11">
        <v>7514.8324000000002</v>
      </c>
      <c r="G640" t="s">
        <v>1068</v>
      </c>
      <c r="H640" s="3">
        <v>45991</v>
      </c>
      <c r="I640" t="s">
        <v>1069</v>
      </c>
      <c r="J640" t="s">
        <v>1069</v>
      </c>
      <c r="K640" t="s">
        <v>206</v>
      </c>
      <c r="N640">
        <f t="shared" si="29"/>
        <v>2025</v>
      </c>
      <c r="O640">
        <f t="shared" si="30"/>
        <v>11</v>
      </c>
      <c r="P640" t="str">
        <f t="shared" si="31"/>
        <v>Noviembre</v>
      </c>
    </row>
    <row r="641" spans="3:16" hidden="1" x14ac:dyDescent="0.25">
      <c r="C641" t="s">
        <v>17</v>
      </c>
      <c r="D641">
        <v>53052001</v>
      </c>
      <c r="E641" t="s">
        <v>18</v>
      </c>
      <c r="F641" s="11">
        <v>8402.7990000000009</v>
      </c>
      <c r="G641" t="s">
        <v>1070</v>
      </c>
      <c r="H641" s="3">
        <v>45991</v>
      </c>
      <c r="I641" t="s">
        <v>1057</v>
      </c>
      <c r="J641" t="s">
        <v>1057</v>
      </c>
      <c r="K641" t="s">
        <v>69</v>
      </c>
      <c r="N641">
        <f t="shared" si="29"/>
        <v>2025</v>
      </c>
      <c r="O641">
        <f t="shared" si="30"/>
        <v>11</v>
      </c>
      <c r="P641" t="str">
        <f t="shared" si="31"/>
        <v>Noviembre</v>
      </c>
    </row>
    <row r="642" spans="3:16" hidden="1" x14ac:dyDescent="0.25">
      <c r="C642" t="s">
        <v>17</v>
      </c>
      <c r="D642">
        <v>53052001</v>
      </c>
      <c r="E642" t="s">
        <v>18</v>
      </c>
      <c r="F642" s="11">
        <v>33555.32</v>
      </c>
      <c r="G642" t="s">
        <v>1071</v>
      </c>
      <c r="H642" s="3">
        <v>45991</v>
      </c>
      <c r="I642" t="s">
        <v>1057</v>
      </c>
      <c r="J642" t="s">
        <v>1057</v>
      </c>
      <c r="K642" t="s">
        <v>21</v>
      </c>
      <c r="N642">
        <f t="shared" si="29"/>
        <v>2025</v>
      </c>
      <c r="O642">
        <f t="shared" si="30"/>
        <v>11</v>
      </c>
      <c r="P642" t="str">
        <f t="shared" si="31"/>
        <v>Noviembre</v>
      </c>
    </row>
    <row r="643" spans="3:16" hidden="1" x14ac:dyDescent="0.25">
      <c r="C643" t="s">
        <v>17</v>
      </c>
      <c r="D643">
        <v>53052001</v>
      </c>
      <c r="E643" t="s">
        <v>18</v>
      </c>
      <c r="F643" s="11">
        <v>7729.0079999999998</v>
      </c>
      <c r="G643" t="s">
        <v>1072</v>
      </c>
      <c r="H643" s="3">
        <v>45991</v>
      </c>
      <c r="I643" t="s">
        <v>1073</v>
      </c>
      <c r="J643" t="s">
        <v>1073</v>
      </c>
      <c r="K643" t="s">
        <v>46</v>
      </c>
      <c r="N643">
        <f t="shared" ref="N643:N706" si="32">+YEAR(H643)</f>
        <v>2025</v>
      </c>
      <c r="O643">
        <f t="shared" si="30"/>
        <v>11</v>
      </c>
      <c r="P643" t="str">
        <f t="shared" si="31"/>
        <v>Noviembre</v>
      </c>
    </row>
    <row r="644" spans="3:16" hidden="1" x14ac:dyDescent="0.25">
      <c r="C644" t="s">
        <v>17</v>
      </c>
      <c r="D644">
        <v>53052001</v>
      </c>
      <c r="E644" t="s">
        <v>18</v>
      </c>
      <c r="F644" s="11">
        <v>142191.45499999999</v>
      </c>
      <c r="G644" t="s">
        <v>1074</v>
      </c>
      <c r="H644" s="3">
        <v>45991</v>
      </c>
      <c r="I644" t="s">
        <v>1057</v>
      </c>
      <c r="J644" t="s">
        <v>1057</v>
      </c>
      <c r="K644" t="s">
        <v>60</v>
      </c>
      <c r="N644">
        <f t="shared" si="32"/>
        <v>2025</v>
      </c>
      <c r="O644">
        <f t="shared" si="30"/>
        <v>11</v>
      </c>
      <c r="P644" t="str">
        <f t="shared" si="31"/>
        <v>Noviembre</v>
      </c>
    </row>
    <row r="645" spans="3:16" hidden="1" x14ac:dyDescent="0.25">
      <c r="C645" t="s">
        <v>17</v>
      </c>
      <c r="D645">
        <v>53052001</v>
      </c>
      <c r="E645" t="s">
        <v>18</v>
      </c>
      <c r="F645" s="11">
        <v>61299.003530000002</v>
      </c>
      <c r="G645" t="s">
        <v>1075</v>
      </c>
      <c r="H645" s="3">
        <v>45991</v>
      </c>
      <c r="I645" t="s">
        <v>1057</v>
      </c>
      <c r="J645" t="s">
        <v>1057</v>
      </c>
      <c r="K645" t="s">
        <v>57</v>
      </c>
      <c r="N645">
        <f t="shared" si="32"/>
        <v>2025</v>
      </c>
      <c r="O645">
        <f t="shared" si="30"/>
        <v>11</v>
      </c>
      <c r="P645" t="str">
        <f t="shared" si="31"/>
        <v>Noviembre</v>
      </c>
    </row>
    <row r="646" spans="3:16" hidden="1" x14ac:dyDescent="0.25">
      <c r="C646" t="s">
        <v>17</v>
      </c>
      <c r="D646">
        <v>53052001</v>
      </c>
      <c r="E646" t="s">
        <v>18</v>
      </c>
      <c r="F646" s="11">
        <v>16336.519</v>
      </c>
      <c r="G646" t="s">
        <v>1076</v>
      </c>
      <c r="H646" s="3">
        <v>45991</v>
      </c>
      <c r="I646" t="s">
        <v>1057</v>
      </c>
      <c r="J646" t="s">
        <v>1057</v>
      </c>
      <c r="K646" t="s">
        <v>51</v>
      </c>
      <c r="N646">
        <f t="shared" si="32"/>
        <v>2025</v>
      </c>
      <c r="O646">
        <f t="shared" si="30"/>
        <v>11</v>
      </c>
      <c r="P646" t="str">
        <f t="shared" si="31"/>
        <v>Noviembre</v>
      </c>
    </row>
    <row r="647" spans="3:16" hidden="1" x14ac:dyDescent="0.25">
      <c r="C647" t="s">
        <v>17</v>
      </c>
      <c r="D647">
        <v>53052001</v>
      </c>
      <c r="E647" t="s">
        <v>18</v>
      </c>
      <c r="F647" s="11">
        <v>175346.47500000001</v>
      </c>
      <c r="G647" t="s">
        <v>1077</v>
      </c>
      <c r="H647" s="3">
        <v>45991</v>
      </c>
      <c r="I647" t="s">
        <v>1078</v>
      </c>
      <c r="J647" t="s">
        <v>1078</v>
      </c>
      <c r="K647" t="s">
        <v>37</v>
      </c>
      <c r="N647">
        <f t="shared" si="32"/>
        <v>2025</v>
      </c>
      <c r="O647">
        <f t="shared" si="30"/>
        <v>11</v>
      </c>
      <c r="P647" t="str">
        <f t="shared" si="31"/>
        <v>Noviembre</v>
      </c>
    </row>
    <row r="648" spans="3:16" hidden="1" x14ac:dyDescent="0.25">
      <c r="C648" t="s">
        <v>17</v>
      </c>
      <c r="D648">
        <v>53052001</v>
      </c>
      <c r="E648" t="s">
        <v>18</v>
      </c>
      <c r="F648" s="11">
        <v>79790.428</v>
      </c>
      <c r="G648" t="s">
        <v>1077</v>
      </c>
      <c r="H648" s="3">
        <v>45991</v>
      </c>
      <c r="I648" t="s">
        <v>1079</v>
      </c>
      <c r="J648" t="s">
        <v>1079</v>
      </c>
      <c r="K648" t="s">
        <v>31</v>
      </c>
      <c r="N648">
        <f t="shared" si="32"/>
        <v>2025</v>
      </c>
      <c r="O648">
        <f t="shared" si="30"/>
        <v>11</v>
      </c>
      <c r="P648" t="str">
        <f t="shared" si="31"/>
        <v>Noviembre</v>
      </c>
    </row>
    <row r="649" spans="3:16" hidden="1" x14ac:dyDescent="0.25">
      <c r="C649" t="s">
        <v>17</v>
      </c>
      <c r="D649">
        <v>53052001</v>
      </c>
      <c r="E649" t="s">
        <v>18</v>
      </c>
      <c r="F649" s="11">
        <v>7291.7539999999999</v>
      </c>
      <c r="G649" t="s">
        <v>1077</v>
      </c>
      <c r="H649" s="3">
        <v>45991</v>
      </c>
      <c r="I649" t="s">
        <v>1080</v>
      </c>
      <c r="J649" t="s">
        <v>1080</v>
      </c>
      <c r="K649" t="s">
        <v>41</v>
      </c>
      <c r="N649">
        <f t="shared" si="32"/>
        <v>2025</v>
      </c>
      <c r="O649">
        <f t="shared" si="30"/>
        <v>11</v>
      </c>
      <c r="P649" t="str">
        <f t="shared" si="31"/>
        <v>Noviembre</v>
      </c>
    </row>
    <row r="650" spans="3:16" hidden="1" x14ac:dyDescent="0.25">
      <c r="C650" t="s">
        <v>17</v>
      </c>
      <c r="D650">
        <v>53052001</v>
      </c>
      <c r="E650" t="s">
        <v>18</v>
      </c>
      <c r="F650" s="11">
        <v>115778.97</v>
      </c>
      <c r="G650" t="s">
        <v>1077</v>
      </c>
      <c r="H650" s="3">
        <v>45991</v>
      </c>
      <c r="I650" t="s">
        <v>1081</v>
      </c>
      <c r="J650" t="s">
        <v>1081</v>
      </c>
      <c r="K650" t="s">
        <v>69</v>
      </c>
      <c r="N650">
        <f t="shared" si="32"/>
        <v>2025</v>
      </c>
      <c r="O650">
        <f t="shared" si="30"/>
        <v>11</v>
      </c>
      <c r="P650" t="str">
        <f t="shared" si="31"/>
        <v>Noviembre</v>
      </c>
    </row>
    <row r="651" spans="3:16" hidden="1" x14ac:dyDescent="0.25">
      <c r="C651" t="s">
        <v>17</v>
      </c>
      <c r="D651">
        <v>53052001</v>
      </c>
      <c r="E651" t="s">
        <v>18</v>
      </c>
      <c r="F651" s="11">
        <v>84660.813999999998</v>
      </c>
      <c r="G651" t="s">
        <v>1077</v>
      </c>
      <c r="H651" s="3">
        <v>45991</v>
      </c>
      <c r="I651" t="s">
        <v>1082</v>
      </c>
      <c r="J651" t="s">
        <v>1082</v>
      </c>
      <c r="K651" t="s">
        <v>21</v>
      </c>
      <c r="N651">
        <f t="shared" si="32"/>
        <v>2025</v>
      </c>
      <c r="O651">
        <f t="shared" si="30"/>
        <v>11</v>
      </c>
      <c r="P651" t="str">
        <f t="shared" si="31"/>
        <v>Noviembre</v>
      </c>
    </row>
    <row r="652" spans="3:16" hidden="1" x14ac:dyDescent="0.25">
      <c r="C652" t="s">
        <v>17</v>
      </c>
      <c r="D652">
        <v>53052001</v>
      </c>
      <c r="E652" t="s">
        <v>18</v>
      </c>
      <c r="F652" s="11">
        <v>35913.165000000001</v>
      </c>
      <c r="G652" t="s">
        <v>1083</v>
      </c>
      <c r="H652" s="3">
        <v>45991</v>
      </c>
      <c r="I652" t="s">
        <v>1084</v>
      </c>
      <c r="J652" t="s">
        <v>1084</v>
      </c>
      <c r="K652" t="s">
        <v>27</v>
      </c>
      <c r="N652">
        <f t="shared" si="32"/>
        <v>2025</v>
      </c>
      <c r="O652">
        <f t="shared" si="30"/>
        <v>11</v>
      </c>
      <c r="P652" t="str">
        <f t="shared" si="31"/>
        <v>Noviembre</v>
      </c>
    </row>
    <row r="653" spans="3:16" hidden="1" x14ac:dyDescent="0.25">
      <c r="C653" t="s">
        <v>17</v>
      </c>
      <c r="D653">
        <v>53052001</v>
      </c>
      <c r="E653" t="s">
        <v>18</v>
      </c>
      <c r="F653" s="11">
        <v>4087.06</v>
      </c>
      <c r="G653" t="s">
        <v>1083</v>
      </c>
      <c r="H653" s="3">
        <v>45991</v>
      </c>
      <c r="I653" t="s">
        <v>1085</v>
      </c>
      <c r="J653" t="s">
        <v>1085</v>
      </c>
      <c r="K653" t="s">
        <v>69</v>
      </c>
      <c r="N653">
        <f t="shared" si="32"/>
        <v>2025</v>
      </c>
      <c r="O653">
        <f t="shared" si="30"/>
        <v>11</v>
      </c>
      <c r="P653" t="str">
        <f t="shared" si="31"/>
        <v>Noviembre</v>
      </c>
    </row>
    <row r="654" spans="3:16" hidden="1" x14ac:dyDescent="0.25">
      <c r="C654" t="s">
        <v>17</v>
      </c>
      <c r="D654">
        <v>53052001</v>
      </c>
      <c r="E654" t="s">
        <v>18</v>
      </c>
      <c r="F654" s="11">
        <v>2671.7530000000002</v>
      </c>
      <c r="G654" t="s">
        <v>1086</v>
      </c>
      <c r="H654" s="3">
        <v>45991</v>
      </c>
      <c r="I654" t="s">
        <v>1087</v>
      </c>
      <c r="J654" t="s">
        <v>1087</v>
      </c>
      <c r="K654" t="s">
        <v>194</v>
      </c>
      <c r="N654">
        <f t="shared" si="32"/>
        <v>2025</v>
      </c>
      <c r="O654">
        <f t="shared" si="30"/>
        <v>11</v>
      </c>
      <c r="P654" t="str">
        <f t="shared" si="31"/>
        <v>Noviembre</v>
      </c>
    </row>
    <row r="655" spans="3:16" hidden="1" x14ac:dyDescent="0.25">
      <c r="C655" t="s">
        <v>17</v>
      </c>
      <c r="D655">
        <v>53052001</v>
      </c>
      <c r="E655" t="s">
        <v>18</v>
      </c>
      <c r="F655" s="11">
        <v>2.3929999999999998</v>
      </c>
      <c r="G655" t="s">
        <v>1088</v>
      </c>
      <c r="H655" s="3">
        <v>45991</v>
      </c>
      <c r="I655" t="s">
        <v>1089</v>
      </c>
      <c r="J655" t="s">
        <v>1089</v>
      </c>
      <c r="K655" t="s">
        <v>27</v>
      </c>
      <c r="N655">
        <f t="shared" si="32"/>
        <v>2025</v>
      </c>
      <c r="O655">
        <f t="shared" si="30"/>
        <v>11</v>
      </c>
      <c r="P655" t="str">
        <f t="shared" si="31"/>
        <v>Noviembre</v>
      </c>
    </row>
    <row r="656" spans="3:16" hidden="1" x14ac:dyDescent="0.25">
      <c r="C656" t="s">
        <v>17</v>
      </c>
      <c r="D656">
        <v>53052003</v>
      </c>
      <c r="E656" t="s">
        <v>24</v>
      </c>
      <c r="F656" s="11">
        <v>314903.17300000001</v>
      </c>
      <c r="G656" t="s">
        <v>1090</v>
      </c>
      <c r="H656" s="3">
        <v>45971</v>
      </c>
      <c r="I656" t="s">
        <v>1091</v>
      </c>
      <c r="J656" t="s">
        <v>1091</v>
      </c>
      <c r="K656" t="s">
        <v>27</v>
      </c>
      <c r="N656">
        <f t="shared" si="32"/>
        <v>2025</v>
      </c>
      <c r="O656">
        <f t="shared" si="30"/>
        <v>11</v>
      </c>
      <c r="P656" t="str">
        <f t="shared" si="31"/>
        <v>Noviembre</v>
      </c>
    </row>
    <row r="657" spans="3:16" x14ac:dyDescent="0.25">
      <c r="C657" t="s">
        <v>17</v>
      </c>
      <c r="D657">
        <v>53052004</v>
      </c>
      <c r="E657" t="s">
        <v>276</v>
      </c>
      <c r="F657" s="11">
        <v>4659.6558700000005</v>
      </c>
      <c r="G657" t="s">
        <v>1092</v>
      </c>
      <c r="H657" s="3">
        <v>45991</v>
      </c>
      <c r="I657" t="s">
        <v>1093</v>
      </c>
      <c r="J657" t="s">
        <v>1093</v>
      </c>
      <c r="K657" t="s">
        <v>21</v>
      </c>
      <c r="N657">
        <f t="shared" si="32"/>
        <v>2025</v>
      </c>
      <c r="O657">
        <f t="shared" si="30"/>
        <v>11</v>
      </c>
      <c r="P657" t="str">
        <f t="shared" si="31"/>
        <v>Noviembre</v>
      </c>
    </row>
    <row r="658" spans="3:16" x14ac:dyDescent="0.25">
      <c r="C658" t="s">
        <v>17</v>
      </c>
      <c r="D658">
        <v>53052004</v>
      </c>
      <c r="E658" t="s">
        <v>276</v>
      </c>
      <c r="F658" s="11">
        <v>3223.05744</v>
      </c>
      <c r="G658" t="s">
        <v>1094</v>
      </c>
      <c r="H658" s="3">
        <v>45991</v>
      </c>
      <c r="I658" t="s">
        <v>1095</v>
      </c>
      <c r="J658" t="s">
        <v>1095</v>
      </c>
      <c r="K658" t="s">
        <v>21</v>
      </c>
      <c r="N658">
        <f t="shared" si="32"/>
        <v>2025</v>
      </c>
      <c r="O658">
        <f t="shared" si="30"/>
        <v>11</v>
      </c>
      <c r="P658" t="str">
        <f t="shared" si="31"/>
        <v>Noviembre</v>
      </c>
    </row>
    <row r="659" spans="3:16" x14ac:dyDescent="0.25">
      <c r="C659" t="s">
        <v>17</v>
      </c>
      <c r="D659">
        <v>53052004</v>
      </c>
      <c r="E659" t="s">
        <v>276</v>
      </c>
      <c r="F659" s="11">
        <v>12604.56308</v>
      </c>
      <c r="G659" t="s">
        <v>1096</v>
      </c>
      <c r="H659" s="3">
        <v>45991</v>
      </c>
      <c r="I659" t="s">
        <v>1097</v>
      </c>
      <c r="J659" t="s">
        <v>1097</v>
      </c>
      <c r="K659" t="s">
        <v>27</v>
      </c>
      <c r="N659">
        <f t="shared" si="32"/>
        <v>2025</v>
      </c>
      <c r="O659">
        <f t="shared" si="30"/>
        <v>11</v>
      </c>
      <c r="P659" t="str">
        <f t="shared" si="31"/>
        <v>Noviembre</v>
      </c>
    </row>
    <row r="660" spans="3:16" x14ac:dyDescent="0.25">
      <c r="C660" t="s">
        <v>17</v>
      </c>
      <c r="D660">
        <v>53052004</v>
      </c>
      <c r="E660" t="s">
        <v>276</v>
      </c>
      <c r="F660" s="11">
        <v>13362.496999999999</v>
      </c>
      <c r="G660" t="s">
        <v>1098</v>
      </c>
      <c r="H660" s="3">
        <v>45991</v>
      </c>
      <c r="I660" t="s">
        <v>1099</v>
      </c>
      <c r="J660" t="s">
        <v>1099</v>
      </c>
      <c r="K660" t="s">
        <v>35</v>
      </c>
      <c r="N660">
        <f t="shared" si="32"/>
        <v>2025</v>
      </c>
      <c r="O660">
        <f t="shared" si="30"/>
        <v>11</v>
      </c>
      <c r="P660" t="str">
        <f t="shared" si="31"/>
        <v>Noviembre</v>
      </c>
    </row>
    <row r="661" spans="3:16" x14ac:dyDescent="0.25">
      <c r="C661" t="s">
        <v>17</v>
      </c>
      <c r="D661">
        <v>53052004</v>
      </c>
      <c r="E661" t="s">
        <v>276</v>
      </c>
      <c r="F661" s="11">
        <v>5064.5590000000002</v>
      </c>
      <c r="G661" t="s">
        <v>1100</v>
      </c>
      <c r="H661" s="3">
        <v>45991</v>
      </c>
      <c r="I661" t="s">
        <v>1101</v>
      </c>
      <c r="J661" t="s">
        <v>1101</v>
      </c>
      <c r="K661" t="s">
        <v>35</v>
      </c>
      <c r="N661">
        <f t="shared" si="32"/>
        <v>2025</v>
      </c>
      <c r="O661">
        <f t="shared" si="30"/>
        <v>11</v>
      </c>
      <c r="P661" t="str">
        <f t="shared" si="31"/>
        <v>Noviembre</v>
      </c>
    </row>
    <row r="662" spans="3:16" x14ac:dyDescent="0.25">
      <c r="C662" t="s">
        <v>17</v>
      </c>
      <c r="D662">
        <v>53052004</v>
      </c>
      <c r="E662" t="s">
        <v>276</v>
      </c>
      <c r="F662" s="11">
        <v>8282.3829999999998</v>
      </c>
      <c r="G662" t="s">
        <v>1102</v>
      </c>
      <c r="H662" s="3">
        <v>45991</v>
      </c>
      <c r="I662" t="s">
        <v>1103</v>
      </c>
      <c r="J662" t="s">
        <v>1103</v>
      </c>
      <c r="K662" t="s">
        <v>35</v>
      </c>
      <c r="N662">
        <f t="shared" si="32"/>
        <v>2025</v>
      </c>
      <c r="O662">
        <f t="shared" si="30"/>
        <v>11</v>
      </c>
      <c r="P662" t="str">
        <f t="shared" si="31"/>
        <v>Noviembre</v>
      </c>
    </row>
    <row r="663" spans="3:16" x14ac:dyDescent="0.25">
      <c r="C663" t="s">
        <v>17</v>
      </c>
      <c r="D663">
        <v>53052004</v>
      </c>
      <c r="E663" t="s">
        <v>276</v>
      </c>
      <c r="F663" s="11">
        <v>12604.56308</v>
      </c>
      <c r="G663" t="s">
        <v>1104</v>
      </c>
      <c r="H663" s="3">
        <v>45991</v>
      </c>
      <c r="I663" t="s">
        <v>1105</v>
      </c>
      <c r="J663" t="s">
        <v>1105</v>
      </c>
      <c r="K663" t="s">
        <v>27</v>
      </c>
      <c r="N663">
        <f t="shared" si="32"/>
        <v>2025</v>
      </c>
      <c r="O663">
        <f t="shared" si="30"/>
        <v>11</v>
      </c>
      <c r="P663" t="str">
        <f t="shared" si="31"/>
        <v>Noviembre</v>
      </c>
    </row>
    <row r="664" spans="3:16" x14ac:dyDescent="0.25">
      <c r="C664" t="s">
        <v>17</v>
      </c>
      <c r="D664">
        <v>53052004</v>
      </c>
      <c r="E664" t="s">
        <v>276</v>
      </c>
      <c r="F664" s="11">
        <v>525.59400000000005</v>
      </c>
      <c r="G664" t="s">
        <v>1106</v>
      </c>
      <c r="H664" s="3">
        <v>45991</v>
      </c>
      <c r="I664" t="s">
        <v>1107</v>
      </c>
      <c r="J664" t="s">
        <v>1107</v>
      </c>
      <c r="K664" t="s">
        <v>35</v>
      </c>
      <c r="N664">
        <f t="shared" si="32"/>
        <v>2025</v>
      </c>
      <c r="O664">
        <f t="shared" si="30"/>
        <v>11</v>
      </c>
      <c r="P664" t="str">
        <f t="shared" si="31"/>
        <v>Noviembre</v>
      </c>
    </row>
    <row r="665" spans="3:16" s="28" customFormat="1" ht="5.25" hidden="1" customHeight="1" x14ac:dyDescent="0.25">
      <c r="F665" s="29"/>
      <c r="N665"/>
    </row>
    <row r="666" spans="3:16" hidden="1" x14ac:dyDescent="0.25">
      <c r="C666" t="s">
        <v>17</v>
      </c>
      <c r="D666">
        <v>53052001</v>
      </c>
      <c r="E666" t="s">
        <v>18</v>
      </c>
      <c r="F666" s="11">
        <v>35913.165000000001</v>
      </c>
      <c r="G666" t="s">
        <v>1108</v>
      </c>
      <c r="H666" s="3">
        <v>45992</v>
      </c>
      <c r="I666" t="s">
        <v>1109</v>
      </c>
      <c r="J666" t="s">
        <v>1109</v>
      </c>
      <c r="K666" t="s">
        <v>27</v>
      </c>
      <c r="N666">
        <f t="shared" si="32"/>
        <v>2025</v>
      </c>
      <c r="O666">
        <f t="shared" ref="O666:O713" si="33">+MONTH(H666)</f>
        <v>12</v>
      </c>
      <c r="P666" t="str">
        <f t="shared" ref="P666:P713" si="34">+VLOOKUP(O666,X:Y,2,0)</f>
        <v>Diciembre</v>
      </c>
    </row>
    <row r="667" spans="3:16" hidden="1" x14ac:dyDescent="0.25">
      <c r="C667" t="s">
        <v>17</v>
      </c>
      <c r="D667">
        <v>53052001</v>
      </c>
      <c r="E667" t="s">
        <v>18</v>
      </c>
      <c r="F667" s="11">
        <v>1675.5920000000001</v>
      </c>
      <c r="G667" t="s">
        <v>1110</v>
      </c>
      <c r="H667" s="3">
        <v>45992</v>
      </c>
      <c r="I667" t="s">
        <v>1111</v>
      </c>
      <c r="J667" t="s">
        <v>1111</v>
      </c>
      <c r="K667" t="s">
        <v>69</v>
      </c>
      <c r="N667">
        <f t="shared" si="32"/>
        <v>2025</v>
      </c>
      <c r="O667">
        <f t="shared" si="33"/>
        <v>12</v>
      </c>
      <c r="P667" t="str">
        <f t="shared" si="34"/>
        <v>Diciembre</v>
      </c>
    </row>
    <row r="668" spans="3:16" hidden="1" x14ac:dyDescent="0.25">
      <c r="C668" t="s">
        <v>17</v>
      </c>
      <c r="D668">
        <v>53052001</v>
      </c>
      <c r="E668" t="s">
        <v>18</v>
      </c>
      <c r="F668" s="11">
        <v>323464.68300000002</v>
      </c>
      <c r="G668" t="s">
        <v>1112</v>
      </c>
      <c r="H668" s="3">
        <v>45993</v>
      </c>
      <c r="I668" t="s">
        <v>1113</v>
      </c>
      <c r="J668" t="s">
        <v>1113</v>
      </c>
      <c r="K668" t="s">
        <v>69</v>
      </c>
      <c r="N668">
        <f t="shared" si="32"/>
        <v>2025</v>
      </c>
      <c r="O668">
        <f t="shared" si="33"/>
        <v>12</v>
      </c>
      <c r="P668" t="str">
        <f t="shared" si="34"/>
        <v>Diciembre</v>
      </c>
    </row>
    <row r="669" spans="3:16" hidden="1" x14ac:dyDescent="0.25">
      <c r="C669" t="s">
        <v>17</v>
      </c>
      <c r="D669">
        <v>53052001</v>
      </c>
      <c r="E669" t="s">
        <v>18</v>
      </c>
      <c r="F669" s="11">
        <v>2379.1689999999999</v>
      </c>
      <c r="G669" t="s">
        <v>1114</v>
      </c>
      <c r="H669" s="3">
        <v>45995</v>
      </c>
      <c r="I669" t="s">
        <v>1115</v>
      </c>
      <c r="J669" t="s">
        <v>1115</v>
      </c>
      <c r="K669" t="s">
        <v>27</v>
      </c>
      <c r="N669">
        <f t="shared" si="32"/>
        <v>2025</v>
      </c>
      <c r="O669">
        <f t="shared" si="33"/>
        <v>12</v>
      </c>
      <c r="P669" t="str">
        <f t="shared" si="34"/>
        <v>Diciembre</v>
      </c>
    </row>
    <row r="670" spans="3:16" hidden="1" x14ac:dyDescent="0.25">
      <c r="C670" t="s">
        <v>17</v>
      </c>
      <c r="D670">
        <v>53052001</v>
      </c>
      <c r="E670" t="s">
        <v>18</v>
      </c>
      <c r="F670" s="11">
        <v>38770</v>
      </c>
      <c r="G670" t="s">
        <v>1116</v>
      </c>
      <c r="H670" s="3">
        <v>46000</v>
      </c>
      <c r="I670" t="s">
        <v>1117</v>
      </c>
      <c r="J670" t="s">
        <v>1117</v>
      </c>
      <c r="K670" t="s">
        <v>31</v>
      </c>
      <c r="N670">
        <f t="shared" si="32"/>
        <v>2025</v>
      </c>
      <c r="O670">
        <f t="shared" si="33"/>
        <v>12</v>
      </c>
      <c r="P670" t="str">
        <f t="shared" si="34"/>
        <v>Diciembre</v>
      </c>
    </row>
    <row r="671" spans="3:16" hidden="1" x14ac:dyDescent="0.25">
      <c r="C671" t="s">
        <v>17</v>
      </c>
      <c r="D671">
        <v>53052001</v>
      </c>
      <c r="E671" t="s">
        <v>18</v>
      </c>
      <c r="F671" s="11">
        <v>1122.877</v>
      </c>
      <c r="G671" t="s">
        <v>1118</v>
      </c>
      <c r="H671" s="3">
        <v>46000</v>
      </c>
      <c r="I671" t="s">
        <v>1119</v>
      </c>
      <c r="J671" t="s">
        <v>1119</v>
      </c>
      <c r="K671" t="s">
        <v>27</v>
      </c>
      <c r="N671">
        <f t="shared" si="32"/>
        <v>2025</v>
      </c>
      <c r="O671">
        <f t="shared" si="33"/>
        <v>12</v>
      </c>
      <c r="P671" t="str">
        <f t="shared" si="34"/>
        <v>Diciembre</v>
      </c>
    </row>
    <row r="672" spans="3:16" hidden="1" x14ac:dyDescent="0.25">
      <c r="C672" t="s">
        <v>17</v>
      </c>
      <c r="D672">
        <v>53052001</v>
      </c>
      <c r="E672" t="s">
        <v>18</v>
      </c>
      <c r="F672" s="11">
        <v>1239.52</v>
      </c>
      <c r="G672" t="s">
        <v>1120</v>
      </c>
      <c r="H672" s="3">
        <v>46001</v>
      </c>
      <c r="I672" t="s">
        <v>1121</v>
      </c>
      <c r="J672" t="s">
        <v>1121</v>
      </c>
      <c r="K672" t="s">
        <v>27</v>
      </c>
      <c r="N672">
        <f t="shared" si="32"/>
        <v>2025</v>
      </c>
      <c r="O672">
        <f t="shared" si="33"/>
        <v>12</v>
      </c>
      <c r="P672" t="str">
        <f t="shared" si="34"/>
        <v>Diciembre</v>
      </c>
    </row>
    <row r="673" spans="3:16" hidden="1" x14ac:dyDescent="0.25">
      <c r="C673" t="s">
        <v>17</v>
      </c>
      <c r="D673">
        <v>53052001</v>
      </c>
      <c r="E673" t="s">
        <v>18</v>
      </c>
      <c r="F673" s="11">
        <v>2347.069</v>
      </c>
      <c r="G673" t="s">
        <v>1122</v>
      </c>
      <c r="H673" s="3">
        <v>46007</v>
      </c>
      <c r="I673" t="s">
        <v>1123</v>
      </c>
      <c r="J673" t="s">
        <v>1123</v>
      </c>
      <c r="K673" t="s">
        <v>27</v>
      </c>
      <c r="N673">
        <f t="shared" si="32"/>
        <v>2025</v>
      </c>
      <c r="O673">
        <f t="shared" si="33"/>
        <v>12</v>
      </c>
      <c r="P673" t="str">
        <f t="shared" si="34"/>
        <v>Diciembre</v>
      </c>
    </row>
    <row r="674" spans="3:16" hidden="1" x14ac:dyDescent="0.25">
      <c r="C674" t="s">
        <v>17</v>
      </c>
      <c r="D674">
        <v>53052001</v>
      </c>
      <c r="E674" t="s">
        <v>18</v>
      </c>
      <c r="F674" s="11">
        <v>12856.717000000001</v>
      </c>
      <c r="G674" t="s">
        <v>1124</v>
      </c>
      <c r="H674" s="3">
        <v>46007</v>
      </c>
      <c r="I674" t="s">
        <v>1125</v>
      </c>
      <c r="J674" t="s">
        <v>1125</v>
      </c>
      <c r="K674" t="s">
        <v>31</v>
      </c>
      <c r="N674">
        <f t="shared" si="32"/>
        <v>2025</v>
      </c>
      <c r="O674">
        <f t="shared" si="33"/>
        <v>12</v>
      </c>
      <c r="P674" t="str">
        <f t="shared" si="34"/>
        <v>Diciembre</v>
      </c>
    </row>
    <row r="675" spans="3:16" hidden="1" x14ac:dyDescent="0.25">
      <c r="C675" t="s">
        <v>17</v>
      </c>
      <c r="D675">
        <v>53052001</v>
      </c>
      <c r="E675" t="s">
        <v>18</v>
      </c>
      <c r="F675" s="11">
        <v>1134.8945000000001</v>
      </c>
      <c r="G675" t="s">
        <v>1126</v>
      </c>
      <c r="H675" s="3">
        <v>46008</v>
      </c>
      <c r="I675" t="s">
        <v>1127</v>
      </c>
      <c r="J675" t="s">
        <v>1127</v>
      </c>
      <c r="K675" t="s">
        <v>60</v>
      </c>
      <c r="N675">
        <f t="shared" si="32"/>
        <v>2025</v>
      </c>
      <c r="O675">
        <f t="shared" si="33"/>
        <v>12</v>
      </c>
      <c r="P675" t="str">
        <f t="shared" si="34"/>
        <v>Diciembre</v>
      </c>
    </row>
    <row r="676" spans="3:16" hidden="1" x14ac:dyDescent="0.25">
      <c r="C676" t="s">
        <v>17</v>
      </c>
      <c r="D676">
        <v>53052001</v>
      </c>
      <c r="E676" t="s">
        <v>18</v>
      </c>
      <c r="F676" s="11">
        <v>7729.0079999999998</v>
      </c>
      <c r="G676" t="s">
        <v>1128</v>
      </c>
      <c r="H676" s="3">
        <v>46010</v>
      </c>
      <c r="I676" t="s">
        <v>1129</v>
      </c>
      <c r="J676" t="s">
        <v>1129</v>
      </c>
      <c r="K676" t="s">
        <v>46</v>
      </c>
      <c r="N676">
        <f t="shared" si="32"/>
        <v>2025</v>
      </c>
      <c r="O676">
        <f t="shared" si="33"/>
        <v>12</v>
      </c>
      <c r="P676" t="str">
        <f t="shared" si="34"/>
        <v>Diciembre</v>
      </c>
    </row>
    <row r="677" spans="3:16" hidden="1" x14ac:dyDescent="0.25">
      <c r="C677" t="s">
        <v>17</v>
      </c>
      <c r="D677">
        <v>53052001</v>
      </c>
      <c r="E677" t="s">
        <v>18</v>
      </c>
      <c r="F677" s="11">
        <v>33555.32</v>
      </c>
      <c r="G677" t="s">
        <v>1130</v>
      </c>
      <c r="H677" s="3">
        <v>46010</v>
      </c>
      <c r="I677" t="s">
        <v>1131</v>
      </c>
      <c r="J677" t="s">
        <v>1131</v>
      </c>
      <c r="K677" t="s">
        <v>21</v>
      </c>
      <c r="N677">
        <f t="shared" si="32"/>
        <v>2025</v>
      </c>
      <c r="O677">
        <f t="shared" si="33"/>
        <v>12</v>
      </c>
      <c r="P677" t="str">
        <f t="shared" si="34"/>
        <v>Diciembre</v>
      </c>
    </row>
    <row r="678" spans="3:16" hidden="1" x14ac:dyDescent="0.25">
      <c r="C678" t="s">
        <v>17</v>
      </c>
      <c r="D678">
        <v>53052001</v>
      </c>
      <c r="E678" t="s">
        <v>18</v>
      </c>
      <c r="F678" s="11">
        <v>127002.08199999999</v>
      </c>
      <c r="G678" t="s">
        <v>1132</v>
      </c>
      <c r="H678" s="3">
        <v>46017</v>
      </c>
      <c r="I678" t="s">
        <v>1133</v>
      </c>
      <c r="J678" t="s">
        <v>1133</v>
      </c>
      <c r="K678" t="s">
        <v>27</v>
      </c>
      <c r="N678">
        <f t="shared" si="32"/>
        <v>2025</v>
      </c>
      <c r="O678">
        <f t="shared" si="33"/>
        <v>12</v>
      </c>
      <c r="P678" t="str">
        <f t="shared" si="34"/>
        <v>Diciembre</v>
      </c>
    </row>
    <row r="679" spans="3:16" hidden="1" x14ac:dyDescent="0.25">
      <c r="C679" t="s">
        <v>17</v>
      </c>
      <c r="D679">
        <v>53052001</v>
      </c>
      <c r="E679" t="s">
        <v>18</v>
      </c>
      <c r="F679" s="11">
        <v>5437.0161799999996</v>
      </c>
      <c r="G679" t="s">
        <v>1134</v>
      </c>
      <c r="H679" s="3">
        <v>46017</v>
      </c>
      <c r="I679" t="s">
        <v>1135</v>
      </c>
      <c r="J679" t="s">
        <v>1135</v>
      </c>
      <c r="K679" t="s">
        <v>41</v>
      </c>
      <c r="N679">
        <f t="shared" si="32"/>
        <v>2025</v>
      </c>
      <c r="O679">
        <f t="shared" si="33"/>
        <v>12</v>
      </c>
      <c r="P679" t="str">
        <f t="shared" si="34"/>
        <v>Diciembre</v>
      </c>
    </row>
    <row r="680" spans="3:16" hidden="1" x14ac:dyDescent="0.25">
      <c r="C680" t="s">
        <v>17</v>
      </c>
      <c r="D680">
        <v>53052001</v>
      </c>
      <c r="E680" t="s">
        <v>18</v>
      </c>
      <c r="F680" s="11">
        <v>1896.528</v>
      </c>
      <c r="G680" t="s">
        <v>1136</v>
      </c>
      <c r="H680" s="3">
        <v>46020</v>
      </c>
      <c r="I680" t="s">
        <v>1137</v>
      </c>
      <c r="J680" t="s">
        <v>1137</v>
      </c>
      <c r="K680" t="s">
        <v>41</v>
      </c>
      <c r="N680">
        <f t="shared" si="32"/>
        <v>2025</v>
      </c>
      <c r="O680">
        <f t="shared" si="33"/>
        <v>12</v>
      </c>
      <c r="P680" t="str">
        <f t="shared" si="34"/>
        <v>Diciembre</v>
      </c>
    </row>
    <row r="681" spans="3:16" hidden="1" x14ac:dyDescent="0.25">
      <c r="C681" t="s">
        <v>17</v>
      </c>
      <c r="D681">
        <v>53052001</v>
      </c>
      <c r="E681" t="s">
        <v>18</v>
      </c>
      <c r="F681" s="11">
        <v>1771</v>
      </c>
      <c r="G681" t="s">
        <v>1138</v>
      </c>
      <c r="H681" s="3">
        <v>46020</v>
      </c>
      <c r="I681" t="s">
        <v>1139</v>
      </c>
      <c r="J681" t="s">
        <v>1139</v>
      </c>
      <c r="K681" t="s">
        <v>41</v>
      </c>
      <c r="N681">
        <f t="shared" si="32"/>
        <v>2025</v>
      </c>
      <c r="O681">
        <f t="shared" si="33"/>
        <v>12</v>
      </c>
      <c r="P681" t="str">
        <f t="shared" si="34"/>
        <v>Diciembre</v>
      </c>
    </row>
    <row r="682" spans="3:16" hidden="1" x14ac:dyDescent="0.25">
      <c r="C682" t="s">
        <v>17</v>
      </c>
      <c r="D682">
        <v>53052001</v>
      </c>
      <c r="E682" t="s">
        <v>18</v>
      </c>
      <c r="F682" s="11">
        <v>10346.307000000001</v>
      </c>
      <c r="G682" t="s">
        <v>1140</v>
      </c>
      <c r="H682" s="3">
        <v>46020</v>
      </c>
      <c r="I682" t="s">
        <v>1141</v>
      </c>
      <c r="J682" t="s">
        <v>1141</v>
      </c>
      <c r="K682" t="s">
        <v>21</v>
      </c>
      <c r="N682">
        <f t="shared" si="32"/>
        <v>2025</v>
      </c>
      <c r="O682">
        <f t="shared" si="33"/>
        <v>12</v>
      </c>
      <c r="P682" t="str">
        <f t="shared" si="34"/>
        <v>Diciembre</v>
      </c>
    </row>
    <row r="683" spans="3:16" hidden="1" x14ac:dyDescent="0.25">
      <c r="C683" t="s">
        <v>17</v>
      </c>
      <c r="D683">
        <v>53052001</v>
      </c>
      <c r="E683" t="s">
        <v>18</v>
      </c>
      <c r="F683" s="11">
        <v>34746</v>
      </c>
      <c r="G683" t="s">
        <v>1142</v>
      </c>
      <c r="H683" s="3">
        <v>46021</v>
      </c>
      <c r="I683" t="s">
        <v>1143</v>
      </c>
      <c r="J683" t="s">
        <v>1143</v>
      </c>
      <c r="K683" t="s">
        <v>27</v>
      </c>
      <c r="N683">
        <f t="shared" si="32"/>
        <v>2025</v>
      </c>
      <c r="O683">
        <f t="shared" si="33"/>
        <v>12</v>
      </c>
      <c r="P683" t="str">
        <f t="shared" si="34"/>
        <v>Diciembre</v>
      </c>
    </row>
    <row r="684" spans="3:16" hidden="1" x14ac:dyDescent="0.25">
      <c r="C684" t="s">
        <v>17</v>
      </c>
      <c r="D684">
        <v>53052001</v>
      </c>
      <c r="E684" t="s">
        <v>18</v>
      </c>
      <c r="F684" s="11">
        <v>12440.960999999999</v>
      </c>
      <c r="G684" t="s">
        <v>1144</v>
      </c>
      <c r="H684" s="3">
        <v>46022</v>
      </c>
      <c r="I684" t="s">
        <v>1145</v>
      </c>
      <c r="J684" t="s">
        <v>1145</v>
      </c>
      <c r="K684" t="s">
        <v>27</v>
      </c>
      <c r="N684">
        <f t="shared" si="32"/>
        <v>2025</v>
      </c>
      <c r="O684">
        <f t="shared" si="33"/>
        <v>12</v>
      </c>
      <c r="P684" t="str">
        <f t="shared" si="34"/>
        <v>Diciembre</v>
      </c>
    </row>
    <row r="685" spans="3:16" hidden="1" x14ac:dyDescent="0.25">
      <c r="C685" t="s">
        <v>17</v>
      </c>
      <c r="D685">
        <v>53052001</v>
      </c>
      <c r="E685" t="s">
        <v>18</v>
      </c>
      <c r="F685" s="11">
        <v>17279.176329999998</v>
      </c>
      <c r="G685" t="s">
        <v>1144</v>
      </c>
      <c r="H685" s="3">
        <v>46022</v>
      </c>
      <c r="I685" t="s">
        <v>1145</v>
      </c>
      <c r="J685" t="s">
        <v>1145</v>
      </c>
      <c r="K685" t="s">
        <v>69</v>
      </c>
      <c r="N685">
        <f t="shared" si="32"/>
        <v>2025</v>
      </c>
      <c r="O685">
        <f t="shared" si="33"/>
        <v>12</v>
      </c>
      <c r="P685" t="str">
        <f t="shared" si="34"/>
        <v>Diciembre</v>
      </c>
    </row>
    <row r="686" spans="3:16" hidden="1" x14ac:dyDescent="0.25">
      <c r="C686" t="s">
        <v>17</v>
      </c>
      <c r="D686">
        <v>53052001</v>
      </c>
      <c r="E686" t="s">
        <v>18</v>
      </c>
      <c r="F686" s="11">
        <v>7459.2</v>
      </c>
      <c r="G686" t="s">
        <v>1144</v>
      </c>
      <c r="H686" s="3">
        <v>46022</v>
      </c>
      <c r="I686" t="s">
        <v>1145</v>
      </c>
      <c r="J686" t="s">
        <v>1145</v>
      </c>
      <c r="K686" t="s">
        <v>21</v>
      </c>
      <c r="N686">
        <f t="shared" si="32"/>
        <v>2025</v>
      </c>
      <c r="O686">
        <f t="shared" si="33"/>
        <v>12</v>
      </c>
      <c r="P686" t="str">
        <f t="shared" si="34"/>
        <v>Diciembre</v>
      </c>
    </row>
    <row r="687" spans="3:16" hidden="1" x14ac:dyDescent="0.25">
      <c r="C687" t="s">
        <v>17</v>
      </c>
      <c r="D687">
        <v>53052001</v>
      </c>
      <c r="E687" t="s">
        <v>18</v>
      </c>
      <c r="F687" s="11">
        <v>358416.66667000001</v>
      </c>
      <c r="G687" t="s">
        <v>1146</v>
      </c>
      <c r="H687" s="3">
        <v>46022</v>
      </c>
      <c r="I687" t="s">
        <v>1147</v>
      </c>
      <c r="J687" t="s">
        <v>1147</v>
      </c>
      <c r="K687" t="s">
        <v>37</v>
      </c>
      <c r="N687">
        <f t="shared" si="32"/>
        <v>2025</v>
      </c>
      <c r="O687">
        <f t="shared" si="33"/>
        <v>12</v>
      </c>
      <c r="P687" t="str">
        <f t="shared" si="34"/>
        <v>Diciembre</v>
      </c>
    </row>
    <row r="688" spans="3:16" hidden="1" x14ac:dyDescent="0.25">
      <c r="C688" t="s">
        <v>17</v>
      </c>
      <c r="D688">
        <v>53052001</v>
      </c>
      <c r="E688" t="s">
        <v>18</v>
      </c>
      <c r="F688" s="11">
        <v>3322.212</v>
      </c>
      <c r="G688" t="s">
        <v>1148</v>
      </c>
      <c r="H688" s="3">
        <v>46022</v>
      </c>
      <c r="I688" t="s">
        <v>1149</v>
      </c>
      <c r="J688" t="s">
        <v>1149</v>
      </c>
      <c r="K688" t="s">
        <v>35</v>
      </c>
      <c r="N688">
        <f t="shared" si="32"/>
        <v>2025</v>
      </c>
      <c r="O688">
        <f t="shared" si="33"/>
        <v>12</v>
      </c>
      <c r="P688" t="str">
        <f t="shared" si="34"/>
        <v>Diciembre</v>
      </c>
    </row>
    <row r="689" spans="3:16" hidden="1" x14ac:dyDescent="0.25">
      <c r="C689" t="s">
        <v>17</v>
      </c>
      <c r="D689">
        <v>53052001</v>
      </c>
      <c r="E689" t="s">
        <v>18</v>
      </c>
      <c r="F689" s="11">
        <v>8401.768</v>
      </c>
      <c r="G689" t="s">
        <v>1150</v>
      </c>
      <c r="H689" s="3">
        <v>46022</v>
      </c>
      <c r="I689" t="s">
        <v>1131</v>
      </c>
      <c r="J689" t="s">
        <v>1131</v>
      </c>
      <c r="K689" t="s">
        <v>69</v>
      </c>
      <c r="N689">
        <f t="shared" si="32"/>
        <v>2025</v>
      </c>
      <c r="O689">
        <f t="shared" si="33"/>
        <v>12</v>
      </c>
      <c r="P689" t="str">
        <f t="shared" si="34"/>
        <v>Diciembre</v>
      </c>
    </row>
    <row r="690" spans="3:16" hidden="1" x14ac:dyDescent="0.25">
      <c r="C690" t="s">
        <v>17</v>
      </c>
      <c r="D690">
        <v>53052001</v>
      </c>
      <c r="E690" t="s">
        <v>18</v>
      </c>
      <c r="F690" s="11">
        <v>7514.8324000000002</v>
      </c>
      <c r="G690" t="s">
        <v>1151</v>
      </c>
      <c r="H690" s="3">
        <v>46022</v>
      </c>
      <c r="I690" t="s">
        <v>1152</v>
      </c>
      <c r="J690" t="s">
        <v>1152</v>
      </c>
      <c r="K690" t="s">
        <v>206</v>
      </c>
      <c r="N690">
        <f t="shared" si="32"/>
        <v>2025</v>
      </c>
      <c r="O690">
        <f t="shared" si="33"/>
        <v>12</v>
      </c>
      <c r="P690" t="str">
        <f t="shared" si="34"/>
        <v>Diciembre</v>
      </c>
    </row>
    <row r="691" spans="3:16" hidden="1" x14ac:dyDescent="0.25">
      <c r="C691" t="s">
        <v>17</v>
      </c>
      <c r="D691">
        <v>53052001</v>
      </c>
      <c r="E691" t="s">
        <v>18</v>
      </c>
      <c r="F691" s="11">
        <v>61299.003320000003</v>
      </c>
      <c r="G691" t="s">
        <v>1153</v>
      </c>
      <c r="H691" s="3">
        <v>46022</v>
      </c>
      <c r="I691" t="s">
        <v>1131</v>
      </c>
      <c r="J691" t="s">
        <v>1131</v>
      </c>
      <c r="K691" t="s">
        <v>57</v>
      </c>
      <c r="N691">
        <f t="shared" si="32"/>
        <v>2025</v>
      </c>
      <c r="O691">
        <f t="shared" si="33"/>
        <v>12</v>
      </c>
      <c r="P691" t="str">
        <f t="shared" si="34"/>
        <v>Diciembre</v>
      </c>
    </row>
    <row r="692" spans="3:16" hidden="1" x14ac:dyDescent="0.25">
      <c r="C692" t="s">
        <v>17</v>
      </c>
      <c r="D692">
        <v>53052001</v>
      </c>
      <c r="E692" t="s">
        <v>18</v>
      </c>
      <c r="F692" s="11">
        <v>16336.519</v>
      </c>
      <c r="G692" t="s">
        <v>1154</v>
      </c>
      <c r="H692" s="3">
        <v>46022</v>
      </c>
      <c r="I692" t="s">
        <v>1155</v>
      </c>
      <c r="J692" t="s">
        <v>1155</v>
      </c>
      <c r="K692" t="s">
        <v>51</v>
      </c>
      <c r="N692">
        <f t="shared" si="32"/>
        <v>2025</v>
      </c>
      <c r="O692">
        <f t="shared" si="33"/>
        <v>12</v>
      </c>
      <c r="P692" t="str">
        <f t="shared" si="34"/>
        <v>Diciembre</v>
      </c>
    </row>
    <row r="693" spans="3:16" hidden="1" x14ac:dyDescent="0.25">
      <c r="C693" t="s">
        <v>17</v>
      </c>
      <c r="D693">
        <v>53052001</v>
      </c>
      <c r="E693" t="s">
        <v>18</v>
      </c>
      <c r="F693" s="11">
        <v>-342960.90500000003</v>
      </c>
      <c r="G693" t="s">
        <v>1156</v>
      </c>
      <c r="H693" s="3">
        <v>46022</v>
      </c>
      <c r="I693" t="s">
        <v>1157</v>
      </c>
      <c r="J693" t="s">
        <v>1157</v>
      </c>
      <c r="K693" t="s">
        <v>69</v>
      </c>
      <c r="N693">
        <f t="shared" si="32"/>
        <v>2025</v>
      </c>
      <c r="O693">
        <f t="shared" si="33"/>
        <v>12</v>
      </c>
      <c r="P693" t="str">
        <f t="shared" si="34"/>
        <v>Diciembre</v>
      </c>
    </row>
    <row r="694" spans="3:16" hidden="1" x14ac:dyDescent="0.25">
      <c r="C694" t="s">
        <v>17</v>
      </c>
      <c r="D694">
        <v>53052001</v>
      </c>
      <c r="E694" t="s">
        <v>18</v>
      </c>
      <c r="F694" s="11">
        <v>-358416.66700000002</v>
      </c>
      <c r="G694" t="s">
        <v>1156</v>
      </c>
      <c r="H694" s="3">
        <v>46022</v>
      </c>
      <c r="I694" t="s">
        <v>1158</v>
      </c>
      <c r="J694" t="s">
        <v>1158</v>
      </c>
      <c r="K694" t="s">
        <v>37</v>
      </c>
      <c r="N694">
        <f t="shared" si="32"/>
        <v>2025</v>
      </c>
      <c r="O694">
        <f t="shared" si="33"/>
        <v>12</v>
      </c>
      <c r="P694" t="str">
        <f t="shared" si="34"/>
        <v>Diciembre</v>
      </c>
    </row>
    <row r="695" spans="3:16" hidden="1" x14ac:dyDescent="0.25">
      <c r="C695" t="s">
        <v>17</v>
      </c>
      <c r="D695">
        <v>53052001</v>
      </c>
      <c r="E695" t="s">
        <v>18</v>
      </c>
      <c r="F695" s="11">
        <v>112305.601</v>
      </c>
      <c r="G695" t="s">
        <v>1159</v>
      </c>
      <c r="H695" s="3">
        <v>46022</v>
      </c>
      <c r="I695" t="s">
        <v>1160</v>
      </c>
      <c r="J695" t="s">
        <v>1160</v>
      </c>
      <c r="K695" t="s">
        <v>69</v>
      </c>
      <c r="N695">
        <f t="shared" si="32"/>
        <v>2025</v>
      </c>
      <c r="O695">
        <f t="shared" si="33"/>
        <v>12</v>
      </c>
      <c r="P695" t="str">
        <f t="shared" si="34"/>
        <v>Diciembre</v>
      </c>
    </row>
    <row r="696" spans="3:16" hidden="1" x14ac:dyDescent="0.25">
      <c r="C696" t="s">
        <v>17</v>
      </c>
      <c r="D696">
        <v>53052001</v>
      </c>
      <c r="E696" t="s">
        <v>18</v>
      </c>
      <c r="F696" s="11">
        <v>82450.108999999997</v>
      </c>
      <c r="G696" t="s">
        <v>1159</v>
      </c>
      <c r="H696" s="3">
        <v>46022</v>
      </c>
      <c r="I696" t="s">
        <v>1161</v>
      </c>
      <c r="J696" t="s">
        <v>1161</v>
      </c>
      <c r="K696" t="s">
        <v>31</v>
      </c>
      <c r="N696">
        <f t="shared" si="32"/>
        <v>2025</v>
      </c>
      <c r="O696">
        <f t="shared" si="33"/>
        <v>12</v>
      </c>
      <c r="P696" t="str">
        <f t="shared" si="34"/>
        <v>Diciembre</v>
      </c>
    </row>
    <row r="697" spans="3:16" hidden="1" x14ac:dyDescent="0.25">
      <c r="C697" t="s">
        <v>17</v>
      </c>
      <c r="D697">
        <v>53052001</v>
      </c>
      <c r="E697" t="s">
        <v>18</v>
      </c>
      <c r="F697" s="11">
        <v>84660.813999999998</v>
      </c>
      <c r="G697" t="s">
        <v>1159</v>
      </c>
      <c r="H697" s="3">
        <v>46022</v>
      </c>
      <c r="I697" t="s">
        <v>1162</v>
      </c>
      <c r="J697" t="s">
        <v>1162</v>
      </c>
      <c r="K697" t="s">
        <v>21</v>
      </c>
      <c r="N697">
        <f t="shared" si="32"/>
        <v>2025</v>
      </c>
      <c r="O697">
        <f t="shared" si="33"/>
        <v>12</v>
      </c>
      <c r="P697" t="str">
        <f t="shared" si="34"/>
        <v>Diciembre</v>
      </c>
    </row>
    <row r="698" spans="3:16" hidden="1" x14ac:dyDescent="0.25">
      <c r="C698" t="s">
        <v>17</v>
      </c>
      <c r="D698">
        <v>53052001</v>
      </c>
      <c r="E698" t="s">
        <v>18</v>
      </c>
      <c r="F698" s="11">
        <v>4861.1689999999999</v>
      </c>
      <c r="G698" t="s">
        <v>1159</v>
      </c>
      <c r="H698" s="3">
        <v>46022</v>
      </c>
      <c r="I698" t="s">
        <v>1163</v>
      </c>
      <c r="J698" t="s">
        <v>1163</v>
      </c>
      <c r="K698" t="s">
        <v>41</v>
      </c>
      <c r="N698">
        <f t="shared" si="32"/>
        <v>2025</v>
      </c>
      <c r="O698">
        <f t="shared" si="33"/>
        <v>12</v>
      </c>
      <c r="P698" t="str">
        <f t="shared" si="34"/>
        <v>Diciembre</v>
      </c>
    </row>
    <row r="699" spans="3:16" hidden="1" x14ac:dyDescent="0.25">
      <c r="C699" t="s">
        <v>17</v>
      </c>
      <c r="D699">
        <v>53052001</v>
      </c>
      <c r="E699" t="s">
        <v>18</v>
      </c>
      <c r="F699" s="11">
        <v>-35913.165000000001</v>
      </c>
      <c r="G699" t="s">
        <v>1164</v>
      </c>
      <c r="H699" s="3">
        <v>46022</v>
      </c>
      <c r="I699" t="s">
        <v>1165</v>
      </c>
      <c r="J699" t="s">
        <v>1165</v>
      </c>
      <c r="K699" t="s">
        <v>27</v>
      </c>
      <c r="N699">
        <f t="shared" si="32"/>
        <v>2025</v>
      </c>
      <c r="O699">
        <f t="shared" si="33"/>
        <v>12</v>
      </c>
      <c r="P699" t="str">
        <f t="shared" si="34"/>
        <v>Diciembre</v>
      </c>
    </row>
    <row r="700" spans="3:16" hidden="1" x14ac:dyDescent="0.25">
      <c r="C700" t="s">
        <v>17</v>
      </c>
      <c r="D700">
        <v>53052001</v>
      </c>
      <c r="E700" t="s">
        <v>18</v>
      </c>
      <c r="F700" s="11">
        <v>-4087.06</v>
      </c>
      <c r="G700" t="s">
        <v>1164</v>
      </c>
      <c r="H700" s="3">
        <v>46022</v>
      </c>
      <c r="I700" t="s">
        <v>1165</v>
      </c>
      <c r="J700" t="s">
        <v>1165</v>
      </c>
      <c r="K700" t="s">
        <v>69</v>
      </c>
      <c r="N700">
        <f t="shared" si="32"/>
        <v>2025</v>
      </c>
      <c r="O700">
        <f t="shared" si="33"/>
        <v>12</v>
      </c>
      <c r="P700" t="str">
        <f t="shared" si="34"/>
        <v>Diciembre</v>
      </c>
    </row>
    <row r="701" spans="3:16" hidden="1" x14ac:dyDescent="0.25">
      <c r="C701" t="s">
        <v>17</v>
      </c>
      <c r="D701">
        <v>53052001</v>
      </c>
      <c r="E701" t="s">
        <v>18</v>
      </c>
      <c r="F701" s="11">
        <v>142264.47700000001</v>
      </c>
      <c r="G701" t="s">
        <v>1166</v>
      </c>
      <c r="H701" s="3">
        <v>46022</v>
      </c>
      <c r="I701" t="s">
        <v>1131</v>
      </c>
      <c r="J701" t="s">
        <v>1131</v>
      </c>
      <c r="K701" t="s">
        <v>60</v>
      </c>
      <c r="N701">
        <f t="shared" si="32"/>
        <v>2025</v>
      </c>
      <c r="O701">
        <f t="shared" si="33"/>
        <v>12</v>
      </c>
      <c r="P701" t="str">
        <f t="shared" si="34"/>
        <v>Diciembre</v>
      </c>
    </row>
    <row r="702" spans="3:16" hidden="1" x14ac:dyDescent="0.25">
      <c r="C702" t="s">
        <v>17</v>
      </c>
      <c r="D702">
        <v>53052001</v>
      </c>
      <c r="E702" t="s">
        <v>18</v>
      </c>
      <c r="F702" s="11">
        <v>6484.7889999999998</v>
      </c>
      <c r="G702" t="s">
        <v>1167</v>
      </c>
      <c r="H702" s="3">
        <v>46022</v>
      </c>
      <c r="I702" t="s">
        <v>1168</v>
      </c>
      <c r="J702" t="s">
        <v>1168</v>
      </c>
      <c r="K702" t="s">
        <v>194</v>
      </c>
      <c r="N702">
        <f t="shared" si="32"/>
        <v>2025</v>
      </c>
      <c r="O702">
        <f t="shared" si="33"/>
        <v>12</v>
      </c>
      <c r="P702" t="str">
        <f t="shared" si="34"/>
        <v>Diciembre</v>
      </c>
    </row>
    <row r="703" spans="3:16" x14ac:dyDescent="0.25">
      <c r="C703" t="s">
        <v>17</v>
      </c>
      <c r="D703">
        <v>53052004</v>
      </c>
      <c r="E703" t="s">
        <v>276</v>
      </c>
      <c r="F703" s="11">
        <v>42.658999999999999</v>
      </c>
      <c r="G703" t="s">
        <v>1169</v>
      </c>
      <c r="H703" s="3">
        <v>46000</v>
      </c>
      <c r="I703" t="s">
        <v>1170</v>
      </c>
      <c r="J703" t="s">
        <v>1170</v>
      </c>
      <c r="K703" t="s">
        <v>35</v>
      </c>
      <c r="N703">
        <f t="shared" si="32"/>
        <v>2025</v>
      </c>
      <c r="O703">
        <f t="shared" si="33"/>
        <v>12</v>
      </c>
      <c r="P703" t="str">
        <f t="shared" si="34"/>
        <v>Diciembre</v>
      </c>
    </row>
    <row r="704" spans="3:16" x14ac:dyDescent="0.25">
      <c r="C704" t="s">
        <v>17</v>
      </c>
      <c r="D704">
        <v>53052004</v>
      </c>
      <c r="E704" t="s">
        <v>276</v>
      </c>
      <c r="F704" s="11">
        <v>30791.9997</v>
      </c>
      <c r="G704" t="s">
        <v>1171</v>
      </c>
      <c r="H704" s="3">
        <v>46021</v>
      </c>
      <c r="I704" t="s">
        <v>1172</v>
      </c>
      <c r="J704" t="s">
        <v>1172</v>
      </c>
      <c r="K704" t="s">
        <v>1173</v>
      </c>
      <c r="N704">
        <f t="shared" si="32"/>
        <v>2025</v>
      </c>
      <c r="O704">
        <f t="shared" si="33"/>
        <v>12</v>
      </c>
      <c r="P704" t="str">
        <f t="shared" si="34"/>
        <v>Diciembre</v>
      </c>
    </row>
    <row r="705" spans="3:16" x14ac:dyDescent="0.25">
      <c r="C705" t="s">
        <v>17</v>
      </c>
      <c r="D705">
        <v>53052004</v>
      </c>
      <c r="E705" t="s">
        <v>276</v>
      </c>
      <c r="F705" s="11">
        <v>10769.398720000001</v>
      </c>
      <c r="G705" t="s">
        <v>1174</v>
      </c>
      <c r="H705" s="3">
        <v>46022</v>
      </c>
      <c r="I705" t="s">
        <v>1175</v>
      </c>
      <c r="J705" t="s">
        <v>1175</v>
      </c>
      <c r="K705" t="s">
        <v>21</v>
      </c>
      <c r="N705">
        <f t="shared" si="32"/>
        <v>2025</v>
      </c>
      <c r="O705">
        <f t="shared" si="33"/>
        <v>12</v>
      </c>
      <c r="P705" t="str">
        <f t="shared" si="34"/>
        <v>Diciembre</v>
      </c>
    </row>
    <row r="706" spans="3:16" x14ac:dyDescent="0.25">
      <c r="C706" t="s">
        <v>17</v>
      </c>
      <c r="D706">
        <v>53052004</v>
      </c>
      <c r="E706" t="s">
        <v>276</v>
      </c>
      <c r="F706" s="11">
        <v>6117.9677599999995</v>
      </c>
      <c r="G706" t="s">
        <v>1176</v>
      </c>
      <c r="H706" s="3">
        <v>46022</v>
      </c>
      <c r="I706" t="s">
        <v>1177</v>
      </c>
      <c r="J706" t="s">
        <v>1177</v>
      </c>
      <c r="K706" t="s">
        <v>21</v>
      </c>
      <c r="N706">
        <f t="shared" si="32"/>
        <v>2025</v>
      </c>
      <c r="O706">
        <f t="shared" si="33"/>
        <v>12</v>
      </c>
      <c r="P706" t="str">
        <f t="shared" si="34"/>
        <v>Diciembre</v>
      </c>
    </row>
    <row r="707" spans="3:16" x14ac:dyDescent="0.25">
      <c r="C707" t="s">
        <v>17</v>
      </c>
      <c r="D707">
        <v>53052004</v>
      </c>
      <c r="E707" t="s">
        <v>276</v>
      </c>
      <c r="F707" s="11">
        <v>16492.07056</v>
      </c>
      <c r="G707" t="s">
        <v>1178</v>
      </c>
      <c r="H707" s="3">
        <v>46022</v>
      </c>
      <c r="I707" t="s">
        <v>1179</v>
      </c>
      <c r="J707" t="s">
        <v>1179</v>
      </c>
      <c r="K707" t="s">
        <v>27</v>
      </c>
      <c r="N707">
        <f t="shared" ref="N707:N713" si="35">+YEAR(H707)</f>
        <v>2025</v>
      </c>
      <c r="O707">
        <f t="shared" si="33"/>
        <v>12</v>
      </c>
      <c r="P707" t="str">
        <f t="shared" si="34"/>
        <v>Diciembre</v>
      </c>
    </row>
    <row r="708" spans="3:16" x14ac:dyDescent="0.25">
      <c r="C708" t="s">
        <v>17</v>
      </c>
      <c r="D708">
        <v>53052004</v>
      </c>
      <c r="E708" t="s">
        <v>276</v>
      </c>
      <c r="F708" s="11">
        <v>11521.989</v>
      </c>
      <c r="G708" t="s">
        <v>1180</v>
      </c>
      <c r="H708" s="3">
        <v>46022</v>
      </c>
      <c r="I708" t="s">
        <v>1181</v>
      </c>
      <c r="J708" t="s">
        <v>1181</v>
      </c>
      <c r="K708" t="s">
        <v>35</v>
      </c>
      <c r="N708">
        <f t="shared" si="35"/>
        <v>2025</v>
      </c>
      <c r="O708">
        <f t="shared" si="33"/>
        <v>12</v>
      </c>
      <c r="P708" t="str">
        <f t="shared" si="34"/>
        <v>Diciembre</v>
      </c>
    </row>
    <row r="709" spans="3:16" x14ac:dyDescent="0.25">
      <c r="C709" t="s">
        <v>17</v>
      </c>
      <c r="D709">
        <v>53052004</v>
      </c>
      <c r="E709" t="s">
        <v>276</v>
      </c>
      <c r="F709" s="11">
        <v>2488.3150000000001</v>
      </c>
      <c r="G709" t="s">
        <v>1182</v>
      </c>
      <c r="H709" s="3">
        <v>46022</v>
      </c>
      <c r="I709" t="s">
        <v>1183</v>
      </c>
      <c r="J709" t="s">
        <v>1183</v>
      </c>
      <c r="K709" t="s">
        <v>35</v>
      </c>
      <c r="N709">
        <f t="shared" si="35"/>
        <v>2025</v>
      </c>
      <c r="O709">
        <f t="shared" si="33"/>
        <v>12</v>
      </c>
      <c r="P709" t="str">
        <f t="shared" si="34"/>
        <v>Diciembre</v>
      </c>
    </row>
    <row r="710" spans="3:16" x14ac:dyDescent="0.25">
      <c r="C710" t="s">
        <v>17</v>
      </c>
      <c r="D710">
        <v>53052004</v>
      </c>
      <c r="E710" t="s">
        <v>276</v>
      </c>
      <c r="F710" s="11">
        <v>5030.8959999999997</v>
      </c>
      <c r="G710" t="s">
        <v>1184</v>
      </c>
      <c r="H710" s="3">
        <v>46022</v>
      </c>
      <c r="I710" t="s">
        <v>1185</v>
      </c>
      <c r="J710" t="s">
        <v>1185</v>
      </c>
      <c r="K710" t="s">
        <v>35</v>
      </c>
      <c r="N710">
        <f t="shared" si="35"/>
        <v>2025</v>
      </c>
      <c r="O710">
        <f t="shared" si="33"/>
        <v>12</v>
      </c>
      <c r="P710" t="str">
        <f t="shared" si="34"/>
        <v>Diciembre</v>
      </c>
    </row>
    <row r="711" spans="3:16" x14ac:dyDescent="0.25">
      <c r="C711" t="s">
        <v>17</v>
      </c>
      <c r="D711">
        <v>53052004</v>
      </c>
      <c r="E711" t="s">
        <v>276</v>
      </c>
      <c r="F711" s="11">
        <v>283.41388000000001</v>
      </c>
      <c r="G711" t="s">
        <v>1186</v>
      </c>
      <c r="H711" s="3">
        <v>46022</v>
      </c>
      <c r="I711" t="s">
        <v>1187</v>
      </c>
      <c r="J711" t="s">
        <v>1187</v>
      </c>
      <c r="K711" t="s">
        <v>21</v>
      </c>
      <c r="N711">
        <f t="shared" si="35"/>
        <v>2025</v>
      </c>
      <c r="O711">
        <f t="shared" si="33"/>
        <v>12</v>
      </c>
      <c r="P711" t="str">
        <f t="shared" si="34"/>
        <v>Diciembre</v>
      </c>
    </row>
    <row r="712" spans="3:16" x14ac:dyDescent="0.25">
      <c r="C712" t="s">
        <v>17</v>
      </c>
      <c r="D712">
        <v>53052004</v>
      </c>
      <c r="E712" t="s">
        <v>276</v>
      </c>
      <c r="F712" s="11">
        <v>486.06587999999999</v>
      </c>
      <c r="G712" t="s">
        <v>1188</v>
      </c>
      <c r="H712" s="3">
        <v>46022</v>
      </c>
      <c r="I712" t="s">
        <v>1189</v>
      </c>
      <c r="J712" t="s">
        <v>1189</v>
      </c>
      <c r="K712" t="s">
        <v>35</v>
      </c>
      <c r="N712">
        <f t="shared" si="35"/>
        <v>2025</v>
      </c>
      <c r="O712">
        <f t="shared" si="33"/>
        <v>12</v>
      </c>
      <c r="P712" t="str">
        <f t="shared" si="34"/>
        <v>Diciembre</v>
      </c>
    </row>
    <row r="713" spans="3:16" x14ac:dyDescent="0.25">
      <c r="C713" t="s">
        <v>17</v>
      </c>
      <c r="D713">
        <v>53052003</v>
      </c>
      <c r="E713" t="s">
        <v>24</v>
      </c>
      <c r="F713" s="11">
        <v>285643.16100000002</v>
      </c>
      <c r="G713" t="s">
        <v>1190</v>
      </c>
      <c r="H713" s="3">
        <v>46001</v>
      </c>
      <c r="I713" t="s">
        <v>1191</v>
      </c>
      <c r="J713" t="s">
        <v>1191</v>
      </c>
      <c r="K713" t="s">
        <v>27</v>
      </c>
      <c r="N713">
        <f t="shared" si="35"/>
        <v>2025</v>
      </c>
      <c r="O713">
        <f t="shared" si="33"/>
        <v>12</v>
      </c>
      <c r="P713" t="str">
        <f t="shared" si="34"/>
        <v>Diciembre</v>
      </c>
    </row>
    <row r="714" spans="3:16" s="28" customFormat="1" ht="3" customHeight="1" x14ac:dyDescent="0.25">
      <c r="F714" s="29"/>
    </row>
    <row r="715" spans="3:16" x14ac:dyDescent="0.25">
      <c r="C715" t="s">
        <v>17</v>
      </c>
      <c r="D715">
        <v>53052001</v>
      </c>
      <c r="E715" t="s">
        <v>18</v>
      </c>
      <c r="F715" s="11">
        <v>35440.771999999997</v>
      </c>
      <c r="G715" t="s">
        <v>1192</v>
      </c>
      <c r="H715" s="3">
        <v>46023</v>
      </c>
      <c r="I715" t="s">
        <v>112</v>
      </c>
      <c r="J715" t="s">
        <v>112</v>
      </c>
      <c r="K715" t="s">
        <v>51</v>
      </c>
      <c r="N715">
        <f t="shared" ref="N715:N762" si="36">+YEAR(H715)</f>
        <v>2026</v>
      </c>
      <c r="O715">
        <f t="shared" ref="O715:O762" si="37">+MONTH(H715)</f>
        <v>1</v>
      </c>
      <c r="P715" t="str">
        <f t="shared" ref="P715:P762" si="38">+VLOOKUP(O715,X:Y,2,0)</f>
        <v>Enero</v>
      </c>
    </row>
    <row r="716" spans="3:16" x14ac:dyDescent="0.25">
      <c r="C716" t="s">
        <v>17</v>
      </c>
      <c r="D716">
        <v>53052001</v>
      </c>
      <c r="E716" t="s">
        <v>18</v>
      </c>
      <c r="F716" s="11">
        <v>2422.5810000000001</v>
      </c>
      <c r="G716" t="s">
        <v>1193</v>
      </c>
      <c r="H716" s="3">
        <v>46027</v>
      </c>
      <c r="I716" t="s">
        <v>1194</v>
      </c>
      <c r="J716" t="s">
        <v>1194</v>
      </c>
      <c r="K716" t="s">
        <v>27</v>
      </c>
      <c r="N716">
        <f t="shared" si="36"/>
        <v>2026</v>
      </c>
      <c r="O716">
        <f t="shared" si="37"/>
        <v>1</v>
      </c>
      <c r="P716" t="str">
        <f t="shared" si="38"/>
        <v>Enero</v>
      </c>
    </row>
    <row r="717" spans="3:16" x14ac:dyDescent="0.25">
      <c r="C717" t="s">
        <v>17</v>
      </c>
      <c r="D717">
        <v>53052001</v>
      </c>
      <c r="E717" t="s">
        <v>18</v>
      </c>
      <c r="F717" s="11">
        <v>260660.75099999999</v>
      </c>
      <c r="G717" t="s">
        <v>1195</v>
      </c>
      <c r="H717" s="3">
        <v>46027</v>
      </c>
      <c r="I717" t="s">
        <v>1196</v>
      </c>
      <c r="J717" t="s">
        <v>1196</v>
      </c>
      <c r="K717" t="s">
        <v>21</v>
      </c>
      <c r="N717">
        <f t="shared" si="36"/>
        <v>2026</v>
      </c>
      <c r="O717">
        <f t="shared" si="37"/>
        <v>1</v>
      </c>
      <c r="P717" t="str">
        <f t="shared" si="38"/>
        <v>Enero</v>
      </c>
    </row>
    <row r="718" spans="3:16" x14ac:dyDescent="0.25">
      <c r="C718" t="s">
        <v>17</v>
      </c>
      <c r="D718">
        <v>53052001</v>
      </c>
      <c r="E718" t="s">
        <v>18</v>
      </c>
      <c r="F718" s="11">
        <v>1114.5060000000001</v>
      </c>
      <c r="G718" t="s">
        <v>1197</v>
      </c>
      <c r="H718" s="3">
        <v>46031</v>
      </c>
      <c r="I718" t="s">
        <v>1198</v>
      </c>
      <c r="J718" t="s">
        <v>1198</v>
      </c>
      <c r="K718" t="s">
        <v>27</v>
      </c>
      <c r="N718">
        <f t="shared" si="36"/>
        <v>2026</v>
      </c>
      <c r="O718">
        <f t="shared" si="37"/>
        <v>1</v>
      </c>
      <c r="P718" t="str">
        <f t="shared" si="38"/>
        <v>Enero</v>
      </c>
    </row>
    <row r="719" spans="3:16" x14ac:dyDescent="0.25">
      <c r="C719" t="s">
        <v>17</v>
      </c>
      <c r="D719">
        <v>53052001</v>
      </c>
      <c r="E719" t="s">
        <v>18</v>
      </c>
      <c r="F719" s="11">
        <v>1265.1320000000001</v>
      </c>
      <c r="G719" t="s">
        <v>1199</v>
      </c>
      <c r="H719" s="3">
        <v>46035</v>
      </c>
      <c r="I719" t="s">
        <v>1200</v>
      </c>
      <c r="J719" t="s">
        <v>1200</v>
      </c>
      <c r="K719" t="s">
        <v>27</v>
      </c>
      <c r="N719">
        <f t="shared" si="36"/>
        <v>2026</v>
      </c>
      <c r="O719">
        <f t="shared" si="37"/>
        <v>1</v>
      </c>
      <c r="P719" t="str">
        <f t="shared" si="38"/>
        <v>Enero</v>
      </c>
    </row>
    <row r="720" spans="3:16" x14ac:dyDescent="0.25">
      <c r="C720" t="s">
        <v>17</v>
      </c>
      <c r="D720">
        <v>53052001</v>
      </c>
      <c r="E720" t="s">
        <v>18</v>
      </c>
      <c r="F720" s="11">
        <v>295.52132</v>
      </c>
      <c r="G720" t="s">
        <v>1201</v>
      </c>
      <c r="H720" s="3">
        <v>46036</v>
      </c>
      <c r="I720" t="s">
        <v>1202</v>
      </c>
      <c r="J720" t="s">
        <v>1202</v>
      </c>
      <c r="K720" t="s">
        <v>1203</v>
      </c>
      <c r="N720">
        <f t="shared" si="36"/>
        <v>2026</v>
      </c>
      <c r="O720">
        <f t="shared" si="37"/>
        <v>1</v>
      </c>
      <c r="P720" t="str">
        <f t="shared" si="38"/>
        <v>Enero</v>
      </c>
    </row>
    <row r="721" spans="3:16" x14ac:dyDescent="0.25">
      <c r="C721" t="s">
        <v>17</v>
      </c>
      <c r="D721">
        <v>53052001</v>
      </c>
      <c r="E721" t="s">
        <v>18</v>
      </c>
      <c r="F721" s="11">
        <v>38795</v>
      </c>
      <c r="G721" t="s">
        <v>1204</v>
      </c>
      <c r="H721" s="3">
        <v>46036</v>
      </c>
      <c r="I721" t="s">
        <v>1205</v>
      </c>
      <c r="J721" t="s">
        <v>1205</v>
      </c>
      <c r="K721" t="s">
        <v>31</v>
      </c>
      <c r="N721">
        <f t="shared" si="36"/>
        <v>2026</v>
      </c>
      <c r="O721">
        <f t="shared" si="37"/>
        <v>1</v>
      </c>
      <c r="P721" t="str">
        <f t="shared" si="38"/>
        <v>Enero</v>
      </c>
    </row>
    <row r="722" spans="3:16" x14ac:dyDescent="0.25">
      <c r="C722" t="s">
        <v>17</v>
      </c>
      <c r="D722">
        <v>53052001</v>
      </c>
      <c r="E722" t="s">
        <v>18</v>
      </c>
      <c r="F722" s="11">
        <v>12969.393</v>
      </c>
      <c r="G722" t="s">
        <v>1206</v>
      </c>
      <c r="H722" s="3">
        <v>46038</v>
      </c>
      <c r="I722" t="s">
        <v>604</v>
      </c>
      <c r="J722" t="s">
        <v>604</v>
      </c>
      <c r="K722" t="s">
        <v>31</v>
      </c>
      <c r="N722">
        <f t="shared" si="36"/>
        <v>2026</v>
      </c>
      <c r="O722">
        <f t="shared" si="37"/>
        <v>1</v>
      </c>
      <c r="P722" t="str">
        <f t="shared" si="38"/>
        <v>Enero</v>
      </c>
    </row>
    <row r="723" spans="3:16" x14ac:dyDescent="0.25">
      <c r="C723" t="s">
        <v>17</v>
      </c>
      <c r="D723">
        <v>53052001</v>
      </c>
      <c r="E723" t="s">
        <v>18</v>
      </c>
      <c r="F723" s="11">
        <v>73006.667000000001</v>
      </c>
      <c r="G723" t="s">
        <v>1207</v>
      </c>
      <c r="H723" s="3">
        <v>46041</v>
      </c>
      <c r="I723" t="s">
        <v>1208</v>
      </c>
      <c r="J723" t="s">
        <v>1208</v>
      </c>
      <c r="K723" t="s">
        <v>69</v>
      </c>
      <c r="N723">
        <f t="shared" si="36"/>
        <v>2026</v>
      </c>
      <c r="O723">
        <f t="shared" si="37"/>
        <v>1</v>
      </c>
      <c r="P723" t="str">
        <f t="shared" si="38"/>
        <v>Enero</v>
      </c>
    </row>
    <row r="724" spans="3:16" x14ac:dyDescent="0.25">
      <c r="C724" t="s">
        <v>17</v>
      </c>
      <c r="D724">
        <v>53052001</v>
      </c>
      <c r="E724" t="s">
        <v>18</v>
      </c>
      <c r="F724" s="11">
        <v>144399.24830000001</v>
      </c>
      <c r="G724" t="s">
        <v>1209</v>
      </c>
      <c r="H724" s="3">
        <v>46042</v>
      </c>
      <c r="I724" t="s">
        <v>1210</v>
      </c>
      <c r="J724" t="s">
        <v>1210</v>
      </c>
      <c r="K724" t="s">
        <v>60</v>
      </c>
      <c r="N724">
        <f t="shared" si="36"/>
        <v>2026</v>
      </c>
      <c r="O724">
        <f t="shared" si="37"/>
        <v>1</v>
      </c>
      <c r="P724" t="str">
        <f t="shared" si="38"/>
        <v>Enero</v>
      </c>
    </row>
    <row r="725" spans="3:16" x14ac:dyDescent="0.25">
      <c r="C725" t="s">
        <v>17</v>
      </c>
      <c r="D725">
        <v>53052001</v>
      </c>
      <c r="E725" t="s">
        <v>18</v>
      </c>
      <c r="F725" s="11">
        <v>248.49945000000002</v>
      </c>
      <c r="G725" t="s">
        <v>1211</v>
      </c>
      <c r="H725" s="3">
        <v>46042</v>
      </c>
      <c r="I725" t="s">
        <v>1212</v>
      </c>
      <c r="J725" t="s">
        <v>1212</v>
      </c>
      <c r="K725" t="s">
        <v>57</v>
      </c>
      <c r="N725">
        <f t="shared" si="36"/>
        <v>2026</v>
      </c>
      <c r="O725">
        <f t="shared" si="37"/>
        <v>1</v>
      </c>
      <c r="P725" t="str">
        <f t="shared" si="38"/>
        <v>Enero</v>
      </c>
    </row>
    <row r="726" spans="3:16" x14ac:dyDescent="0.25">
      <c r="C726" t="s">
        <v>17</v>
      </c>
      <c r="D726">
        <v>53052001</v>
      </c>
      <c r="E726" t="s">
        <v>18</v>
      </c>
      <c r="F726" s="11">
        <v>2407.223</v>
      </c>
      <c r="G726" t="s">
        <v>1213</v>
      </c>
      <c r="H726" s="3">
        <v>46043</v>
      </c>
      <c r="I726" t="s">
        <v>1214</v>
      </c>
      <c r="J726" t="s">
        <v>1214</v>
      </c>
      <c r="K726" t="s">
        <v>27</v>
      </c>
      <c r="N726">
        <f t="shared" si="36"/>
        <v>2026</v>
      </c>
      <c r="O726">
        <f t="shared" si="37"/>
        <v>1</v>
      </c>
      <c r="P726" t="str">
        <f t="shared" si="38"/>
        <v>Enero</v>
      </c>
    </row>
    <row r="727" spans="3:16" x14ac:dyDescent="0.25">
      <c r="C727" t="s">
        <v>17</v>
      </c>
      <c r="D727">
        <v>53052001</v>
      </c>
      <c r="E727" t="s">
        <v>18</v>
      </c>
      <c r="F727" s="11">
        <v>1865.5075200000001</v>
      </c>
      <c r="G727" t="s">
        <v>1215</v>
      </c>
      <c r="H727" s="3">
        <v>46045</v>
      </c>
      <c r="I727" t="s">
        <v>1216</v>
      </c>
      <c r="J727" t="s">
        <v>1216</v>
      </c>
      <c r="K727" t="s">
        <v>41</v>
      </c>
      <c r="N727">
        <f t="shared" si="36"/>
        <v>2026</v>
      </c>
      <c r="O727">
        <f t="shared" si="37"/>
        <v>1</v>
      </c>
      <c r="P727" t="str">
        <f t="shared" si="38"/>
        <v>Enero</v>
      </c>
    </row>
    <row r="728" spans="3:16" x14ac:dyDescent="0.25">
      <c r="C728" t="s">
        <v>17</v>
      </c>
      <c r="D728">
        <v>53052001</v>
      </c>
      <c r="E728" t="s">
        <v>18</v>
      </c>
      <c r="F728" s="11">
        <v>131226.11799999999</v>
      </c>
      <c r="G728" t="s">
        <v>1217</v>
      </c>
      <c r="H728" s="3">
        <v>46045</v>
      </c>
      <c r="I728" t="s">
        <v>1218</v>
      </c>
      <c r="J728" t="s">
        <v>1218</v>
      </c>
      <c r="K728" t="s">
        <v>27</v>
      </c>
      <c r="N728">
        <f t="shared" si="36"/>
        <v>2026</v>
      </c>
      <c r="O728">
        <f t="shared" si="37"/>
        <v>1</v>
      </c>
      <c r="P728" t="str">
        <f t="shared" si="38"/>
        <v>Enero</v>
      </c>
    </row>
    <row r="729" spans="3:16" x14ac:dyDescent="0.25">
      <c r="C729" t="s">
        <v>17</v>
      </c>
      <c r="D729">
        <v>53052001</v>
      </c>
      <c r="E729" t="s">
        <v>18</v>
      </c>
      <c r="F729" s="11">
        <v>249169.117</v>
      </c>
      <c r="G729" t="s">
        <v>1219</v>
      </c>
      <c r="H729" s="3">
        <v>46048</v>
      </c>
      <c r="I729" t="s">
        <v>1220</v>
      </c>
      <c r="J729" t="s">
        <v>1220</v>
      </c>
      <c r="K729" t="s">
        <v>31</v>
      </c>
      <c r="N729">
        <f t="shared" si="36"/>
        <v>2026</v>
      </c>
      <c r="O729">
        <f t="shared" si="37"/>
        <v>1</v>
      </c>
      <c r="P729" t="str">
        <f t="shared" si="38"/>
        <v>Enero</v>
      </c>
    </row>
    <row r="730" spans="3:16" x14ac:dyDescent="0.25">
      <c r="C730" t="s">
        <v>17</v>
      </c>
      <c r="D730">
        <v>53052001</v>
      </c>
      <c r="E730" t="s">
        <v>18</v>
      </c>
      <c r="F730" s="11">
        <v>-7161.8589900000006</v>
      </c>
      <c r="G730" t="s">
        <v>1221</v>
      </c>
      <c r="H730" s="3">
        <v>46048</v>
      </c>
      <c r="I730" t="s">
        <v>1222</v>
      </c>
      <c r="J730" t="s">
        <v>1222</v>
      </c>
      <c r="K730" t="s">
        <v>27</v>
      </c>
      <c r="N730">
        <f t="shared" si="36"/>
        <v>2026</v>
      </c>
      <c r="O730">
        <f t="shared" si="37"/>
        <v>1</v>
      </c>
      <c r="P730" t="str">
        <f t="shared" si="38"/>
        <v>Enero</v>
      </c>
    </row>
    <row r="731" spans="3:16" x14ac:dyDescent="0.25">
      <c r="C731" t="s">
        <v>17</v>
      </c>
      <c r="D731">
        <v>53052001</v>
      </c>
      <c r="E731" t="s">
        <v>18</v>
      </c>
      <c r="F731" s="11">
        <v>10448.948</v>
      </c>
      <c r="G731" t="s">
        <v>1223</v>
      </c>
      <c r="H731" s="3">
        <v>46049</v>
      </c>
      <c r="I731" t="s">
        <v>1224</v>
      </c>
      <c r="J731" t="s">
        <v>1224</v>
      </c>
      <c r="K731" t="s">
        <v>21</v>
      </c>
      <c r="N731">
        <f t="shared" si="36"/>
        <v>2026</v>
      </c>
      <c r="O731">
        <f t="shared" si="37"/>
        <v>1</v>
      </c>
      <c r="P731" t="str">
        <f t="shared" si="38"/>
        <v>Enero</v>
      </c>
    </row>
    <row r="732" spans="3:16" x14ac:dyDescent="0.25">
      <c r="C732" t="s">
        <v>17</v>
      </c>
      <c r="D732">
        <v>53052001</v>
      </c>
      <c r="E732" t="s">
        <v>18</v>
      </c>
      <c r="F732" s="11">
        <v>-12082.894</v>
      </c>
      <c r="G732" t="s">
        <v>1225</v>
      </c>
      <c r="H732" s="3">
        <v>46050</v>
      </c>
      <c r="I732" t="s">
        <v>1226</v>
      </c>
      <c r="J732" t="s">
        <v>1226</v>
      </c>
      <c r="K732" t="s">
        <v>31</v>
      </c>
      <c r="N732">
        <f t="shared" si="36"/>
        <v>2026</v>
      </c>
      <c r="O732">
        <f t="shared" si="37"/>
        <v>1</v>
      </c>
      <c r="P732" t="str">
        <f t="shared" si="38"/>
        <v>Enero</v>
      </c>
    </row>
    <row r="733" spans="3:16" x14ac:dyDescent="0.25">
      <c r="C733" t="s">
        <v>17</v>
      </c>
      <c r="D733">
        <v>53052001</v>
      </c>
      <c r="E733" t="s">
        <v>18</v>
      </c>
      <c r="F733" s="11">
        <v>1831.3594399999999</v>
      </c>
      <c r="G733" t="s">
        <v>1227</v>
      </c>
      <c r="H733" s="3">
        <v>46051</v>
      </c>
      <c r="I733" t="s">
        <v>1228</v>
      </c>
      <c r="J733" t="s">
        <v>1228</v>
      </c>
      <c r="K733" t="s">
        <v>41</v>
      </c>
      <c r="N733">
        <f t="shared" si="36"/>
        <v>2026</v>
      </c>
      <c r="O733">
        <f t="shared" si="37"/>
        <v>1</v>
      </c>
      <c r="P733" t="str">
        <f t="shared" si="38"/>
        <v>Enero</v>
      </c>
    </row>
    <row r="734" spans="3:16" x14ac:dyDescent="0.25">
      <c r="C734" t="s">
        <v>17</v>
      </c>
      <c r="D734">
        <v>53052001</v>
      </c>
      <c r="E734" t="s">
        <v>18</v>
      </c>
      <c r="F734" s="11">
        <v>36191.635999999999</v>
      </c>
      <c r="G734" t="s">
        <v>1229</v>
      </c>
      <c r="H734" s="3">
        <v>46052</v>
      </c>
      <c r="I734" t="s">
        <v>1230</v>
      </c>
      <c r="J734" t="s">
        <v>1230</v>
      </c>
      <c r="K734" t="s">
        <v>27</v>
      </c>
      <c r="N734">
        <f t="shared" si="36"/>
        <v>2026</v>
      </c>
      <c r="O734">
        <f t="shared" si="37"/>
        <v>1</v>
      </c>
      <c r="P734" t="str">
        <f t="shared" si="38"/>
        <v>Enero</v>
      </c>
    </row>
    <row r="735" spans="3:16" x14ac:dyDescent="0.25">
      <c r="C735" t="s">
        <v>17</v>
      </c>
      <c r="D735">
        <v>53052001</v>
      </c>
      <c r="E735" t="s">
        <v>18</v>
      </c>
      <c r="F735" s="11">
        <v>73917.258319999994</v>
      </c>
      <c r="G735" t="s">
        <v>1231</v>
      </c>
      <c r="H735" s="3">
        <v>46052</v>
      </c>
      <c r="I735" t="s">
        <v>1210</v>
      </c>
      <c r="J735" t="s">
        <v>1210</v>
      </c>
      <c r="K735" t="s">
        <v>57</v>
      </c>
      <c r="N735">
        <f t="shared" si="36"/>
        <v>2026</v>
      </c>
      <c r="O735">
        <f t="shared" si="37"/>
        <v>1</v>
      </c>
      <c r="P735" t="str">
        <f t="shared" si="38"/>
        <v>Enero</v>
      </c>
    </row>
    <row r="736" spans="3:16" x14ac:dyDescent="0.25">
      <c r="C736" t="s">
        <v>17</v>
      </c>
      <c r="D736">
        <v>53052001</v>
      </c>
      <c r="E736" t="s">
        <v>18</v>
      </c>
      <c r="F736" s="11">
        <v>8023.29</v>
      </c>
      <c r="G736" t="s">
        <v>1232</v>
      </c>
      <c r="H736" s="3">
        <v>46053</v>
      </c>
      <c r="I736" t="s">
        <v>56</v>
      </c>
      <c r="J736" t="s">
        <v>56</v>
      </c>
      <c r="K736" t="s">
        <v>46</v>
      </c>
      <c r="N736">
        <f t="shared" si="36"/>
        <v>2026</v>
      </c>
      <c r="O736">
        <f t="shared" si="37"/>
        <v>1</v>
      </c>
      <c r="P736" t="str">
        <f t="shared" si="38"/>
        <v>Enero</v>
      </c>
    </row>
    <row r="737" spans="3:16" x14ac:dyDescent="0.25">
      <c r="C737" t="s">
        <v>17</v>
      </c>
      <c r="D737">
        <v>53052001</v>
      </c>
      <c r="E737" t="s">
        <v>18</v>
      </c>
      <c r="F737" s="11">
        <v>8404.7860000000001</v>
      </c>
      <c r="G737" t="s">
        <v>1233</v>
      </c>
      <c r="H737" s="3">
        <v>46053</v>
      </c>
      <c r="I737" t="s">
        <v>1234</v>
      </c>
      <c r="J737" t="s">
        <v>1234</v>
      </c>
      <c r="K737" t="s">
        <v>69</v>
      </c>
      <c r="N737">
        <f t="shared" si="36"/>
        <v>2026</v>
      </c>
      <c r="O737">
        <f t="shared" si="37"/>
        <v>1</v>
      </c>
      <c r="P737" t="str">
        <f t="shared" si="38"/>
        <v>Enero</v>
      </c>
    </row>
    <row r="738" spans="3:16" x14ac:dyDescent="0.25">
      <c r="C738" t="s">
        <v>17</v>
      </c>
      <c r="D738">
        <v>53052001</v>
      </c>
      <c r="E738" t="s">
        <v>18</v>
      </c>
      <c r="F738" s="11">
        <v>33555.32</v>
      </c>
      <c r="G738" t="s">
        <v>1235</v>
      </c>
      <c r="H738" s="3">
        <v>46053</v>
      </c>
      <c r="I738" t="s">
        <v>114</v>
      </c>
      <c r="J738" t="s">
        <v>114</v>
      </c>
      <c r="K738" t="s">
        <v>21</v>
      </c>
      <c r="N738">
        <f t="shared" si="36"/>
        <v>2026</v>
      </c>
      <c r="O738">
        <f t="shared" si="37"/>
        <v>1</v>
      </c>
      <c r="P738" t="str">
        <f t="shared" si="38"/>
        <v>Enero</v>
      </c>
    </row>
    <row r="739" spans="3:16" x14ac:dyDescent="0.25">
      <c r="C739" t="s">
        <v>17</v>
      </c>
      <c r="D739">
        <v>53052001</v>
      </c>
      <c r="E739" t="s">
        <v>18</v>
      </c>
      <c r="F739" s="11">
        <v>7514.8324000000002</v>
      </c>
      <c r="G739" t="s">
        <v>1236</v>
      </c>
      <c r="H739" s="3">
        <v>46053</v>
      </c>
      <c r="I739" t="s">
        <v>1237</v>
      </c>
      <c r="J739" t="s">
        <v>1237</v>
      </c>
      <c r="K739" t="s">
        <v>206</v>
      </c>
      <c r="N739">
        <f t="shared" si="36"/>
        <v>2026</v>
      </c>
      <c r="O739">
        <f t="shared" si="37"/>
        <v>1</v>
      </c>
      <c r="P739" t="str">
        <f t="shared" si="38"/>
        <v>Enero</v>
      </c>
    </row>
    <row r="740" spans="3:16" x14ac:dyDescent="0.25">
      <c r="C740" t="s">
        <v>17</v>
      </c>
      <c r="D740">
        <v>53052001</v>
      </c>
      <c r="E740" t="s">
        <v>18</v>
      </c>
      <c r="F740" s="11">
        <v>-266419.93581</v>
      </c>
      <c r="G740" t="s">
        <v>1238</v>
      </c>
      <c r="H740" s="3">
        <v>46053</v>
      </c>
      <c r="I740" t="s">
        <v>1239</v>
      </c>
      <c r="J740" t="s">
        <v>1239</v>
      </c>
      <c r="K740" t="s">
        <v>31</v>
      </c>
      <c r="N740">
        <f t="shared" si="36"/>
        <v>2026</v>
      </c>
      <c r="O740">
        <f t="shared" si="37"/>
        <v>1</v>
      </c>
      <c r="P740" t="str">
        <f t="shared" si="38"/>
        <v>Enero</v>
      </c>
    </row>
    <row r="741" spans="3:16" x14ac:dyDescent="0.25">
      <c r="C741" t="s">
        <v>17</v>
      </c>
      <c r="D741">
        <v>53052001</v>
      </c>
      <c r="E741" t="s">
        <v>18</v>
      </c>
      <c r="F741" s="11">
        <v>-253982.44209</v>
      </c>
      <c r="G741" t="s">
        <v>1238</v>
      </c>
      <c r="H741" s="3">
        <v>46053</v>
      </c>
      <c r="I741" t="s">
        <v>1239</v>
      </c>
      <c r="J741" t="s">
        <v>1239</v>
      </c>
      <c r="K741" t="s">
        <v>21</v>
      </c>
      <c r="N741">
        <f t="shared" si="36"/>
        <v>2026</v>
      </c>
      <c r="O741">
        <f t="shared" si="37"/>
        <v>1</v>
      </c>
      <c r="P741" t="str">
        <f t="shared" si="38"/>
        <v>Enero</v>
      </c>
    </row>
    <row r="742" spans="3:16" x14ac:dyDescent="0.25">
      <c r="C742" t="s">
        <v>17</v>
      </c>
      <c r="D742">
        <v>53052001</v>
      </c>
      <c r="E742" t="s">
        <v>18</v>
      </c>
      <c r="F742" s="11">
        <v>111147.811</v>
      </c>
      <c r="G742" t="s">
        <v>1240</v>
      </c>
      <c r="H742" s="3">
        <v>46053</v>
      </c>
      <c r="I742" t="s">
        <v>1241</v>
      </c>
      <c r="J742" t="s">
        <v>1241</v>
      </c>
      <c r="K742" t="s">
        <v>69</v>
      </c>
      <c r="N742">
        <f t="shared" si="36"/>
        <v>2026</v>
      </c>
      <c r="O742">
        <f t="shared" si="37"/>
        <v>1</v>
      </c>
      <c r="P742" t="str">
        <f t="shared" si="38"/>
        <v>Enero</v>
      </c>
    </row>
    <row r="743" spans="3:16" x14ac:dyDescent="0.25">
      <c r="C743" t="s">
        <v>17</v>
      </c>
      <c r="D743">
        <v>53052001</v>
      </c>
      <c r="E743" t="s">
        <v>18</v>
      </c>
      <c r="F743" s="11">
        <v>74471.066000000006</v>
      </c>
      <c r="G743" t="s">
        <v>1240</v>
      </c>
      <c r="H743" s="3">
        <v>46053</v>
      </c>
      <c r="I743" t="s">
        <v>1242</v>
      </c>
      <c r="J743" t="s">
        <v>1242</v>
      </c>
      <c r="K743" t="s">
        <v>31</v>
      </c>
      <c r="N743">
        <f t="shared" si="36"/>
        <v>2026</v>
      </c>
      <c r="O743">
        <f t="shared" si="37"/>
        <v>1</v>
      </c>
      <c r="P743" t="str">
        <f t="shared" si="38"/>
        <v>Enero</v>
      </c>
    </row>
    <row r="744" spans="3:16" x14ac:dyDescent="0.25">
      <c r="C744" t="s">
        <v>17</v>
      </c>
      <c r="D744">
        <v>53052001</v>
      </c>
      <c r="E744" t="s">
        <v>18</v>
      </c>
      <c r="F744" s="11">
        <v>84660.813999999998</v>
      </c>
      <c r="G744" t="s">
        <v>1240</v>
      </c>
      <c r="H744" s="3">
        <v>46053</v>
      </c>
      <c r="I744" t="s">
        <v>1243</v>
      </c>
      <c r="J744" t="s">
        <v>1243</v>
      </c>
      <c r="K744" t="s">
        <v>21</v>
      </c>
      <c r="N744">
        <f t="shared" si="36"/>
        <v>2026</v>
      </c>
      <c r="O744">
        <f t="shared" si="37"/>
        <v>1</v>
      </c>
      <c r="P744" t="str">
        <f t="shared" si="38"/>
        <v>Enero</v>
      </c>
    </row>
    <row r="745" spans="3:16" x14ac:dyDescent="0.25">
      <c r="C745" t="s">
        <v>17</v>
      </c>
      <c r="D745">
        <v>53052001</v>
      </c>
      <c r="E745" t="s">
        <v>18</v>
      </c>
      <c r="F745" s="11">
        <v>116897.65</v>
      </c>
      <c r="G745" t="s">
        <v>1240</v>
      </c>
      <c r="H745" s="3">
        <v>46053</v>
      </c>
      <c r="I745" t="s">
        <v>1244</v>
      </c>
      <c r="J745" t="s">
        <v>1244</v>
      </c>
      <c r="K745" t="s">
        <v>37</v>
      </c>
      <c r="N745">
        <f t="shared" si="36"/>
        <v>2026</v>
      </c>
      <c r="O745">
        <f t="shared" si="37"/>
        <v>1</v>
      </c>
      <c r="P745" t="str">
        <f t="shared" si="38"/>
        <v>Enero</v>
      </c>
    </row>
    <row r="746" spans="3:16" x14ac:dyDescent="0.25">
      <c r="C746" t="s">
        <v>17</v>
      </c>
      <c r="D746">
        <v>53052001</v>
      </c>
      <c r="E746" t="s">
        <v>18</v>
      </c>
      <c r="F746" s="11">
        <v>89676.900999999998</v>
      </c>
      <c r="G746" t="s">
        <v>1240</v>
      </c>
      <c r="H746" s="3">
        <v>46053</v>
      </c>
      <c r="I746" t="s">
        <v>1245</v>
      </c>
      <c r="J746" t="s">
        <v>1245</v>
      </c>
      <c r="K746" t="s">
        <v>1246</v>
      </c>
      <c r="N746">
        <f t="shared" si="36"/>
        <v>2026</v>
      </c>
      <c r="O746">
        <f t="shared" si="37"/>
        <v>1</v>
      </c>
      <c r="P746" t="str">
        <f t="shared" si="38"/>
        <v>Enero</v>
      </c>
    </row>
    <row r="747" spans="3:16" x14ac:dyDescent="0.25">
      <c r="C747" t="s">
        <v>17</v>
      </c>
      <c r="D747">
        <v>53052001</v>
      </c>
      <c r="E747" t="s">
        <v>18</v>
      </c>
      <c r="F747" s="11">
        <v>10208.456</v>
      </c>
      <c r="G747" t="s">
        <v>1240</v>
      </c>
      <c r="H747" s="3">
        <v>46053</v>
      </c>
      <c r="I747" t="s">
        <v>1247</v>
      </c>
      <c r="J747" t="s">
        <v>1247</v>
      </c>
      <c r="K747" t="s">
        <v>41</v>
      </c>
      <c r="N747">
        <f t="shared" si="36"/>
        <v>2026</v>
      </c>
      <c r="O747">
        <f t="shared" si="37"/>
        <v>1</v>
      </c>
      <c r="P747" t="str">
        <f t="shared" si="38"/>
        <v>Enero</v>
      </c>
    </row>
    <row r="748" spans="3:16" x14ac:dyDescent="0.25">
      <c r="C748" t="s">
        <v>17</v>
      </c>
      <c r="D748">
        <v>53052001</v>
      </c>
      <c r="E748" t="s">
        <v>18</v>
      </c>
      <c r="F748" s="11">
        <v>-295.52132</v>
      </c>
      <c r="G748" t="s">
        <v>1248</v>
      </c>
      <c r="H748" s="3">
        <v>46053</v>
      </c>
      <c r="I748" t="s">
        <v>1249</v>
      </c>
      <c r="J748" t="s">
        <v>1249</v>
      </c>
      <c r="K748" t="s">
        <v>1203</v>
      </c>
      <c r="N748">
        <f t="shared" si="36"/>
        <v>2026</v>
      </c>
      <c r="O748">
        <f t="shared" si="37"/>
        <v>1</v>
      </c>
      <c r="P748" t="str">
        <f t="shared" si="38"/>
        <v>Enero</v>
      </c>
    </row>
    <row r="749" spans="3:16" x14ac:dyDescent="0.25">
      <c r="C749" t="s">
        <v>17</v>
      </c>
      <c r="D749">
        <v>53052001</v>
      </c>
      <c r="E749" t="s">
        <v>18</v>
      </c>
      <c r="F749" s="11">
        <v>1653.35</v>
      </c>
      <c r="G749" t="s">
        <v>1250</v>
      </c>
      <c r="H749" s="3">
        <v>46053</v>
      </c>
      <c r="I749" t="s">
        <v>1251</v>
      </c>
      <c r="J749" t="s">
        <v>1251</v>
      </c>
      <c r="K749" t="s">
        <v>69</v>
      </c>
      <c r="N749">
        <f t="shared" si="36"/>
        <v>2026</v>
      </c>
      <c r="O749">
        <f t="shared" si="37"/>
        <v>1</v>
      </c>
      <c r="P749" t="str">
        <f t="shared" si="38"/>
        <v>Enero</v>
      </c>
    </row>
    <row r="750" spans="3:16" x14ac:dyDescent="0.25">
      <c r="C750" t="s">
        <v>17</v>
      </c>
      <c r="D750">
        <v>53052001</v>
      </c>
      <c r="E750" t="s">
        <v>18</v>
      </c>
      <c r="F750" s="11">
        <v>1145.9169999999999</v>
      </c>
      <c r="G750" t="s">
        <v>1252</v>
      </c>
      <c r="H750" s="3">
        <v>46053</v>
      </c>
      <c r="I750" t="s">
        <v>1253</v>
      </c>
      <c r="J750" t="s">
        <v>1253</v>
      </c>
      <c r="K750" t="s">
        <v>194</v>
      </c>
      <c r="N750">
        <f t="shared" si="36"/>
        <v>2026</v>
      </c>
      <c r="O750">
        <f t="shared" si="37"/>
        <v>1</v>
      </c>
      <c r="P750" t="str">
        <f t="shared" si="38"/>
        <v>Enero</v>
      </c>
    </row>
    <row r="751" spans="3:16" x14ac:dyDescent="0.25">
      <c r="C751" t="s">
        <v>17</v>
      </c>
      <c r="D751">
        <v>53052004</v>
      </c>
      <c r="E751" t="s">
        <v>276</v>
      </c>
      <c r="F751" s="11">
        <v>0.2</v>
      </c>
      <c r="G751" t="s">
        <v>1254</v>
      </c>
      <c r="H751" s="3">
        <v>46031</v>
      </c>
      <c r="I751" t="s">
        <v>1255</v>
      </c>
      <c r="J751" t="s">
        <v>1255</v>
      </c>
      <c r="K751" t="s">
        <v>47</v>
      </c>
      <c r="N751">
        <f t="shared" si="36"/>
        <v>2026</v>
      </c>
      <c r="O751">
        <f t="shared" si="37"/>
        <v>1</v>
      </c>
      <c r="P751" t="str">
        <f t="shared" si="38"/>
        <v>Enero</v>
      </c>
    </row>
    <row r="752" spans="3:16" x14ac:dyDescent="0.25">
      <c r="C752" t="s">
        <v>17</v>
      </c>
      <c r="D752">
        <v>53052004</v>
      </c>
      <c r="E752" t="s">
        <v>276</v>
      </c>
      <c r="F752" s="11">
        <v>159.90899999999999</v>
      </c>
      <c r="G752" t="s">
        <v>1256</v>
      </c>
      <c r="H752" s="3">
        <v>46052</v>
      </c>
      <c r="I752" t="s">
        <v>1257</v>
      </c>
      <c r="J752" t="s">
        <v>1257</v>
      </c>
      <c r="K752" t="s">
        <v>35</v>
      </c>
      <c r="N752">
        <f t="shared" si="36"/>
        <v>2026</v>
      </c>
      <c r="O752">
        <f t="shared" si="37"/>
        <v>1</v>
      </c>
      <c r="P752" t="str">
        <f t="shared" si="38"/>
        <v>Enero</v>
      </c>
    </row>
    <row r="753" spans="3:16" x14ac:dyDescent="0.25">
      <c r="C753" t="s">
        <v>17</v>
      </c>
      <c r="D753">
        <v>53052004</v>
      </c>
      <c r="E753" t="s">
        <v>276</v>
      </c>
      <c r="F753" s="11">
        <v>673.62135999999998</v>
      </c>
      <c r="G753" t="s">
        <v>1258</v>
      </c>
      <c r="H753" s="3">
        <v>46053</v>
      </c>
      <c r="I753" t="s">
        <v>1259</v>
      </c>
      <c r="J753" t="s">
        <v>1259</v>
      </c>
      <c r="K753" t="s">
        <v>21</v>
      </c>
      <c r="N753">
        <f t="shared" si="36"/>
        <v>2026</v>
      </c>
      <c r="O753">
        <f t="shared" si="37"/>
        <v>1</v>
      </c>
      <c r="P753" t="str">
        <f t="shared" si="38"/>
        <v>Enero</v>
      </c>
    </row>
    <row r="754" spans="3:16" x14ac:dyDescent="0.25">
      <c r="C754" t="s">
        <v>17</v>
      </c>
      <c r="D754">
        <v>53052004</v>
      </c>
      <c r="E754" t="s">
        <v>276</v>
      </c>
      <c r="F754" s="11">
        <v>3480.0450000000001</v>
      </c>
      <c r="G754" t="s">
        <v>1260</v>
      </c>
      <c r="H754" s="3">
        <v>46053</v>
      </c>
      <c r="I754" t="s">
        <v>1261</v>
      </c>
      <c r="J754" t="s">
        <v>1261</v>
      </c>
      <c r="K754" t="s">
        <v>35</v>
      </c>
      <c r="N754">
        <f t="shared" si="36"/>
        <v>2026</v>
      </c>
      <c r="O754">
        <f t="shared" si="37"/>
        <v>1</v>
      </c>
      <c r="P754" t="str">
        <f t="shared" si="38"/>
        <v>Enero</v>
      </c>
    </row>
    <row r="755" spans="3:16" x14ac:dyDescent="0.25">
      <c r="C755" t="s">
        <v>17</v>
      </c>
      <c r="D755">
        <v>53052004</v>
      </c>
      <c r="E755" t="s">
        <v>276</v>
      </c>
      <c r="F755" s="11">
        <v>3527.9789999999998</v>
      </c>
      <c r="G755" t="s">
        <v>1262</v>
      </c>
      <c r="H755" s="3">
        <v>46053</v>
      </c>
      <c r="I755" t="s">
        <v>1263</v>
      </c>
      <c r="J755" t="s">
        <v>1263</v>
      </c>
      <c r="K755" t="s">
        <v>35</v>
      </c>
      <c r="N755">
        <f t="shared" si="36"/>
        <v>2026</v>
      </c>
      <c r="O755">
        <f t="shared" si="37"/>
        <v>1</v>
      </c>
      <c r="P755" t="str">
        <f t="shared" si="38"/>
        <v>Enero</v>
      </c>
    </row>
    <row r="756" spans="3:16" x14ac:dyDescent="0.25">
      <c r="C756" t="s">
        <v>17</v>
      </c>
      <c r="D756">
        <v>53052004</v>
      </c>
      <c r="E756" t="s">
        <v>276</v>
      </c>
      <c r="F756" s="11">
        <v>1402.0439099999999</v>
      </c>
      <c r="G756" t="s">
        <v>1264</v>
      </c>
      <c r="H756" s="3">
        <v>46053</v>
      </c>
      <c r="I756" t="s">
        <v>1265</v>
      </c>
      <c r="J756" t="s">
        <v>1265</v>
      </c>
      <c r="K756" t="s">
        <v>27</v>
      </c>
      <c r="N756">
        <f t="shared" si="36"/>
        <v>2026</v>
      </c>
      <c r="O756">
        <f t="shared" si="37"/>
        <v>1</v>
      </c>
      <c r="P756" t="str">
        <f t="shared" si="38"/>
        <v>Enero</v>
      </c>
    </row>
    <row r="757" spans="3:16" x14ac:dyDescent="0.25">
      <c r="C757" t="s">
        <v>17</v>
      </c>
      <c r="D757">
        <v>53052004</v>
      </c>
      <c r="E757" t="s">
        <v>276</v>
      </c>
      <c r="F757" s="11">
        <v>9594.4220000000005</v>
      </c>
      <c r="G757" t="s">
        <v>1266</v>
      </c>
      <c r="H757" s="3">
        <v>46053</v>
      </c>
      <c r="I757" t="s">
        <v>1267</v>
      </c>
      <c r="J757" t="s">
        <v>1267</v>
      </c>
      <c r="K757" t="s">
        <v>35</v>
      </c>
      <c r="N757">
        <f t="shared" si="36"/>
        <v>2026</v>
      </c>
      <c r="O757">
        <f t="shared" si="37"/>
        <v>1</v>
      </c>
      <c r="P757" t="str">
        <f t="shared" si="38"/>
        <v>Enero</v>
      </c>
    </row>
    <row r="758" spans="3:16" x14ac:dyDescent="0.25">
      <c r="C758" t="s">
        <v>17</v>
      </c>
      <c r="D758">
        <v>53052004</v>
      </c>
      <c r="E758" t="s">
        <v>276</v>
      </c>
      <c r="F758" s="11">
        <v>295.52132</v>
      </c>
      <c r="G758" t="s">
        <v>1248</v>
      </c>
      <c r="H758" s="3">
        <v>46053</v>
      </c>
      <c r="I758" t="s">
        <v>1249</v>
      </c>
      <c r="J758" t="s">
        <v>1249</v>
      </c>
      <c r="K758" t="s">
        <v>1203</v>
      </c>
      <c r="N758">
        <f t="shared" si="36"/>
        <v>2026</v>
      </c>
      <c r="O758">
        <f t="shared" si="37"/>
        <v>1</v>
      </c>
      <c r="P758" t="str">
        <f t="shared" si="38"/>
        <v>Enero</v>
      </c>
    </row>
    <row r="759" spans="3:16" x14ac:dyDescent="0.25">
      <c r="C759" t="s">
        <v>17</v>
      </c>
      <c r="D759">
        <v>53052003</v>
      </c>
      <c r="E759" t="s">
        <v>24</v>
      </c>
      <c r="F759" s="11">
        <v>1653.35</v>
      </c>
      <c r="G759" t="s">
        <v>1268</v>
      </c>
      <c r="H759" s="3">
        <v>46027</v>
      </c>
      <c r="I759" t="s">
        <v>1269</v>
      </c>
      <c r="J759" t="s">
        <v>1269</v>
      </c>
      <c r="K759" t="s">
        <v>69</v>
      </c>
      <c r="N759">
        <f t="shared" si="36"/>
        <v>2026</v>
      </c>
      <c r="O759">
        <f t="shared" si="37"/>
        <v>1</v>
      </c>
      <c r="P759" t="str">
        <f t="shared" si="38"/>
        <v>Enero</v>
      </c>
    </row>
    <row r="760" spans="3:16" x14ac:dyDescent="0.25">
      <c r="C760" t="s">
        <v>17</v>
      </c>
      <c r="D760">
        <v>53052003</v>
      </c>
      <c r="E760" t="s">
        <v>24</v>
      </c>
      <c r="F760" s="11">
        <v>62257.190999999999</v>
      </c>
      <c r="G760" t="s">
        <v>1270</v>
      </c>
      <c r="H760" s="3">
        <v>46035</v>
      </c>
      <c r="I760" t="s">
        <v>1271</v>
      </c>
      <c r="J760" t="s">
        <v>1271</v>
      </c>
      <c r="K760" t="s">
        <v>27</v>
      </c>
      <c r="N760">
        <f t="shared" si="36"/>
        <v>2026</v>
      </c>
      <c r="O760">
        <f t="shared" si="37"/>
        <v>1</v>
      </c>
      <c r="P760" t="str">
        <f t="shared" si="38"/>
        <v>Enero</v>
      </c>
    </row>
    <row r="761" spans="3:16" x14ac:dyDescent="0.25">
      <c r="C761" t="s">
        <v>17</v>
      </c>
      <c r="D761">
        <v>53052003</v>
      </c>
      <c r="E761" t="s">
        <v>24</v>
      </c>
      <c r="F761" s="11">
        <v>231887.486</v>
      </c>
      <c r="G761" t="s">
        <v>1270</v>
      </c>
      <c r="H761" s="3">
        <v>46035</v>
      </c>
      <c r="I761" t="s">
        <v>1272</v>
      </c>
      <c r="J761" t="s">
        <v>1272</v>
      </c>
      <c r="K761" t="s">
        <v>27</v>
      </c>
      <c r="N761">
        <f t="shared" si="36"/>
        <v>2026</v>
      </c>
      <c r="O761">
        <f t="shared" si="37"/>
        <v>1</v>
      </c>
      <c r="P761" t="str">
        <f t="shared" si="38"/>
        <v>Enero</v>
      </c>
    </row>
    <row r="762" spans="3:16" x14ac:dyDescent="0.25">
      <c r="C762" t="s">
        <v>17</v>
      </c>
      <c r="D762">
        <v>53052003</v>
      </c>
      <c r="E762" t="s">
        <v>24</v>
      </c>
      <c r="F762" s="11">
        <v>-1653.35</v>
      </c>
      <c r="G762" t="s">
        <v>1250</v>
      </c>
      <c r="H762" s="3">
        <v>46053</v>
      </c>
      <c r="I762" t="s">
        <v>1251</v>
      </c>
      <c r="J762" t="s">
        <v>1251</v>
      </c>
      <c r="K762" t="s">
        <v>69</v>
      </c>
      <c r="N762">
        <f t="shared" si="36"/>
        <v>2026</v>
      </c>
      <c r="O762">
        <f t="shared" si="37"/>
        <v>1</v>
      </c>
      <c r="P762" t="str">
        <f t="shared" si="38"/>
        <v>Enero</v>
      </c>
    </row>
  </sheetData>
  <autoFilter ref="A1:P709" xr:uid="{3C3409F7-F3FF-4A46-9B78-4818B6059A26}">
    <filterColumn colId="4">
      <filters>
        <filter val="INTERESES POR SOBREGIROS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Intereses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Lopez</dc:creator>
  <cp:lastModifiedBy>Cristian Camilo Lopez</cp:lastModifiedBy>
  <dcterms:created xsi:type="dcterms:W3CDTF">2026-02-11T18:36:55Z</dcterms:created>
  <dcterms:modified xsi:type="dcterms:W3CDTF">2026-02-11T18:37:19Z</dcterms:modified>
</cp:coreProperties>
</file>